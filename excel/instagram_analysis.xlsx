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" sheetId="2" state="visible" r:id="rId4"/>
    <sheet name="Notes" sheetId="3" state="visible" r:id="rId5"/>
  </sheets>
  <definedNames>
    <definedName function="false" hidden="true" localSheetId="0" name="_xlnm._FilterDatabase" vbProcedure="false">Data!$A$1:$V$2001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<sst xmlns="http://schemas.openxmlformats.org/spreadsheetml/2006/main" count="12092" uniqueCount="3222">
  <si>
    <t xml:space="preserve">post_id</t>
  </si>
  <si>
    <t xml:space="preserve">account_id</t>
  </si>
  <si>
    <t xml:space="preserve">niche</t>
  </si>
  <si>
    <t xml:space="preserve">post_date</t>
  </si>
  <si>
    <t xml:space="preserve">post_time</t>
  </si>
  <si>
    <t xml:space="preserve">post_type</t>
  </si>
  <si>
    <t xml:space="preserve">followers</t>
  </si>
  <si>
    <t xml:space="preserve">hashtag_count</t>
  </si>
  <si>
    <t xml:space="preserve">caption_length</t>
  </si>
  <si>
    <t xml:space="preserve">has_cta</t>
  </si>
  <si>
    <t xml:space="preserve">impressions</t>
  </si>
  <si>
    <t xml:space="preserve">reach</t>
  </si>
  <si>
    <t xml:space="preserve">likes</t>
  </si>
  <si>
    <t xml:space="preserve">comments</t>
  </si>
  <si>
    <t xml:space="preserve">shares</t>
  </si>
  <si>
    <t xml:space="preserve">saves</t>
  </si>
  <si>
    <t xml:space="preserve">profile_visits</t>
  </si>
  <si>
    <t xml:space="preserve">follows_gained</t>
  </si>
  <si>
    <t xml:space="preserve">hour</t>
  </si>
  <si>
    <t xml:space="preserve">weekday</t>
  </si>
  <si>
    <t xml:space="preserve">engagement_rate</t>
  </si>
  <si>
    <t xml:space="preserve">time_slot</t>
  </si>
  <si>
    <t xml:space="preserve">P00808</t>
  </si>
  <si>
    <t xml:space="preserve">acct_045</t>
  </si>
  <si>
    <t xml:space="preserve">Fitness</t>
  </si>
  <si>
    <t xml:space="preserve">10:30</t>
  </si>
  <si>
    <t xml:space="preserve">Carousel</t>
  </si>
  <si>
    <t xml:space="preserve">Sunday</t>
  </si>
  <si>
    <t xml:space="preserve">P01448</t>
  </si>
  <si>
    <t xml:space="preserve">acct_024</t>
  </si>
  <si>
    <t xml:space="preserve">Fashion</t>
  </si>
  <si>
    <t xml:space="preserve">12:22</t>
  </si>
  <si>
    <t xml:space="preserve">Reel</t>
  </si>
  <si>
    <t xml:space="preserve">Monday</t>
  </si>
  <si>
    <t xml:space="preserve">P01992</t>
  </si>
  <si>
    <t xml:space="preserve">acct_028</t>
  </si>
  <si>
    <t xml:space="preserve">Education</t>
  </si>
  <si>
    <t xml:space="preserve">08:17</t>
  </si>
  <si>
    <t xml:space="preserve">Image</t>
  </si>
  <si>
    <t xml:space="preserve">P01817</t>
  </si>
  <si>
    <t xml:space="preserve">acct_015</t>
  </si>
  <si>
    <t xml:space="preserve">Travel</t>
  </si>
  <si>
    <t xml:space="preserve">12:25</t>
  </si>
  <si>
    <t xml:space="preserve">P00664</t>
  </si>
  <si>
    <t xml:space="preserve">acct_034</t>
  </si>
  <si>
    <t xml:space="preserve">20:31</t>
  </si>
  <si>
    <t xml:space="preserve">P01316</t>
  </si>
  <si>
    <t xml:space="preserve">acct_004</t>
  </si>
  <si>
    <t xml:space="preserve">Beauty</t>
  </si>
  <si>
    <t xml:space="preserve">00:56</t>
  </si>
  <si>
    <t xml:space="preserve">Video</t>
  </si>
  <si>
    <t xml:space="preserve">Tuesday</t>
  </si>
  <si>
    <t xml:space="preserve">P00986</t>
  </si>
  <si>
    <t xml:space="preserve">acct_038</t>
  </si>
  <si>
    <t xml:space="preserve">Food</t>
  </si>
  <si>
    <t xml:space="preserve">19:52</t>
  </si>
  <si>
    <t xml:space="preserve">P00965</t>
  </si>
  <si>
    <t xml:space="preserve">acct_049</t>
  </si>
  <si>
    <t xml:space="preserve">13:01</t>
  </si>
  <si>
    <t xml:space="preserve">P00419</t>
  </si>
  <si>
    <t xml:space="preserve">acct_046</t>
  </si>
  <si>
    <t xml:space="preserve">18:00</t>
  </si>
  <si>
    <t xml:space="preserve">Saturday</t>
  </si>
  <si>
    <t xml:space="preserve">P00181</t>
  </si>
  <si>
    <t xml:space="preserve">acct_056</t>
  </si>
  <si>
    <t xml:space="preserve">07:59</t>
  </si>
  <si>
    <t xml:space="preserve">Wednesday</t>
  </si>
  <si>
    <t xml:space="preserve">P01300</t>
  </si>
  <si>
    <t xml:space="preserve">acct_033</t>
  </si>
  <si>
    <t xml:space="preserve">21:44</t>
  </si>
  <si>
    <t xml:space="preserve">P00991</t>
  </si>
  <si>
    <t xml:space="preserve">acct_003</t>
  </si>
  <si>
    <t xml:space="preserve">02:52</t>
  </si>
  <si>
    <t xml:space="preserve">P01764</t>
  </si>
  <si>
    <t xml:space="preserve">acct_037</t>
  </si>
  <si>
    <t xml:space="preserve">15:35</t>
  </si>
  <si>
    <t xml:space="preserve">P00912</t>
  </si>
  <si>
    <t xml:space="preserve">acct_050</t>
  </si>
  <si>
    <t xml:space="preserve">05:13</t>
  </si>
  <si>
    <t xml:space="preserve">Thursday</t>
  </si>
  <si>
    <t xml:space="preserve">P00271</t>
  </si>
  <si>
    <t xml:space="preserve">21:09</t>
  </si>
  <si>
    <t xml:space="preserve">P00663</t>
  </si>
  <si>
    <t xml:space="preserve">acct_020</t>
  </si>
  <si>
    <t xml:space="preserve">Comedy</t>
  </si>
  <si>
    <t xml:space="preserve">01:24</t>
  </si>
  <si>
    <t xml:space="preserve">P00353</t>
  </si>
  <si>
    <t xml:space="preserve">acct_012</t>
  </si>
  <si>
    <t xml:space="preserve">07:33</t>
  </si>
  <si>
    <t xml:space="preserve">P01567</t>
  </si>
  <si>
    <t xml:space="preserve">acct_042</t>
  </si>
  <si>
    <t xml:space="preserve">Tech</t>
  </si>
  <si>
    <t xml:space="preserve">21:54</t>
  </si>
  <si>
    <t xml:space="preserve">P01641</t>
  </si>
  <si>
    <t xml:space="preserve">acct_007</t>
  </si>
  <si>
    <t xml:space="preserve">00:37</t>
  </si>
  <si>
    <t xml:space="preserve">Friday</t>
  </si>
  <si>
    <t xml:space="preserve">P01758</t>
  </si>
  <si>
    <t xml:space="preserve">acct_055</t>
  </si>
  <si>
    <t xml:space="preserve">09:53</t>
  </si>
  <si>
    <t xml:space="preserve">P01371</t>
  </si>
  <si>
    <t xml:space="preserve">02:31</t>
  </si>
  <si>
    <t xml:space="preserve">P00553</t>
  </si>
  <si>
    <t xml:space="preserve">acct_001</t>
  </si>
  <si>
    <t xml:space="preserve">15:28</t>
  </si>
  <si>
    <t xml:space="preserve">P00889</t>
  </si>
  <si>
    <t xml:space="preserve">acct_043</t>
  </si>
  <si>
    <t xml:space="preserve">03:10</t>
  </si>
  <si>
    <t xml:space="preserve">P01582</t>
  </si>
  <si>
    <t xml:space="preserve">09:56</t>
  </si>
  <si>
    <t xml:space="preserve">P01604</t>
  </si>
  <si>
    <t xml:space="preserve">acct_057</t>
  </si>
  <si>
    <t xml:space="preserve">02:34</t>
  </si>
  <si>
    <t xml:space="preserve">P01717</t>
  </si>
  <si>
    <t xml:space="preserve">acct_030</t>
  </si>
  <si>
    <t xml:space="preserve">05:26</t>
  </si>
  <si>
    <t xml:space="preserve">P00317</t>
  </si>
  <si>
    <t xml:space="preserve">12:15</t>
  </si>
  <si>
    <t xml:space="preserve">P01032</t>
  </si>
  <si>
    <t xml:space="preserve">15:33</t>
  </si>
  <si>
    <t xml:space="preserve">P00931</t>
  </si>
  <si>
    <t xml:space="preserve">22:49</t>
  </si>
  <si>
    <t xml:space="preserve">P00460</t>
  </si>
  <si>
    <t xml:space="preserve">acct_019</t>
  </si>
  <si>
    <t xml:space="preserve">12:46</t>
  </si>
  <si>
    <t xml:space="preserve">P00961</t>
  </si>
  <si>
    <t xml:space="preserve">acct_032</t>
  </si>
  <si>
    <t xml:space="preserve">20:29</t>
  </si>
  <si>
    <t xml:space="preserve">P00113</t>
  </si>
  <si>
    <t xml:space="preserve">acct_011</t>
  </si>
  <si>
    <t xml:space="preserve">04:03</t>
  </si>
  <si>
    <t xml:space="preserve">P01858</t>
  </si>
  <si>
    <t xml:space="preserve">acct_008</t>
  </si>
  <si>
    <t xml:space="preserve">18:11</t>
  </si>
  <si>
    <t xml:space="preserve">P01234</t>
  </si>
  <si>
    <t xml:space="preserve">acct_017</t>
  </si>
  <si>
    <t xml:space="preserve">00:15</t>
  </si>
  <si>
    <t xml:space="preserve">P00412</t>
  </si>
  <si>
    <t xml:space="preserve">acct_054</t>
  </si>
  <si>
    <t xml:space="preserve">17:44</t>
  </si>
  <si>
    <t xml:space="preserve">P01773</t>
  </si>
  <si>
    <t xml:space="preserve">acct_021</t>
  </si>
  <si>
    <t xml:space="preserve">22:48</t>
  </si>
  <si>
    <t xml:space="preserve">P00561</t>
  </si>
  <si>
    <t xml:space="preserve">06:09</t>
  </si>
  <si>
    <t xml:space="preserve">P00796</t>
  </si>
  <si>
    <t xml:space="preserve">12:09</t>
  </si>
  <si>
    <t xml:space="preserve">P01378</t>
  </si>
  <si>
    <t xml:space="preserve">acct_027</t>
  </si>
  <si>
    <t xml:space="preserve">19:20</t>
  </si>
  <si>
    <t xml:space="preserve">P00005</t>
  </si>
  <si>
    <t xml:space="preserve">acct_040</t>
  </si>
  <si>
    <t xml:space="preserve">03:35</t>
  </si>
  <si>
    <t xml:space="preserve">P01720</t>
  </si>
  <si>
    <t xml:space="preserve">acct_031</t>
  </si>
  <si>
    <t xml:space="preserve">16:02</t>
  </si>
  <si>
    <t xml:space="preserve">P01622</t>
  </si>
  <si>
    <t xml:space="preserve">11:42</t>
  </si>
  <si>
    <t xml:space="preserve">P01501</t>
  </si>
  <si>
    <t xml:space="preserve">19:51</t>
  </si>
  <si>
    <t xml:space="preserve">P01336</t>
  </si>
  <si>
    <t xml:space="preserve">04:20</t>
  </si>
  <si>
    <t xml:space="preserve">P00612</t>
  </si>
  <si>
    <t xml:space="preserve">P00281</t>
  </si>
  <si>
    <t xml:space="preserve">acct_048</t>
  </si>
  <si>
    <t xml:space="preserve">09:02</t>
  </si>
  <si>
    <t xml:space="preserve">P01979</t>
  </si>
  <si>
    <t xml:space="preserve">00:46</t>
  </si>
  <si>
    <t xml:space="preserve">P00810</t>
  </si>
  <si>
    <t xml:space="preserve">11:13</t>
  </si>
  <si>
    <t xml:space="preserve">P00138</t>
  </si>
  <si>
    <t xml:space="preserve">07:48</t>
  </si>
  <si>
    <t xml:space="preserve">P01128</t>
  </si>
  <si>
    <t xml:space="preserve">00:45</t>
  </si>
  <si>
    <t xml:space="preserve">P00793</t>
  </si>
  <si>
    <t xml:space="preserve">18:19</t>
  </si>
  <si>
    <t xml:space="preserve">P01261</t>
  </si>
  <si>
    <t xml:space="preserve">23:29</t>
  </si>
  <si>
    <t xml:space="preserve">P00848</t>
  </si>
  <si>
    <t xml:space="preserve">03:25</t>
  </si>
  <si>
    <t xml:space="preserve">P00660</t>
  </si>
  <si>
    <t xml:space="preserve">acct_041</t>
  </si>
  <si>
    <t xml:space="preserve">04:47</t>
  </si>
  <si>
    <t xml:space="preserve">P00356</t>
  </si>
  <si>
    <t xml:space="preserve">17:15</t>
  </si>
  <si>
    <t xml:space="preserve">P01837</t>
  </si>
  <si>
    <t xml:space="preserve">13:24</t>
  </si>
  <si>
    <t xml:space="preserve">P00841</t>
  </si>
  <si>
    <t xml:space="preserve">acct_010</t>
  </si>
  <si>
    <t xml:space="preserve">23:43</t>
  </si>
  <si>
    <t xml:space="preserve">P00449</t>
  </si>
  <si>
    <t xml:space="preserve">08:56</t>
  </si>
  <si>
    <t xml:space="preserve">P01098</t>
  </si>
  <si>
    <t xml:space="preserve">acct_005</t>
  </si>
  <si>
    <t xml:space="preserve">21:25</t>
  </si>
  <si>
    <t xml:space="preserve">P00695</t>
  </si>
  <si>
    <t xml:space="preserve">02:49</t>
  </si>
  <si>
    <t xml:space="preserve">P00852</t>
  </si>
  <si>
    <t xml:space="preserve">01:59</t>
  </si>
  <si>
    <t xml:space="preserve">P01561</t>
  </si>
  <si>
    <t xml:space="preserve">18:37</t>
  </si>
  <si>
    <t xml:space="preserve">P01334</t>
  </si>
  <si>
    <t xml:space="preserve">17:28</t>
  </si>
  <si>
    <t xml:space="preserve">P01873</t>
  </si>
  <si>
    <t xml:space="preserve">04:10</t>
  </si>
  <si>
    <t xml:space="preserve">P00306</t>
  </si>
  <si>
    <t xml:space="preserve">acct_009</t>
  </si>
  <si>
    <t xml:space="preserve">04:41</t>
  </si>
  <si>
    <t xml:space="preserve">P01936</t>
  </si>
  <si>
    <t xml:space="preserve">00:11</t>
  </si>
  <si>
    <t xml:space="preserve">P01146</t>
  </si>
  <si>
    <t xml:space="preserve">19:16</t>
  </si>
  <si>
    <t xml:space="preserve">P01993</t>
  </si>
  <si>
    <t xml:space="preserve">P01576</t>
  </si>
  <si>
    <t xml:space="preserve">01:28</t>
  </si>
  <si>
    <t xml:space="preserve">P00502</t>
  </si>
  <si>
    <t xml:space="preserve">07:44</t>
  </si>
  <si>
    <t xml:space="preserve">P01441</t>
  </si>
  <si>
    <t xml:space="preserve">23:25</t>
  </si>
  <si>
    <t xml:space="preserve">P01294</t>
  </si>
  <si>
    <t xml:space="preserve">acct_016</t>
  </si>
  <si>
    <t xml:space="preserve">20:32</t>
  </si>
  <si>
    <t xml:space="preserve">P01360</t>
  </si>
  <si>
    <t xml:space="preserve">18:17</t>
  </si>
  <si>
    <t xml:space="preserve">P01725</t>
  </si>
  <si>
    <t xml:space="preserve">08:08</t>
  </si>
  <si>
    <t xml:space="preserve">P01347</t>
  </si>
  <si>
    <t xml:space="preserve">acct_025</t>
  </si>
  <si>
    <t xml:space="preserve">18:49</t>
  </si>
  <si>
    <t xml:space="preserve">P01904</t>
  </si>
  <si>
    <t xml:space="preserve">23:05</t>
  </si>
  <si>
    <t xml:space="preserve">P00237</t>
  </si>
  <si>
    <t xml:space="preserve">12:55</t>
  </si>
  <si>
    <t xml:space="preserve">P00506</t>
  </si>
  <si>
    <t xml:space="preserve">15:47</t>
  </si>
  <si>
    <t xml:space="preserve">P01619</t>
  </si>
  <si>
    <t xml:space="preserve">23:11</t>
  </si>
  <si>
    <t xml:space="preserve">P01313</t>
  </si>
  <si>
    <t xml:space="preserve">04:08</t>
  </si>
  <si>
    <t xml:space="preserve">P01396</t>
  </si>
  <si>
    <t xml:space="preserve">acct_023</t>
  </si>
  <si>
    <t xml:space="preserve">06:25</t>
  </si>
  <si>
    <t xml:space="preserve">P00295</t>
  </si>
  <si>
    <t xml:space="preserve">acct_059</t>
  </si>
  <si>
    <t xml:space="preserve">P00102</t>
  </si>
  <si>
    <t xml:space="preserve">07:21</t>
  </si>
  <si>
    <t xml:space="preserve">P00333</t>
  </si>
  <si>
    <t xml:space="preserve">acct_039</t>
  </si>
  <si>
    <t xml:space="preserve">19:06</t>
  </si>
  <si>
    <t xml:space="preserve">P01439</t>
  </si>
  <si>
    <t xml:space="preserve">07:41</t>
  </si>
  <si>
    <t xml:space="preserve">P01918</t>
  </si>
  <si>
    <t xml:space="preserve">18:21</t>
  </si>
  <si>
    <t xml:space="preserve">P01004</t>
  </si>
  <si>
    <t xml:space="preserve">10:39</t>
  </si>
  <si>
    <t xml:space="preserve">P01940</t>
  </si>
  <si>
    <t xml:space="preserve">16:07</t>
  </si>
  <si>
    <t xml:space="preserve">P00922</t>
  </si>
  <si>
    <t xml:space="preserve">00:55</t>
  </si>
  <si>
    <t xml:space="preserve">P00611</t>
  </si>
  <si>
    <t xml:space="preserve">10:12</t>
  </si>
  <si>
    <t xml:space="preserve">P01401</t>
  </si>
  <si>
    <t xml:space="preserve">00:49</t>
  </si>
  <si>
    <t xml:space="preserve">P00583</t>
  </si>
  <si>
    <t xml:space="preserve">acct_013</t>
  </si>
  <si>
    <t xml:space="preserve">15:02</t>
  </si>
  <si>
    <t xml:space="preserve">P00830</t>
  </si>
  <si>
    <t xml:space="preserve">18:35</t>
  </si>
  <si>
    <t xml:space="preserve">P00653</t>
  </si>
  <si>
    <t xml:space="preserve">01:08</t>
  </si>
  <si>
    <t xml:space="preserve">P01603</t>
  </si>
  <si>
    <t xml:space="preserve">08:12</t>
  </si>
  <si>
    <t xml:space="preserve">P00392</t>
  </si>
  <si>
    <t xml:space="preserve">08:51</t>
  </si>
  <si>
    <t xml:space="preserve">P00084</t>
  </si>
  <si>
    <t xml:space="preserve">14:34</t>
  </si>
  <si>
    <t xml:space="preserve">P01892</t>
  </si>
  <si>
    <t xml:space="preserve">23:27</t>
  </si>
  <si>
    <t xml:space="preserve">P01843</t>
  </si>
  <si>
    <t xml:space="preserve">01:55</t>
  </si>
  <si>
    <t xml:space="preserve">P01956</t>
  </si>
  <si>
    <t xml:space="preserve">00:32</t>
  </si>
  <si>
    <t xml:space="preserve">P01178</t>
  </si>
  <si>
    <t xml:space="preserve">P00878</t>
  </si>
  <si>
    <t xml:space="preserve">23:56</t>
  </si>
  <si>
    <t xml:space="preserve">P01436</t>
  </si>
  <si>
    <t xml:space="preserve">P00749</t>
  </si>
  <si>
    <t xml:space="preserve">23:38</t>
  </si>
  <si>
    <t xml:space="preserve">P00652</t>
  </si>
  <si>
    <t xml:space="preserve">12:29</t>
  </si>
  <si>
    <t xml:space="preserve">P01049</t>
  </si>
  <si>
    <t xml:space="preserve">04:18</t>
  </si>
  <si>
    <t xml:space="preserve">P01472</t>
  </si>
  <si>
    <t xml:space="preserve">10:01</t>
  </si>
  <si>
    <t xml:space="preserve">P01706</t>
  </si>
  <si>
    <t xml:space="preserve">04:46</t>
  </si>
  <si>
    <t xml:space="preserve">P01884</t>
  </si>
  <si>
    <t xml:space="preserve">02:04</t>
  </si>
  <si>
    <t xml:space="preserve">P01894</t>
  </si>
  <si>
    <t xml:space="preserve">14:50</t>
  </si>
  <si>
    <t xml:space="preserve">P00473</t>
  </si>
  <si>
    <t xml:space="preserve">16:38</t>
  </si>
  <si>
    <t xml:space="preserve">P01093</t>
  </si>
  <si>
    <t xml:space="preserve">19:33</t>
  </si>
  <si>
    <t xml:space="preserve">P01266</t>
  </si>
  <si>
    <t xml:space="preserve">14:18</t>
  </si>
  <si>
    <t xml:space="preserve">P01116</t>
  </si>
  <si>
    <t xml:space="preserve">acct_014</t>
  </si>
  <si>
    <t xml:space="preserve">19:21</t>
  </si>
  <si>
    <t xml:space="preserve">P01151</t>
  </si>
  <si>
    <t xml:space="preserve">acct_026</t>
  </si>
  <si>
    <t xml:space="preserve">18:10</t>
  </si>
  <si>
    <t xml:space="preserve">P00046</t>
  </si>
  <si>
    <t xml:space="preserve">12:31</t>
  </si>
  <si>
    <t xml:space="preserve">P01354</t>
  </si>
  <si>
    <t xml:space="preserve">09:06</t>
  </si>
  <si>
    <t xml:space="preserve">P00795</t>
  </si>
  <si>
    <t xml:space="preserve">01:36</t>
  </si>
  <si>
    <t xml:space="preserve">P00146</t>
  </si>
  <si>
    <t xml:space="preserve">acct_022</t>
  </si>
  <si>
    <t xml:space="preserve">12:30</t>
  </si>
  <si>
    <t xml:space="preserve">P00124</t>
  </si>
  <si>
    <t xml:space="preserve">05:21</t>
  </si>
  <si>
    <t xml:space="preserve">P00371</t>
  </si>
  <si>
    <t xml:space="preserve">acct_002</t>
  </si>
  <si>
    <t xml:space="preserve">07:32</t>
  </si>
  <si>
    <t xml:space="preserve">P01417</t>
  </si>
  <si>
    <t xml:space="preserve">acct_044</t>
  </si>
  <si>
    <t xml:space="preserve">P01710</t>
  </si>
  <si>
    <t xml:space="preserve">05:44</t>
  </si>
  <si>
    <t xml:space="preserve">P00471</t>
  </si>
  <si>
    <t xml:space="preserve">20:36</t>
  </si>
  <si>
    <t xml:space="preserve">P00232</t>
  </si>
  <si>
    <t xml:space="preserve">P00616</t>
  </si>
  <si>
    <t xml:space="preserve">10:40</t>
  </si>
  <si>
    <t xml:space="preserve">P00587</t>
  </si>
  <si>
    <t xml:space="preserve">P01254</t>
  </si>
  <si>
    <t xml:space="preserve">07:35</t>
  </si>
  <si>
    <t xml:space="preserve">P00881</t>
  </si>
  <si>
    <t xml:space="preserve">20:57</t>
  </si>
  <si>
    <t xml:space="preserve">P01256</t>
  </si>
  <si>
    <t xml:space="preserve">16:51</t>
  </si>
  <si>
    <t xml:space="preserve">P01155</t>
  </si>
  <si>
    <t xml:space="preserve">23:31</t>
  </si>
  <si>
    <t xml:space="preserve">P01547</t>
  </si>
  <si>
    <t xml:space="preserve">acct_047</t>
  </si>
  <si>
    <t xml:space="preserve">05:12</t>
  </si>
  <si>
    <t xml:space="preserve">P01197</t>
  </si>
  <si>
    <t xml:space="preserve">21:16</t>
  </si>
  <si>
    <t xml:space="preserve">P01412</t>
  </si>
  <si>
    <t xml:space="preserve">09:40</t>
  </si>
  <si>
    <t xml:space="preserve">P01283</t>
  </si>
  <si>
    <t xml:space="preserve">23:32</t>
  </si>
  <si>
    <t xml:space="preserve">P00946</t>
  </si>
  <si>
    <t xml:space="preserve">22:32</t>
  </si>
  <si>
    <t xml:space="preserve">P00233</t>
  </si>
  <si>
    <t xml:space="preserve">19:09</t>
  </si>
  <si>
    <t xml:space="preserve">P01947</t>
  </si>
  <si>
    <t xml:space="preserve">01:38</t>
  </si>
  <si>
    <t xml:space="preserve">P01972</t>
  </si>
  <si>
    <t xml:space="preserve">acct_035</t>
  </si>
  <si>
    <t xml:space="preserve">18:51</t>
  </si>
  <si>
    <t xml:space="preserve">P01195</t>
  </si>
  <si>
    <t xml:space="preserve">15:15</t>
  </si>
  <si>
    <t xml:space="preserve">P00994</t>
  </si>
  <si>
    <t xml:space="preserve">22:26</t>
  </si>
  <si>
    <t xml:space="preserve">P01041</t>
  </si>
  <si>
    <t xml:space="preserve">03:33</t>
  </si>
  <si>
    <t xml:space="preserve">P01994</t>
  </si>
  <si>
    <t xml:space="preserve">10:07</t>
  </si>
  <si>
    <t xml:space="preserve">P01851</t>
  </si>
  <si>
    <t xml:space="preserve">acct_053</t>
  </si>
  <si>
    <t xml:space="preserve">22:58</t>
  </si>
  <si>
    <t xml:space="preserve">P00954</t>
  </si>
  <si>
    <t xml:space="preserve">acct_000</t>
  </si>
  <si>
    <t xml:space="preserve">19:29</t>
  </si>
  <si>
    <t xml:space="preserve">P00200</t>
  </si>
  <si>
    <t xml:space="preserve">22:54</t>
  </si>
  <si>
    <t xml:space="preserve">P01996</t>
  </si>
  <si>
    <t xml:space="preserve">14:31</t>
  </si>
  <si>
    <t xml:space="preserve">P01183</t>
  </si>
  <si>
    <t xml:space="preserve">03:52</t>
  </si>
  <si>
    <t xml:space="preserve">P00845</t>
  </si>
  <si>
    <t xml:space="preserve">P00448</t>
  </si>
  <si>
    <t xml:space="preserve">12:51</t>
  </si>
  <si>
    <t xml:space="preserve">P01888</t>
  </si>
  <si>
    <t xml:space="preserve">P01291</t>
  </si>
  <si>
    <t xml:space="preserve">15:45</t>
  </si>
  <si>
    <t xml:space="preserve">P01564</t>
  </si>
  <si>
    <t xml:space="preserve">P01673</t>
  </si>
  <si>
    <t xml:space="preserve">acct_029</t>
  </si>
  <si>
    <t xml:space="preserve">20:58</t>
  </si>
  <si>
    <t xml:space="preserve">P00559</t>
  </si>
  <si>
    <t xml:space="preserve">14:11</t>
  </si>
  <si>
    <t xml:space="preserve">P01068</t>
  </si>
  <si>
    <t xml:space="preserve">05:24</t>
  </si>
  <si>
    <t xml:space="preserve">P01388</t>
  </si>
  <si>
    <t xml:space="preserve">23:03</t>
  </si>
  <si>
    <t xml:space="preserve">P00600</t>
  </si>
  <si>
    <t xml:space="preserve">12:02</t>
  </si>
  <si>
    <t xml:space="preserve">P00557</t>
  </si>
  <si>
    <t xml:space="preserve">05:55</t>
  </si>
  <si>
    <t xml:space="preserve">P01218</t>
  </si>
  <si>
    <t xml:space="preserve">02:25</t>
  </si>
  <si>
    <t xml:space="preserve">P01719</t>
  </si>
  <si>
    <t xml:space="preserve">18:41</t>
  </si>
  <si>
    <t xml:space="preserve">P00898</t>
  </si>
  <si>
    <t xml:space="preserve">00:48</t>
  </si>
  <si>
    <t xml:space="preserve">P00838</t>
  </si>
  <si>
    <t xml:space="preserve">acct_051</t>
  </si>
  <si>
    <t xml:space="preserve">07:14</t>
  </si>
  <si>
    <t xml:space="preserve">P00777</t>
  </si>
  <si>
    <t xml:space="preserve">00:10</t>
  </si>
  <si>
    <t xml:space="preserve">P00269</t>
  </si>
  <si>
    <t xml:space="preserve">P01063</t>
  </si>
  <si>
    <t xml:space="preserve">20:05</t>
  </si>
  <si>
    <t xml:space="preserve">P00240</t>
  </si>
  <si>
    <t xml:space="preserve">P01310</t>
  </si>
  <si>
    <t xml:space="preserve">13:54</t>
  </si>
  <si>
    <t xml:space="preserve">P00525</t>
  </si>
  <si>
    <t xml:space="preserve">17:08</t>
  </si>
  <si>
    <t xml:space="preserve">P01056</t>
  </si>
  <si>
    <t xml:space="preserve">22:41</t>
  </si>
  <si>
    <t xml:space="preserve">P01874</t>
  </si>
  <si>
    <t xml:space="preserve">13:21</t>
  </si>
  <si>
    <t xml:space="preserve">P01442</t>
  </si>
  <si>
    <t xml:space="preserve">acct_018</t>
  </si>
  <si>
    <t xml:space="preserve">11:25</t>
  </si>
  <si>
    <t xml:space="preserve">P01468</t>
  </si>
  <si>
    <t xml:space="preserve">15:05</t>
  </si>
  <si>
    <t xml:space="preserve">P00285</t>
  </si>
  <si>
    <t xml:space="preserve">acct_006</t>
  </si>
  <si>
    <t xml:space="preserve">05:39</t>
  </si>
  <si>
    <t xml:space="preserve">P00578</t>
  </si>
  <si>
    <t xml:space="preserve">20:13</t>
  </si>
  <si>
    <t xml:space="preserve">P00469</t>
  </si>
  <si>
    <t xml:space="preserve">20:38</t>
  </si>
  <si>
    <t xml:space="preserve">P00427</t>
  </si>
  <si>
    <t xml:space="preserve">07:11</t>
  </si>
  <si>
    <t xml:space="preserve">P00892</t>
  </si>
  <si>
    <t xml:space="preserve">18:27</t>
  </si>
  <si>
    <t xml:space="preserve">P00782</t>
  </si>
  <si>
    <t xml:space="preserve">17:33</t>
  </si>
  <si>
    <t xml:space="preserve">P01895</t>
  </si>
  <si>
    <t xml:space="preserve">08:47</t>
  </si>
  <si>
    <t xml:space="preserve">P01930</t>
  </si>
  <si>
    <t xml:space="preserve">06:27</t>
  </si>
  <si>
    <t xml:space="preserve">P00242</t>
  </si>
  <si>
    <t xml:space="preserve">22:02</t>
  </si>
  <si>
    <t xml:space="preserve">P00739</t>
  </si>
  <si>
    <t xml:space="preserve">23:41</t>
  </si>
  <si>
    <t xml:space="preserve">P01926</t>
  </si>
  <si>
    <t xml:space="preserve">acct_036</t>
  </si>
  <si>
    <t xml:space="preserve">11:38</t>
  </si>
  <si>
    <t xml:space="preserve">P01771</t>
  </si>
  <si>
    <t xml:space="preserve">09:29</t>
  </si>
  <si>
    <t xml:space="preserve">P00682</t>
  </si>
  <si>
    <t xml:space="preserve">19:32</t>
  </si>
  <si>
    <t xml:space="preserve">P01251</t>
  </si>
  <si>
    <t xml:space="preserve">acct_052</t>
  </si>
  <si>
    <t xml:space="preserve">14:22</t>
  </si>
  <si>
    <t xml:space="preserve">P01646</t>
  </si>
  <si>
    <t xml:space="preserve">acct_058</t>
  </si>
  <si>
    <t xml:space="preserve">13:31</t>
  </si>
  <si>
    <t xml:space="preserve">P01865</t>
  </si>
  <si>
    <t xml:space="preserve">02:23</t>
  </si>
  <si>
    <t xml:space="preserve">P00053</t>
  </si>
  <si>
    <t xml:space="preserve">02:29</t>
  </si>
  <si>
    <t xml:space="preserve">P01204</t>
  </si>
  <si>
    <t xml:space="preserve">P00692</t>
  </si>
  <si>
    <t xml:space="preserve">03:41</t>
  </si>
  <si>
    <t xml:space="preserve">P00158</t>
  </si>
  <si>
    <t xml:space="preserve">04:26</t>
  </si>
  <si>
    <t xml:space="preserve">P00571</t>
  </si>
  <si>
    <t xml:space="preserve">P01196</t>
  </si>
  <si>
    <t xml:space="preserve">09:54</t>
  </si>
  <si>
    <t xml:space="preserve">P00066</t>
  </si>
  <si>
    <t xml:space="preserve">04:32</t>
  </si>
  <si>
    <t xml:space="preserve">P00978</t>
  </si>
  <si>
    <t xml:space="preserve">P01527</t>
  </si>
  <si>
    <t xml:space="preserve">01:31</t>
  </si>
  <si>
    <t xml:space="preserve">P01407</t>
  </si>
  <si>
    <t xml:space="preserve">14:26</t>
  </si>
  <si>
    <t xml:space="preserve">P00143</t>
  </si>
  <si>
    <t xml:space="preserve">07:20</t>
  </si>
  <si>
    <t xml:space="preserve">P01989</t>
  </si>
  <si>
    <t xml:space="preserve">P01806</t>
  </si>
  <si>
    <t xml:space="preserve">P01298</t>
  </si>
  <si>
    <t xml:space="preserve">14:32</t>
  </si>
  <si>
    <t xml:space="preserve">P00999</t>
  </si>
  <si>
    <t xml:space="preserve">03:24</t>
  </si>
  <si>
    <t xml:space="preserve">P01181</t>
  </si>
  <si>
    <t xml:space="preserve">12:07</t>
  </si>
  <si>
    <t xml:space="preserve">P00495</t>
  </si>
  <si>
    <t xml:space="preserve">23:28</t>
  </si>
  <si>
    <t xml:space="preserve">P01718</t>
  </si>
  <si>
    <t xml:space="preserve">18:14</t>
  </si>
  <si>
    <t xml:space="preserve">P01135</t>
  </si>
  <si>
    <t xml:space="preserve">20:59</t>
  </si>
  <si>
    <t xml:space="preserve">P01975</t>
  </si>
  <si>
    <t xml:space="preserve">17:42</t>
  </si>
  <si>
    <t xml:space="preserve">P00264</t>
  </si>
  <si>
    <t xml:space="preserve">19:15</t>
  </si>
  <si>
    <t xml:space="preserve">P00366</t>
  </si>
  <si>
    <t xml:space="preserve">11:03</t>
  </si>
  <si>
    <t xml:space="preserve">P00115</t>
  </si>
  <si>
    <t xml:space="preserve">20:44</t>
  </si>
  <si>
    <t xml:space="preserve">P01149</t>
  </si>
  <si>
    <t xml:space="preserve">02:01</t>
  </si>
  <si>
    <t xml:space="preserve">P00725</t>
  </si>
  <si>
    <t xml:space="preserve">11:19</t>
  </si>
  <si>
    <t xml:space="preserve">P01790</t>
  </si>
  <si>
    <t xml:space="preserve">14:33</t>
  </si>
  <si>
    <t xml:space="preserve">P00459</t>
  </si>
  <si>
    <t xml:space="preserve">18:42</t>
  </si>
  <si>
    <t xml:space="preserve">P00599</t>
  </si>
  <si>
    <t xml:space="preserve">19:12</t>
  </si>
  <si>
    <t xml:space="preserve">P00644</t>
  </si>
  <si>
    <t xml:space="preserve">10:00</t>
  </si>
  <si>
    <t xml:space="preserve">P00231</t>
  </si>
  <si>
    <t xml:space="preserve">13:20</t>
  </si>
  <si>
    <t xml:space="preserve">P00800</t>
  </si>
  <si>
    <t xml:space="preserve">12:01</t>
  </si>
  <si>
    <t xml:space="preserve">P01223</t>
  </si>
  <si>
    <t xml:space="preserve">15:51</t>
  </si>
  <si>
    <t xml:space="preserve">P00803</t>
  </si>
  <si>
    <t xml:space="preserve">01:48</t>
  </si>
  <si>
    <t xml:space="preserve">P00982</t>
  </si>
  <si>
    <t xml:space="preserve">07:37</t>
  </si>
  <si>
    <t xml:space="preserve">P00177</t>
  </si>
  <si>
    <t xml:space="preserve">15:49</t>
  </si>
  <si>
    <t xml:space="preserve">P00118</t>
  </si>
  <si>
    <t xml:space="preserve">14:19</t>
  </si>
  <si>
    <t xml:space="preserve">P00962</t>
  </si>
  <si>
    <t xml:space="preserve">03:20</t>
  </si>
  <si>
    <t xml:space="preserve">P01380</t>
  </si>
  <si>
    <t xml:space="preserve">08:37</t>
  </si>
  <si>
    <t xml:space="preserve">P01434</t>
  </si>
  <si>
    <t xml:space="preserve">03:53</t>
  </si>
  <si>
    <t xml:space="preserve">P01935</t>
  </si>
  <si>
    <t xml:space="preserve">06:40</t>
  </si>
  <si>
    <t xml:space="preserve">P00276</t>
  </si>
  <si>
    <t xml:space="preserve">15:39</t>
  </si>
  <si>
    <t xml:space="preserve">P01597</t>
  </si>
  <si>
    <t xml:space="preserve">01:39</t>
  </si>
  <si>
    <t xml:space="preserve">P01444</t>
  </si>
  <si>
    <t xml:space="preserve">09:26</t>
  </si>
  <si>
    <t xml:space="preserve">P00485</t>
  </si>
  <si>
    <t xml:space="preserve">P01213</t>
  </si>
  <si>
    <t xml:space="preserve">06:14</t>
  </si>
  <si>
    <t xml:space="preserve">P00324</t>
  </si>
  <si>
    <t xml:space="preserve">11:04</t>
  </si>
  <si>
    <t xml:space="preserve">P00227</t>
  </si>
  <si>
    <t xml:space="preserve">14:40</t>
  </si>
  <si>
    <t xml:space="preserve">P01248</t>
  </si>
  <si>
    <t xml:space="preserve">14:10</t>
  </si>
  <si>
    <t xml:space="preserve">P00402</t>
  </si>
  <si>
    <t xml:space="preserve">13:36</t>
  </si>
  <si>
    <t xml:space="preserve">P01482</t>
  </si>
  <si>
    <t xml:space="preserve">14:25</t>
  </si>
  <si>
    <t xml:space="preserve">P00847</t>
  </si>
  <si>
    <t xml:space="preserve">23:01</t>
  </si>
  <si>
    <t xml:space="preserve">P01739</t>
  </si>
  <si>
    <t xml:space="preserve">07:00</t>
  </si>
  <si>
    <t xml:space="preserve">P00162</t>
  </si>
  <si>
    <t xml:space="preserve">10:15</t>
  </si>
  <si>
    <t xml:space="preserve">P01421</t>
  </si>
  <si>
    <t xml:space="preserve">07:47</t>
  </si>
  <si>
    <t xml:space="preserve">P00144</t>
  </si>
  <si>
    <t xml:space="preserve">15:44</t>
  </si>
  <si>
    <t xml:space="preserve">P01685</t>
  </si>
  <si>
    <t xml:space="preserve">00:12</t>
  </si>
  <si>
    <t xml:space="preserve">P00377</t>
  </si>
  <si>
    <t xml:space="preserve">P01449</t>
  </si>
  <si>
    <t xml:space="preserve">06:03</t>
  </si>
  <si>
    <t xml:space="preserve">P00077</t>
  </si>
  <si>
    <t xml:space="preserve">14:54</t>
  </si>
  <si>
    <t xml:space="preserve">P01698</t>
  </si>
  <si>
    <t xml:space="preserve">13:22</t>
  </si>
  <si>
    <t xml:space="preserve">P01702</t>
  </si>
  <si>
    <t xml:space="preserve">12:21</t>
  </si>
  <si>
    <t xml:space="preserve">P00477</t>
  </si>
  <si>
    <t xml:space="preserve">12:03</t>
  </si>
  <si>
    <t xml:space="preserve">P01841</t>
  </si>
  <si>
    <t xml:space="preserve">P00069</t>
  </si>
  <si>
    <t xml:space="preserve">P00480</t>
  </si>
  <si>
    <t xml:space="preserve">21:03</t>
  </si>
  <si>
    <t xml:space="preserve">P00828</t>
  </si>
  <si>
    <t xml:space="preserve">22:51</t>
  </si>
  <si>
    <t xml:space="preserve">P01156</t>
  </si>
  <si>
    <t xml:space="preserve">21:34</t>
  </si>
  <si>
    <t xml:space="preserve">P00120</t>
  </si>
  <si>
    <t xml:space="preserve">02:22</t>
  </si>
  <si>
    <t xml:space="preserve">P01578</t>
  </si>
  <si>
    <t xml:space="preserve">08:03</t>
  </si>
  <si>
    <t xml:space="preserve">P00070</t>
  </si>
  <si>
    <t xml:space="preserve">09:35</t>
  </si>
  <si>
    <t xml:space="preserve">P00083</t>
  </si>
  <si>
    <t xml:space="preserve">P01753</t>
  </si>
  <si>
    <t xml:space="preserve">P01987</t>
  </si>
  <si>
    <t xml:space="preserve">15:06</t>
  </si>
  <si>
    <t xml:space="preserve">P01365</t>
  </si>
  <si>
    <t xml:space="preserve">07:18</t>
  </si>
  <si>
    <t xml:space="preserve">P01097</t>
  </si>
  <si>
    <t xml:space="preserve">01:12</t>
  </si>
  <si>
    <t xml:space="preserve">P01923</t>
  </si>
  <si>
    <t xml:space="preserve">13:13</t>
  </si>
  <si>
    <t xml:space="preserve">P00094</t>
  </si>
  <si>
    <t xml:space="preserve">16:45</t>
  </si>
  <si>
    <t xml:space="preserve">P01153</t>
  </si>
  <si>
    <t xml:space="preserve">22:59</t>
  </si>
  <si>
    <t xml:space="preserve">P01565</t>
  </si>
  <si>
    <t xml:space="preserve">19:40</t>
  </si>
  <si>
    <t xml:space="preserve">P01983</t>
  </si>
  <si>
    <t xml:space="preserve">08:32</t>
  </si>
  <si>
    <t xml:space="preserve">P00533</t>
  </si>
  <si>
    <t xml:space="preserve">23:06</t>
  </si>
  <si>
    <t xml:space="preserve">P00357</t>
  </si>
  <si>
    <t xml:space="preserve">P00466</t>
  </si>
  <si>
    <t xml:space="preserve">17:23</t>
  </si>
  <si>
    <t xml:space="preserve">P00558</t>
  </si>
  <si>
    <t xml:space="preserve">07:46</t>
  </si>
  <si>
    <t xml:space="preserve">P00607</t>
  </si>
  <si>
    <t xml:space="preserve">22:08</t>
  </si>
  <si>
    <t xml:space="preserve">P00247</t>
  </si>
  <si>
    <t xml:space="preserve">19:14</t>
  </si>
  <si>
    <t xml:space="preserve">P00155</t>
  </si>
  <si>
    <t xml:space="preserve">23:59</t>
  </si>
  <si>
    <t xml:space="preserve">P00279</t>
  </si>
  <si>
    <t xml:space="preserve">07:43</t>
  </si>
  <si>
    <t xml:space="preserve">P01922</t>
  </si>
  <si>
    <t xml:space="preserve">10:20</t>
  </si>
  <si>
    <t xml:space="preserve">P01419</t>
  </si>
  <si>
    <t xml:space="preserve">P00004</t>
  </si>
  <si>
    <t xml:space="preserve">01:44</t>
  </si>
  <si>
    <t xml:space="preserve">P01780</t>
  </si>
  <si>
    <t xml:space="preserve">16:22</t>
  </si>
  <si>
    <t xml:space="preserve">P01533</t>
  </si>
  <si>
    <t xml:space="preserve">17:58</t>
  </si>
  <si>
    <t xml:space="preserve">P00373</t>
  </si>
  <si>
    <t xml:space="preserve">P01463</t>
  </si>
  <si>
    <t xml:space="preserve">09:04</t>
  </si>
  <si>
    <t xml:space="preserve">P00241</t>
  </si>
  <si>
    <t xml:space="preserve">05:14</t>
  </si>
  <si>
    <t xml:space="preserve">P00003</t>
  </si>
  <si>
    <t xml:space="preserve">P00628</t>
  </si>
  <si>
    <t xml:space="preserve">21:47</t>
  </si>
  <si>
    <t xml:space="preserve">P01024</t>
  </si>
  <si>
    <t xml:space="preserve">01:17</t>
  </si>
  <si>
    <t xml:space="preserve">P01794</t>
  </si>
  <si>
    <t xml:space="preserve">P00883</t>
  </si>
  <si>
    <t xml:space="preserve">20:41</t>
  </si>
  <si>
    <t xml:space="preserve">P00038</t>
  </si>
  <si>
    <t xml:space="preserve">08:36</t>
  </si>
  <si>
    <t xml:space="preserve">P01349</t>
  </si>
  <si>
    <t xml:space="preserve">P01331</t>
  </si>
  <si>
    <t xml:space="preserve">02:33</t>
  </si>
  <si>
    <t xml:space="preserve">P01990</t>
  </si>
  <si>
    <t xml:space="preserve">P01217</t>
  </si>
  <si>
    <t xml:space="preserve">22:25</t>
  </si>
  <si>
    <t xml:space="preserve">P01221</t>
  </si>
  <si>
    <t xml:space="preserve">17:55</t>
  </si>
  <si>
    <t xml:space="preserve">P01755</t>
  </si>
  <si>
    <t xml:space="preserve">07:54</t>
  </si>
  <si>
    <t xml:space="preserve">P00457</t>
  </si>
  <si>
    <t xml:space="preserve">20:35</t>
  </si>
  <si>
    <t xml:space="preserve">P00272</t>
  </si>
  <si>
    <t xml:space="preserve">15:32</t>
  </si>
  <si>
    <t xml:space="preserve">P01498</t>
  </si>
  <si>
    <t xml:space="preserve">13:14</t>
  </si>
  <si>
    <t xml:space="preserve">P00345</t>
  </si>
  <si>
    <t xml:space="preserve">P00733</t>
  </si>
  <si>
    <t xml:space="preserve">P01667</t>
  </si>
  <si>
    <t xml:space="preserve">P01695</t>
  </si>
  <si>
    <t xml:space="preserve">06:12</t>
  </si>
  <si>
    <t xml:space="preserve">P00601</t>
  </si>
  <si>
    <t xml:space="preserve">12:47</t>
  </si>
  <si>
    <t xml:space="preserve">P00572</t>
  </si>
  <si>
    <t xml:space="preserve">20:02</t>
  </si>
  <si>
    <t xml:space="preserve">P00493</t>
  </si>
  <si>
    <t xml:space="preserve">P01489</t>
  </si>
  <si>
    <t xml:space="preserve">16:49</t>
  </si>
  <si>
    <t xml:space="preserve">P01321</t>
  </si>
  <si>
    <t xml:space="preserve">01:47</t>
  </si>
  <si>
    <t xml:space="preserve">P00086</t>
  </si>
  <si>
    <t xml:space="preserve">16:25</t>
  </si>
  <si>
    <t xml:space="preserve">P01481</t>
  </si>
  <si>
    <t xml:space="preserve">17:14</t>
  </si>
  <si>
    <t xml:space="preserve">P01696</t>
  </si>
  <si>
    <t xml:space="preserve">15:27</t>
  </si>
  <si>
    <t xml:space="preserve">P01688</t>
  </si>
  <si>
    <t xml:space="preserve">11:41</t>
  </si>
  <si>
    <t xml:space="preserve">P01278</t>
  </si>
  <si>
    <t xml:space="preserve">02:06</t>
  </si>
  <si>
    <t xml:space="preserve">P00843</t>
  </si>
  <si>
    <t xml:space="preserve">08:10</t>
  </si>
  <si>
    <t xml:space="preserve">P00289</t>
  </si>
  <si>
    <t xml:space="preserve">17:01</t>
  </si>
  <si>
    <t xml:space="preserve">P01099</t>
  </si>
  <si>
    <t xml:space="preserve">14:30</t>
  </si>
  <si>
    <t xml:space="preserve">P00746</t>
  </si>
  <si>
    <t xml:space="preserve">P01793</t>
  </si>
  <si>
    <t xml:space="preserve">02:36</t>
  </si>
  <si>
    <t xml:space="preserve">P01852</t>
  </si>
  <si>
    <t xml:space="preserve">19:01</t>
  </si>
  <si>
    <t xml:space="preserve">P00008</t>
  </si>
  <si>
    <t xml:space="preserve">01:16</t>
  </si>
  <si>
    <t xml:space="preserve">P01212</t>
  </si>
  <si>
    <t xml:space="preserve">14:55</t>
  </si>
  <si>
    <t xml:space="preserve">P00872</t>
  </si>
  <si>
    <t xml:space="preserve">08:16</t>
  </si>
  <si>
    <t xml:space="preserve">P01916</t>
  </si>
  <si>
    <t xml:space="preserve">P00757</t>
  </si>
  <si>
    <t xml:space="preserve">04:04</t>
  </si>
  <si>
    <t xml:space="preserve">P01355</t>
  </si>
  <si>
    <t xml:space="preserve">P01539</t>
  </si>
  <si>
    <t xml:space="preserve">06:19</t>
  </si>
  <si>
    <t xml:space="preserve">P01314</t>
  </si>
  <si>
    <t xml:space="preserve">21:53</t>
  </si>
  <si>
    <t xml:space="preserve">P01260</t>
  </si>
  <si>
    <t xml:space="preserve">00:50</t>
  </si>
  <si>
    <t xml:space="preserve">P01905</t>
  </si>
  <si>
    <t xml:space="preserve">08:05</t>
  </si>
  <si>
    <t xml:space="preserve">P00386</t>
  </si>
  <si>
    <t xml:space="preserve">11:59</t>
  </si>
  <si>
    <t xml:space="preserve">P01913</t>
  </si>
  <si>
    <t xml:space="preserve">00:03</t>
  </si>
  <si>
    <t xml:space="preserve">P00216</t>
  </si>
  <si>
    <t xml:space="preserve">06:26</t>
  </si>
  <si>
    <t xml:space="preserve">P01293</t>
  </si>
  <si>
    <t xml:space="preserve">00:53</t>
  </si>
  <si>
    <t xml:space="preserve">P01699</t>
  </si>
  <si>
    <t xml:space="preserve">21:48</t>
  </si>
  <si>
    <t xml:space="preserve">P02000</t>
  </si>
  <si>
    <t xml:space="preserve">P00489</t>
  </si>
  <si>
    <t xml:space="preserve">05:16</t>
  </si>
  <si>
    <t xml:space="preserve">P01475</t>
  </si>
  <si>
    <t xml:space="preserve">05:54</t>
  </si>
  <si>
    <t xml:space="preserve">P01808</t>
  </si>
  <si>
    <t xml:space="preserve">20:47</t>
  </si>
  <si>
    <t xml:space="preserve">P00582</t>
  </si>
  <si>
    <t xml:space="preserve">19:26</t>
  </si>
  <si>
    <t xml:space="preserve">P00646</t>
  </si>
  <si>
    <t xml:space="preserve">14:02</t>
  </si>
  <si>
    <t xml:space="preserve">P01621</t>
  </si>
  <si>
    <t xml:space="preserve">17:00</t>
  </si>
  <si>
    <t xml:space="preserve">P01150</t>
  </si>
  <si>
    <t xml:space="preserve">17:06</t>
  </si>
  <si>
    <t xml:space="preserve">P01623</t>
  </si>
  <si>
    <t xml:space="preserve">P00062</t>
  </si>
  <si>
    <t xml:space="preserve">19:43</t>
  </si>
  <si>
    <t xml:space="preserve">P00182</t>
  </si>
  <si>
    <t xml:space="preserve">09:11</t>
  </si>
  <si>
    <t xml:space="preserve">P00085</t>
  </si>
  <si>
    <t xml:space="preserve">13:04</t>
  </si>
  <si>
    <t xml:space="preserve">P01359</t>
  </si>
  <si>
    <t xml:space="preserve">10:24</t>
  </si>
  <si>
    <t xml:space="preserve">P01346</t>
  </si>
  <si>
    <t xml:space="preserve">08:53</t>
  </si>
  <si>
    <t xml:space="preserve">P00933</t>
  </si>
  <si>
    <t xml:space="preserve">09:32</t>
  </si>
  <si>
    <t xml:space="preserve">P01484</t>
  </si>
  <si>
    <t xml:space="preserve">07:57</t>
  </si>
  <si>
    <t xml:space="preserve">P00465</t>
  </si>
  <si>
    <t xml:space="preserve">13:55</t>
  </si>
  <si>
    <t xml:space="preserve">P01207</t>
  </si>
  <si>
    <t xml:space="preserve">P00198</t>
  </si>
  <si>
    <t xml:space="preserve">22:28</t>
  </si>
  <si>
    <t xml:space="preserve">P00249</t>
  </si>
  <si>
    <t xml:space="preserve">11:21</t>
  </si>
  <si>
    <t xml:space="preserve">P00355</t>
  </si>
  <si>
    <t xml:space="preserve">04:53</t>
  </si>
  <si>
    <t xml:space="preserve">P01397</t>
  </si>
  <si>
    <t xml:space="preserve">04:50</t>
  </si>
  <si>
    <t xml:space="preserve">P00174</t>
  </si>
  <si>
    <t xml:space="preserve">11:05</t>
  </si>
  <si>
    <t xml:space="preserve">P00548</t>
  </si>
  <si>
    <t xml:space="preserve">19:00</t>
  </si>
  <si>
    <t xml:space="preserve">P01948</t>
  </si>
  <si>
    <t xml:space="preserve">06:53</t>
  </si>
  <si>
    <t xml:space="preserve">P01083</t>
  </si>
  <si>
    <t xml:space="preserve">02:16</t>
  </si>
  <si>
    <t xml:space="preserve">P00915</t>
  </si>
  <si>
    <t xml:space="preserve">01:09</t>
  </si>
  <si>
    <t xml:space="preserve">P00081</t>
  </si>
  <si>
    <t xml:space="preserve">05:37</t>
  </si>
  <si>
    <t xml:space="preserve">P01931</t>
  </si>
  <si>
    <t xml:space="preserve">15:58</t>
  </si>
  <si>
    <t xml:space="preserve">P00581</t>
  </si>
  <si>
    <t xml:space="preserve">16:27</t>
  </si>
  <si>
    <t xml:space="preserve">P01172</t>
  </si>
  <si>
    <t xml:space="preserve">08:59</t>
  </si>
  <si>
    <t xml:space="preserve">P01889</t>
  </si>
  <si>
    <t xml:space="preserve">23:46</t>
  </si>
  <si>
    <t xml:space="preserve">P00729</t>
  </si>
  <si>
    <t xml:space="preserve">09:03</t>
  </si>
  <si>
    <t xml:space="preserve">P00822</t>
  </si>
  <si>
    <t xml:space="preserve">04:27</t>
  </si>
  <si>
    <t xml:space="preserve">P00918</t>
  </si>
  <si>
    <t xml:space="preserve">P00446</t>
  </si>
  <si>
    <t xml:space="preserve">17:35</t>
  </si>
  <si>
    <t xml:space="preserve">P01269</t>
  </si>
  <si>
    <t xml:space="preserve">16:56</t>
  </si>
  <si>
    <t xml:space="preserve">P00067</t>
  </si>
  <si>
    <t xml:space="preserve">P01893</t>
  </si>
  <si>
    <t xml:space="preserve">11:51</t>
  </si>
  <si>
    <t xml:space="preserve">P01125</t>
  </si>
  <si>
    <t xml:space="preserve">11:24</t>
  </si>
  <si>
    <t xml:space="preserve">P00156</t>
  </si>
  <si>
    <t xml:space="preserve">19:23</t>
  </si>
  <si>
    <t xml:space="preserve">P01082</t>
  </si>
  <si>
    <t xml:space="preserve">P01952</t>
  </si>
  <si>
    <t xml:space="preserve">P01902</t>
  </si>
  <si>
    <t xml:space="preserve">06:20</t>
  </si>
  <si>
    <t xml:space="preserve">P01625</t>
  </si>
  <si>
    <t xml:space="preserve">P01477</t>
  </si>
  <si>
    <t xml:space="preserve">P00541</t>
  </si>
  <si>
    <t xml:space="preserve">P01642</t>
  </si>
  <si>
    <t xml:space="preserve">P00857</t>
  </si>
  <si>
    <t xml:space="preserve">P01921</t>
  </si>
  <si>
    <t xml:space="preserve">23:22</t>
  </si>
  <si>
    <t xml:space="preserve">P00369</t>
  </si>
  <si>
    <t xml:space="preserve">P00530</t>
  </si>
  <si>
    <t xml:space="preserve">19:58</t>
  </si>
  <si>
    <t xml:space="preserve">P00564</t>
  </si>
  <si>
    <t xml:space="preserve">18:29</t>
  </si>
  <si>
    <t xml:space="preserve">P00722</t>
  </si>
  <si>
    <t xml:space="preserve">23:54</t>
  </si>
  <si>
    <t xml:space="preserve">P00482</t>
  </si>
  <si>
    <t xml:space="preserve">P01292</t>
  </si>
  <si>
    <t xml:space="preserve">06:08</t>
  </si>
  <si>
    <t xml:space="preserve">P01909</t>
  </si>
  <si>
    <t xml:space="preserve">P01382</t>
  </si>
  <si>
    <t xml:space="preserve">21:02</t>
  </si>
  <si>
    <t xml:space="preserve">P01529</t>
  </si>
  <si>
    <t xml:space="preserve">04:45</t>
  </si>
  <si>
    <t xml:space="preserve">P00362</t>
  </si>
  <si>
    <t xml:space="preserve">11:37</t>
  </si>
  <si>
    <t xml:space="preserve">P01765</t>
  </si>
  <si>
    <t xml:space="preserve">P00929</t>
  </si>
  <si>
    <t xml:space="preserve">06:50</t>
  </si>
  <si>
    <t xml:space="preserve">P01616</t>
  </si>
  <si>
    <t xml:space="preserve">12:49</t>
  </si>
  <si>
    <t xml:space="preserve">P01825</t>
  </si>
  <si>
    <t xml:space="preserve">P01849</t>
  </si>
  <si>
    <t xml:space="preserve">P01521</t>
  </si>
  <si>
    <t xml:space="preserve">18:24</t>
  </si>
  <si>
    <t xml:space="preserve">P00334</t>
  </si>
  <si>
    <t xml:space="preserve">07:03</t>
  </si>
  <si>
    <t xml:space="preserve">P01323</t>
  </si>
  <si>
    <t xml:space="preserve">16:09</t>
  </si>
  <si>
    <t xml:space="preserve">P00950</t>
  </si>
  <si>
    <t xml:space="preserve">11:01</t>
  </si>
  <si>
    <t xml:space="preserve">P01115</t>
  </si>
  <si>
    <t xml:space="preserve">16:08</t>
  </si>
  <si>
    <t xml:space="preserve">P00157</t>
  </si>
  <si>
    <t xml:space="preserve">17:07</t>
  </si>
  <si>
    <t xml:space="preserve">P01844</t>
  </si>
  <si>
    <t xml:space="preserve">18:32</t>
  </si>
  <si>
    <t xml:space="preserve">P00772</t>
  </si>
  <si>
    <t xml:space="preserve">P01538</t>
  </si>
  <si>
    <t xml:space="preserve">17:26</t>
  </si>
  <si>
    <t xml:space="preserve">P00886</t>
  </si>
  <si>
    <t xml:space="preserve">21:58</t>
  </si>
  <si>
    <t xml:space="preserve">P00716</t>
  </si>
  <si>
    <t xml:space="preserve">P00456</t>
  </si>
  <si>
    <t xml:space="preserve">P01802</t>
  </si>
  <si>
    <t xml:space="preserve">16:14</t>
  </si>
  <si>
    <t xml:space="preserve">P01367</t>
  </si>
  <si>
    <t xml:space="preserve">10:38</t>
  </si>
  <si>
    <t xml:space="preserve">P00142</t>
  </si>
  <si>
    <t xml:space="preserve">00:40</t>
  </si>
  <si>
    <t xml:space="preserve">P00347</t>
  </si>
  <si>
    <t xml:space="preserve">11:22</t>
  </si>
  <si>
    <t xml:space="preserve">P01583</t>
  </si>
  <si>
    <t xml:space="preserve">01:29</t>
  </si>
  <si>
    <t xml:space="preserve">P00453</t>
  </si>
  <si>
    <t xml:space="preserve">22:30</t>
  </si>
  <si>
    <t xml:space="preserve">P01691</t>
  </si>
  <si>
    <t xml:space="preserve">02:15</t>
  </si>
  <si>
    <t xml:space="preserve">P01454</t>
  </si>
  <si>
    <t xml:space="preserve">22:53</t>
  </si>
  <si>
    <t xml:space="preserve">P00336</t>
  </si>
  <si>
    <t xml:space="preserve">23:14</t>
  </si>
  <si>
    <t xml:space="preserve">P01744</t>
  </si>
  <si>
    <t xml:space="preserve">20:48</t>
  </si>
  <si>
    <t xml:space="preserve">P00370</t>
  </si>
  <si>
    <t xml:space="preserve">P01189</t>
  </si>
  <si>
    <t xml:space="preserve">03:27</t>
  </si>
  <si>
    <t xml:space="preserve">P00527</t>
  </si>
  <si>
    <t xml:space="preserve">22:27</t>
  </si>
  <si>
    <t xml:space="preserve">P00015</t>
  </si>
  <si>
    <t xml:space="preserve">P01134</t>
  </si>
  <si>
    <t xml:space="preserve">11:12</t>
  </si>
  <si>
    <t xml:space="preserve">P00335</t>
  </si>
  <si>
    <t xml:space="preserve">12:41</t>
  </si>
  <si>
    <t xml:space="preserve">P01516</t>
  </si>
  <si>
    <t xml:space="preserve">23:10</t>
  </si>
  <si>
    <t xml:space="preserve">P01914</t>
  </si>
  <si>
    <t xml:space="preserve">03:07</t>
  </si>
  <si>
    <t xml:space="preserve">P01870</t>
  </si>
  <si>
    <t xml:space="preserve">20:24</t>
  </si>
  <si>
    <t xml:space="preserve">P00863</t>
  </si>
  <si>
    <t xml:space="preserve">09:19</t>
  </si>
  <si>
    <t xml:space="preserve">P01026</t>
  </si>
  <si>
    <t xml:space="preserve">13:43</t>
  </si>
  <si>
    <t xml:space="preserve">P00602</t>
  </si>
  <si>
    <t xml:space="preserve">P01122</t>
  </si>
  <si>
    <t xml:space="preserve">03:19</t>
  </si>
  <si>
    <t xml:space="preserve">P00401</t>
  </si>
  <si>
    <t xml:space="preserve">P00205</t>
  </si>
  <si>
    <t xml:space="preserve">13:08</t>
  </si>
  <si>
    <t xml:space="preserve">P01141</t>
  </si>
  <si>
    <t xml:space="preserve">05:09</t>
  </si>
  <si>
    <t xml:space="preserve">P01815</t>
  </si>
  <si>
    <t xml:space="preserve">P00850</t>
  </si>
  <si>
    <t xml:space="preserve">13:42</t>
  </si>
  <si>
    <t xml:space="preserve">P00337</t>
  </si>
  <si>
    <t xml:space="preserve">14:51</t>
  </si>
  <si>
    <t xml:space="preserve">P00007</t>
  </si>
  <si>
    <t xml:space="preserve">P01231</t>
  </si>
  <si>
    <t xml:space="preserve">12:44</t>
  </si>
  <si>
    <t xml:space="preserve">P00626</t>
  </si>
  <si>
    <t xml:space="preserve">22:01</t>
  </si>
  <si>
    <t xml:space="preserve">P00309</t>
  </si>
  <si>
    <t xml:space="preserve">P01763</t>
  </si>
  <si>
    <t xml:space="preserve">P00432</t>
  </si>
  <si>
    <t xml:space="preserve">10:34</t>
  </si>
  <si>
    <t xml:space="preserve">P01290</t>
  </si>
  <si>
    <t xml:space="preserve">13:29</t>
  </si>
  <si>
    <t xml:space="preserve">P01816</t>
  </si>
  <si>
    <t xml:space="preserve">12:39</t>
  </si>
  <si>
    <t xml:space="preserve">P01731</t>
  </si>
  <si>
    <t xml:space="preserve">20:49</t>
  </si>
  <si>
    <t xml:space="preserve">P01047</t>
  </si>
  <si>
    <t xml:space="preserve">20:04</t>
  </si>
  <si>
    <t xml:space="preserve">P00288</t>
  </si>
  <si>
    <t xml:space="preserve">14:12</t>
  </si>
  <si>
    <t xml:space="preserve">P01105</t>
  </si>
  <si>
    <t xml:space="preserve">04:38</t>
  </si>
  <si>
    <t xml:space="preserve">P01095</t>
  </si>
  <si>
    <t xml:space="preserve">P00953</t>
  </si>
  <si>
    <t xml:space="preserve">P01814</t>
  </si>
  <si>
    <t xml:space="preserve">P00260</t>
  </si>
  <si>
    <t xml:space="preserve">P00788</t>
  </si>
  <si>
    <t xml:space="preserve">17:11</t>
  </si>
  <si>
    <t xml:space="preserve">P01973</t>
  </si>
  <si>
    <t xml:space="preserve">14:39</t>
  </si>
  <si>
    <t xml:space="preserve">P00995</t>
  </si>
  <si>
    <t xml:space="preserve">P01534</t>
  </si>
  <si>
    <t xml:space="preserve">08:30</t>
  </si>
  <si>
    <t xml:space="preserve">P00364</t>
  </si>
  <si>
    <t xml:space="preserve">18:25</t>
  </si>
  <si>
    <t xml:space="preserve">P00643</t>
  </si>
  <si>
    <t xml:space="preserve">11:10</t>
  </si>
  <si>
    <t xml:space="preserve">P00666</t>
  </si>
  <si>
    <t xml:space="preserve">03:54</t>
  </si>
  <si>
    <t xml:space="preserve">P00302</t>
  </si>
  <si>
    <t xml:space="preserve">21:55</t>
  </si>
  <si>
    <t xml:space="preserve">P00399</t>
  </si>
  <si>
    <t xml:space="preserve">P01267</t>
  </si>
  <si>
    <t xml:space="preserve">04:22</t>
  </si>
  <si>
    <t xml:space="preserve">P00383</t>
  </si>
  <si>
    <t xml:space="preserve">05:53</t>
  </si>
  <si>
    <t xml:space="preserve">P00887</t>
  </si>
  <si>
    <t xml:space="preserve">08:39</t>
  </si>
  <si>
    <t xml:space="preserve">P01772</t>
  </si>
  <si>
    <t xml:space="preserve">03:57</t>
  </si>
  <si>
    <t xml:space="preserve">P01210</t>
  </si>
  <si>
    <t xml:space="preserve">22:42</t>
  </si>
  <si>
    <t xml:space="preserve">P00691</t>
  </si>
  <si>
    <t xml:space="preserve">12:59</t>
  </si>
  <si>
    <t xml:space="preserve">P00504</t>
  </si>
  <si>
    <t xml:space="preserve">16:39</t>
  </si>
  <si>
    <t xml:space="preserve">P00944</t>
  </si>
  <si>
    <t xml:space="preserve">17:16</t>
  </si>
  <si>
    <t xml:space="preserve">P00620</t>
  </si>
  <si>
    <t xml:space="preserve">05:33</t>
  </si>
  <si>
    <t xml:space="preserve">P00697</t>
  </si>
  <si>
    <t xml:space="preserve">09:34</t>
  </si>
  <si>
    <t xml:space="preserve">P01257</t>
  </si>
  <si>
    <t xml:space="preserve">12:50</t>
  </si>
  <si>
    <t xml:space="preserve">P01488</t>
  </si>
  <si>
    <t xml:space="preserve">22:22</t>
  </si>
  <si>
    <t xml:space="preserve">P01877</t>
  </si>
  <si>
    <t xml:space="preserve">P01106</t>
  </si>
  <si>
    <t xml:space="preserve">23:49</t>
  </si>
  <si>
    <t xml:space="preserve">P01591</t>
  </si>
  <si>
    <t xml:space="preserve">15:43</t>
  </si>
  <si>
    <t xml:space="preserve">P00319</t>
  </si>
  <si>
    <t xml:space="preserve">P01713</t>
  </si>
  <si>
    <t xml:space="preserve">P00516</t>
  </si>
  <si>
    <t xml:space="preserve">16:37</t>
  </si>
  <si>
    <t xml:space="preserve">P01455</t>
  </si>
  <si>
    <t xml:space="preserve">P00034</t>
  </si>
  <si>
    <t xml:space="preserve">04:23</t>
  </si>
  <si>
    <t xml:space="preserve">P00112</t>
  </si>
  <si>
    <t xml:space="preserve">01:05</t>
  </si>
  <si>
    <t xml:space="preserve">P01750</t>
  </si>
  <si>
    <t xml:space="preserve">22:04</t>
  </si>
  <si>
    <t xml:space="preserve">P01550</t>
  </si>
  <si>
    <t xml:space="preserve">22:24</t>
  </si>
  <si>
    <t xml:space="preserve">P00273</t>
  </si>
  <si>
    <t xml:space="preserve">02:18</t>
  </si>
  <si>
    <t xml:space="preserve">P00186</t>
  </si>
  <si>
    <t xml:space="preserve">P01666</t>
  </si>
  <si>
    <t xml:space="preserve">08:07</t>
  </si>
  <si>
    <t xml:space="preserve">P01307</t>
  </si>
  <si>
    <t xml:space="preserve">07:34</t>
  </si>
  <si>
    <t xml:space="preserve">P00576</t>
  </si>
  <si>
    <t xml:space="preserve">08:02</t>
  </si>
  <si>
    <t xml:space="preserve">P01620</t>
  </si>
  <si>
    <t xml:space="preserve">16:41</t>
  </si>
  <si>
    <t xml:space="preserve">P01162</t>
  </si>
  <si>
    <t xml:space="preserve">02:48</t>
  </si>
  <si>
    <t xml:space="preserve">P01200</t>
  </si>
  <si>
    <t xml:space="preserve">09:41</t>
  </si>
  <si>
    <t xml:space="preserve">P00041</t>
  </si>
  <si>
    <t xml:space="preserve">09:21</t>
  </si>
  <si>
    <t xml:space="preserve">P01015</t>
  </si>
  <si>
    <t xml:space="preserve">P01043</t>
  </si>
  <si>
    <t xml:space="preserve">03:32</t>
  </si>
  <si>
    <t xml:space="preserve">P01829</t>
  </si>
  <si>
    <t xml:space="preserve">P01912</t>
  </si>
  <si>
    <t xml:space="preserve">00:36</t>
  </si>
  <si>
    <t xml:space="preserve">P01356</t>
  </si>
  <si>
    <t xml:space="preserve">P00503</t>
  </si>
  <si>
    <t xml:space="preserve">10:50</t>
  </si>
  <si>
    <t xml:space="preserve">P01117</t>
  </si>
  <si>
    <t xml:space="preserve">06:30</t>
  </si>
  <si>
    <t xml:space="preserve">P01432</t>
  </si>
  <si>
    <t xml:space="preserve">02:59</t>
  </si>
  <si>
    <t xml:space="preserve">P00072</t>
  </si>
  <si>
    <t xml:space="preserve">18:01</t>
  </si>
  <si>
    <t xml:space="preserve">P01506</t>
  </si>
  <si>
    <t xml:space="preserve">08:04</t>
  </si>
  <si>
    <t xml:space="preserve">P00942</t>
  </si>
  <si>
    <t xml:space="preserve">21:50</t>
  </si>
  <si>
    <t xml:space="preserve">P01660</t>
  </si>
  <si>
    <t xml:space="preserve">17:10</t>
  </si>
  <si>
    <t xml:space="preserve">P01509</t>
  </si>
  <si>
    <t xml:space="preserve">22:55</t>
  </si>
  <si>
    <t xml:space="preserve">P01180</t>
  </si>
  <si>
    <t xml:space="preserve">17:20</t>
  </si>
  <si>
    <t xml:space="preserve">P01456</t>
  </si>
  <si>
    <t xml:space="preserve">P01782</t>
  </si>
  <si>
    <t xml:space="preserve">16:32</t>
  </si>
  <si>
    <t xml:space="preserve">P00539</t>
  </si>
  <si>
    <t xml:space="preserve">10:35</t>
  </si>
  <si>
    <t xml:space="preserve">P00958</t>
  </si>
  <si>
    <t xml:space="preserve">12:52</t>
  </si>
  <si>
    <t xml:space="preserve">P01788</t>
  </si>
  <si>
    <t xml:space="preserve">01:01</t>
  </si>
  <si>
    <t xml:space="preserve">P01553</t>
  </si>
  <si>
    <t xml:space="preserve">P01756</t>
  </si>
  <si>
    <t xml:space="preserve">19:36</t>
  </si>
  <si>
    <t xml:space="preserve">P01467</t>
  </si>
  <si>
    <t xml:space="preserve">P01726</t>
  </si>
  <si>
    <t xml:space="preserve">P00737</t>
  </si>
  <si>
    <t xml:space="preserve">P01681</t>
  </si>
  <si>
    <t xml:space="preserve">P01157</t>
  </si>
  <si>
    <t xml:space="preserve">23:18</t>
  </si>
  <si>
    <t xml:space="preserve">P00385</t>
  </si>
  <si>
    <t xml:space="preserve">P01483</t>
  </si>
  <si>
    <t xml:space="preserve">08:34</t>
  </si>
  <si>
    <t xml:space="preserve">P01626</t>
  </si>
  <si>
    <t xml:space="preserve">03:45</t>
  </si>
  <si>
    <t xml:space="preserve">P01759</t>
  </si>
  <si>
    <t xml:space="preserve">03:02</t>
  </si>
  <si>
    <t xml:space="preserve">P00387</t>
  </si>
  <si>
    <t xml:space="preserve">07:50</t>
  </si>
  <si>
    <t xml:space="preserve">P00090</t>
  </si>
  <si>
    <t xml:space="preserve">P00827</t>
  </si>
  <si>
    <t xml:space="preserve">P00308</t>
  </si>
  <si>
    <t xml:space="preserve">P00287</t>
  </si>
  <si>
    <t xml:space="preserve">11:43</t>
  </si>
  <si>
    <t xml:space="preserve">P01860</t>
  </si>
  <si>
    <t xml:space="preserve">P00147</t>
  </si>
  <si>
    <t xml:space="preserve">13:59</t>
  </si>
  <si>
    <t xml:space="preserve">P01998</t>
  </si>
  <si>
    <t xml:space="preserve">P01297</t>
  </si>
  <si>
    <t xml:space="preserve">P01732</t>
  </si>
  <si>
    <t xml:space="preserve">P01950</t>
  </si>
  <si>
    <t xml:space="preserve">P00853</t>
  </si>
  <si>
    <t xml:space="preserve">P00184</t>
  </si>
  <si>
    <t xml:space="preserve">P00404</t>
  </si>
  <si>
    <t xml:space="preserve">04:13</t>
  </si>
  <si>
    <t xml:space="preserve">P01959</t>
  </si>
  <si>
    <t xml:space="preserve">07:02</t>
  </si>
  <si>
    <t xml:space="preserve">P00059</t>
  </si>
  <si>
    <t xml:space="preserve">P00512</t>
  </si>
  <si>
    <t xml:space="preserve">P00442</t>
  </si>
  <si>
    <t xml:space="preserve">21:18</t>
  </si>
  <si>
    <t xml:space="preserve">P01543</t>
  </si>
  <si>
    <t xml:space="preserve">P00542</t>
  </si>
  <si>
    <t xml:space="preserve">17:49</t>
  </si>
  <si>
    <t xml:space="preserve">P01939</t>
  </si>
  <si>
    <t xml:space="preserve">13:38</t>
  </si>
  <si>
    <t xml:space="preserve">P01962</t>
  </si>
  <si>
    <t xml:space="preserve">P00509</t>
  </si>
  <si>
    <t xml:space="preserve">P00736</t>
  </si>
  <si>
    <t xml:space="preserve">06:56</t>
  </si>
  <si>
    <t xml:space="preserve">P00478</t>
  </si>
  <si>
    <t xml:space="preserve">P00758</t>
  </si>
  <si>
    <t xml:space="preserve">11:20</t>
  </si>
  <si>
    <t xml:space="preserve">P00992</t>
  </si>
  <si>
    <t xml:space="preserve">P01384</t>
  </si>
  <si>
    <t xml:space="preserve">05:59</t>
  </si>
  <si>
    <t xml:space="preserve">P00463</t>
  </si>
  <si>
    <t xml:space="preserve">01:57</t>
  </si>
  <si>
    <t xml:space="preserve">P01045</t>
  </si>
  <si>
    <t xml:space="preserve">P01929</t>
  </si>
  <si>
    <t xml:space="preserve">18:02</t>
  </si>
  <si>
    <t xml:space="preserve">P00917</t>
  </si>
  <si>
    <t xml:space="preserve">02:19</t>
  </si>
  <si>
    <t xml:space="preserve">P00967</t>
  </si>
  <si>
    <t xml:space="preserve">00:02</t>
  </si>
  <si>
    <t xml:space="preserve">P01225</t>
  </si>
  <si>
    <t xml:space="preserve">13:26</t>
  </si>
  <si>
    <t xml:space="preserve">P01883</t>
  </si>
  <si>
    <t xml:space="preserve">15:54</t>
  </si>
  <si>
    <t xml:space="preserve">P00437</t>
  </si>
  <si>
    <t xml:space="preserve">06:29</t>
  </si>
  <si>
    <t xml:space="preserve">P01252</t>
  </si>
  <si>
    <t xml:space="preserve">04:35</t>
  </si>
  <si>
    <t xml:space="preserve">P00634</t>
  </si>
  <si>
    <t xml:space="preserve">20:14</t>
  </si>
  <si>
    <t xml:space="preserve">P00195</t>
  </si>
  <si>
    <t xml:space="preserve">16:43</t>
  </si>
  <si>
    <t xml:space="preserve">P01177</t>
  </si>
  <si>
    <t xml:space="preserve">02:00</t>
  </si>
  <si>
    <t xml:space="preserve">P00523</t>
  </si>
  <si>
    <t xml:space="preserve">P01991</t>
  </si>
  <si>
    <t xml:space="preserve">P01091</t>
  </si>
  <si>
    <t xml:space="preserve">09:10</t>
  </si>
  <si>
    <t xml:space="preserve">P00836</t>
  </si>
  <si>
    <t xml:space="preserve">06:54</t>
  </si>
  <si>
    <t xml:space="preserve">P00771</t>
  </si>
  <si>
    <t xml:space="preserve">17:41</t>
  </si>
  <si>
    <t xml:space="preserve">P01703</t>
  </si>
  <si>
    <t xml:space="preserve">12:05</t>
  </si>
  <si>
    <t xml:space="preserve">P00981</t>
  </si>
  <si>
    <t xml:space="preserve">16:52</t>
  </si>
  <si>
    <t xml:space="preserve">P00388</t>
  </si>
  <si>
    <t xml:space="preserve">P01961</t>
  </si>
  <si>
    <t xml:space="preserve">P01928</t>
  </si>
  <si>
    <t xml:space="preserve">06:41</t>
  </si>
  <si>
    <t xml:space="preserve">P01273</t>
  </si>
  <si>
    <t xml:space="preserve">P00676</t>
  </si>
  <si>
    <t xml:space="preserve">08:26</t>
  </si>
  <si>
    <t xml:space="preserve">P00650</t>
  </si>
  <si>
    <t xml:space="preserve">04:52</t>
  </si>
  <si>
    <t xml:space="preserve">P00732</t>
  </si>
  <si>
    <t xml:space="preserve">P00266</t>
  </si>
  <si>
    <t xml:space="preserve">13:16</t>
  </si>
  <si>
    <t xml:space="preserve">P00569</t>
  </si>
  <si>
    <t xml:space="preserve">P01675</t>
  </si>
  <si>
    <t xml:space="preserve">P00458</t>
  </si>
  <si>
    <t xml:space="preserve">P01774</t>
  </si>
  <si>
    <t xml:space="preserve">P01736</t>
  </si>
  <si>
    <t xml:space="preserve">P01709</t>
  </si>
  <si>
    <t xml:space="preserve">20:01</t>
  </si>
  <si>
    <t xml:space="preserve">P00678</t>
  </si>
  <si>
    <t xml:space="preserve">15:29</t>
  </si>
  <si>
    <t xml:space="preserve">P00274</t>
  </si>
  <si>
    <t xml:space="preserve">09:37</t>
  </si>
  <si>
    <t xml:space="preserve">P01839</t>
  </si>
  <si>
    <t xml:space="preserve">06:07</t>
  </si>
  <si>
    <t xml:space="preserve">P00547</t>
  </si>
  <si>
    <t xml:space="preserve">00:22</t>
  </si>
  <si>
    <t xml:space="preserve">P00615</t>
  </si>
  <si>
    <t xml:space="preserve">P00804</t>
  </si>
  <si>
    <t xml:space="preserve">10:02</t>
  </si>
  <si>
    <t xml:space="preserve">P00047</t>
  </si>
  <si>
    <t xml:space="preserve">01:41</t>
  </si>
  <si>
    <t xml:space="preserve">P00310</t>
  </si>
  <si>
    <t xml:space="preserve">03:13</t>
  </si>
  <si>
    <t xml:space="preserve">P00259</t>
  </si>
  <si>
    <t xml:space="preserve">06:13</t>
  </si>
  <si>
    <t xml:space="preserve">P01175</t>
  </si>
  <si>
    <t xml:space="preserve">P01751</t>
  </si>
  <si>
    <t xml:space="preserve">13:12</t>
  </si>
  <si>
    <t xml:space="preserve">P01069</t>
  </si>
  <si>
    <t xml:space="preserve">00:30</t>
  </si>
  <si>
    <t xml:space="preserve">P00672</t>
  </si>
  <si>
    <t xml:space="preserve">P01121</t>
  </si>
  <si>
    <t xml:space="preserve">P00189</t>
  </si>
  <si>
    <t xml:space="preserve">17:31</t>
  </si>
  <si>
    <t xml:space="preserve">P00408</t>
  </si>
  <si>
    <t xml:space="preserve">11:14</t>
  </si>
  <si>
    <t xml:space="preserve">P00316</t>
  </si>
  <si>
    <t xml:space="preserve">10:43</t>
  </si>
  <si>
    <t xml:space="preserve">P01400</t>
  </si>
  <si>
    <t xml:space="preserve">P00614</t>
  </si>
  <si>
    <t xml:space="preserve">08:52</t>
  </si>
  <si>
    <t xml:space="preserve">P00430</t>
  </si>
  <si>
    <t xml:space="preserve">13:23</t>
  </si>
  <si>
    <t xml:space="preserve">P01836</t>
  </si>
  <si>
    <t xml:space="preserve">07:13</t>
  </si>
  <si>
    <t xml:space="preserve">P00799</t>
  </si>
  <si>
    <t xml:space="preserve">16:01</t>
  </si>
  <si>
    <t xml:space="preserve">P01632</t>
  </si>
  <si>
    <t xml:space="preserve">09:39</t>
  </si>
  <si>
    <t xml:space="preserve">P00193</t>
  </si>
  <si>
    <t xml:space="preserve">20:46</t>
  </si>
  <si>
    <t xml:space="preserve">P00875</t>
  </si>
  <si>
    <t xml:space="preserve">22:21</t>
  </si>
  <si>
    <t xml:space="preserve">P01971</t>
  </si>
  <si>
    <t xml:space="preserve">P01487</t>
  </si>
  <si>
    <t xml:space="preserve">P01654</t>
  </si>
  <si>
    <t xml:space="preserve">P00312</t>
  </si>
  <si>
    <t xml:space="preserve">14:07</t>
  </si>
  <si>
    <t xml:space="preserve">P01600</t>
  </si>
  <si>
    <t xml:space="preserve">12:54</t>
  </si>
  <si>
    <t xml:space="preserve">P00019</t>
  </si>
  <si>
    <t xml:space="preserve">16:46</t>
  </si>
  <si>
    <t xml:space="preserve">P00924</t>
  </si>
  <si>
    <t xml:space="preserve">02:13</t>
  </si>
  <si>
    <t xml:space="preserve">P00787</t>
  </si>
  <si>
    <t xml:space="preserve">00:21</t>
  </si>
  <si>
    <t xml:space="preserve">P00018</t>
  </si>
  <si>
    <t xml:space="preserve">15:10</t>
  </si>
  <si>
    <t xml:space="preserve">P01784</t>
  </si>
  <si>
    <t xml:space="preserve">P01505</t>
  </si>
  <si>
    <t xml:space="preserve">P00730</t>
  </si>
  <si>
    <t xml:space="preserve">17:02</t>
  </si>
  <si>
    <t xml:space="preserve">P00921</t>
  </si>
  <si>
    <t xml:space="preserve">19:34</t>
  </si>
  <si>
    <t xml:space="preserve">P01044</t>
  </si>
  <si>
    <t xml:space="preserve">08:54</t>
  </si>
  <si>
    <t xml:space="preserve">P00505</t>
  </si>
  <si>
    <t xml:space="preserve">11:49</t>
  </si>
  <si>
    <t xml:space="preserve">P01352</t>
  </si>
  <si>
    <t xml:space="preserve">P01700</t>
  </si>
  <si>
    <t xml:space="preserve">23:09</t>
  </si>
  <si>
    <t xml:space="preserve">P00764</t>
  </si>
  <si>
    <t xml:space="preserve">22:40</t>
  </si>
  <si>
    <t xml:space="preserve">P01460</t>
  </si>
  <si>
    <t xml:space="preserve">00:24</t>
  </si>
  <si>
    <t xml:space="preserve">P01319</t>
  </si>
  <si>
    <t xml:space="preserve">P01515</t>
  </si>
  <si>
    <t xml:space="preserve">06:32</t>
  </si>
  <si>
    <t xml:space="preserve">P00422</t>
  </si>
  <si>
    <t xml:space="preserve">15:57</t>
  </si>
  <si>
    <t xml:space="preserve">P01557</t>
  </si>
  <si>
    <t xml:space="preserve">P01265</t>
  </si>
  <si>
    <t xml:space="preserve">19:49</t>
  </si>
  <si>
    <t xml:space="preserve">P00766</t>
  </si>
  <si>
    <t xml:space="preserve">11:56</t>
  </si>
  <si>
    <t xml:space="preserve">P00372</t>
  </si>
  <si>
    <t xml:space="preserve">03:38</t>
  </si>
  <si>
    <t xml:space="preserve">P00998</t>
  </si>
  <si>
    <t xml:space="preserve">12:33</t>
  </si>
  <si>
    <t xml:space="preserve">P01343</t>
  </si>
  <si>
    <t xml:space="preserve">P01325</t>
  </si>
  <si>
    <t xml:space="preserve">P01206</t>
  </si>
  <si>
    <t xml:space="preserve">19:24</t>
  </si>
  <si>
    <t xml:space="preserve">P00565</t>
  </si>
  <si>
    <t xml:space="preserve">06:01</t>
  </si>
  <si>
    <t xml:space="preserve">P00543</t>
  </si>
  <si>
    <t xml:space="preserve">P01605</t>
  </si>
  <si>
    <t xml:space="preserve">P01683</t>
  </si>
  <si>
    <t xml:space="preserve">12:18</t>
  </si>
  <si>
    <t xml:space="preserve">P01831</t>
  </si>
  <si>
    <t xml:space="preserve">09:30</t>
  </si>
  <si>
    <t xml:space="preserve">P00696</t>
  </si>
  <si>
    <t xml:space="preserve">P01886</t>
  </si>
  <si>
    <t xml:space="preserve">01:04</t>
  </si>
  <si>
    <t xml:space="preserve">P00428</t>
  </si>
  <si>
    <t xml:space="preserve">22:07</t>
  </si>
  <si>
    <t xml:space="preserve">P01168</t>
  </si>
  <si>
    <t xml:space="preserve">P00284</t>
  </si>
  <si>
    <t xml:space="preserve">13:19</t>
  </si>
  <si>
    <t xml:space="preserve">P00350</t>
  </si>
  <si>
    <t xml:space="preserve">P00305</t>
  </si>
  <si>
    <t xml:space="preserve">P00354</t>
  </si>
  <si>
    <t xml:space="preserve">P01038</t>
  </si>
  <si>
    <t xml:space="preserve">21:11</t>
  </si>
  <si>
    <t xml:space="preserve">P00418</t>
  </si>
  <si>
    <t xml:space="preserve">08:00</t>
  </si>
  <si>
    <t xml:space="preserve">P01807</t>
  </si>
  <si>
    <t xml:space="preserve">19:47</t>
  </si>
  <si>
    <t xml:space="preserve">P01743</t>
  </si>
  <si>
    <t xml:space="preserve">07:07</t>
  </si>
  <si>
    <t xml:space="preserve">P01216</t>
  </si>
  <si>
    <t xml:space="preserve">06:35</t>
  </si>
  <si>
    <t xml:space="preserve">P00625</t>
  </si>
  <si>
    <t xml:space="preserve">16:30</t>
  </si>
  <si>
    <t xml:space="preserve">P00513</t>
  </si>
  <si>
    <t xml:space="preserve">11:27</t>
  </si>
  <si>
    <t xml:space="preserve">P00110</t>
  </si>
  <si>
    <t xml:space="preserve">P00779</t>
  </si>
  <si>
    <t xml:space="preserve">15:24</t>
  </si>
  <si>
    <t xml:space="preserve">P00577</t>
  </si>
  <si>
    <t xml:space="preserve">05:45</t>
  </si>
  <si>
    <t xml:space="preserve">P01112</t>
  </si>
  <si>
    <t xml:space="preserve">20:09</t>
  </si>
  <si>
    <t xml:space="preserve">P00985</t>
  </si>
  <si>
    <t xml:space="preserve">P00250</t>
  </si>
  <si>
    <t xml:space="preserve">20:03</t>
  </si>
  <si>
    <t xml:space="preserve">P01970</t>
  </si>
  <si>
    <t xml:space="preserve">P01485</t>
  </si>
  <si>
    <t xml:space="preserve">10:03</t>
  </si>
  <si>
    <t xml:space="preserve">P01891</t>
  </si>
  <si>
    <t xml:space="preserve">05:32</t>
  </si>
  <si>
    <t xml:space="preserve">P00161</t>
  </si>
  <si>
    <t xml:space="preserve">12:27</t>
  </si>
  <si>
    <t xml:space="preserve">P00531</t>
  </si>
  <si>
    <t xml:space="preserve">P01000</t>
  </si>
  <si>
    <t xml:space="preserve">14:17</t>
  </si>
  <si>
    <t xml:space="preserve">P01881</t>
  </si>
  <si>
    <t xml:space="preserve">04:36</t>
  </si>
  <si>
    <t xml:space="preserve">P01133</t>
  </si>
  <si>
    <t xml:space="preserve">00:26</t>
  </si>
  <si>
    <t xml:space="preserve">P01792</t>
  </si>
  <si>
    <t xml:space="preserve">P01062</t>
  </si>
  <si>
    <t xml:space="preserve">17:19</t>
  </si>
  <si>
    <t xml:space="preserve">P01154</t>
  </si>
  <si>
    <t xml:space="preserve">04:07</t>
  </si>
  <si>
    <t xml:space="preserve">P01630</t>
  </si>
  <si>
    <t xml:space="preserve">P01798</t>
  </si>
  <si>
    <t xml:space="preserve">06:55</t>
  </si>
  <si>
    <t xml:space="preserve">P00679</t>
  </si>
  <si>
    <t xml:space="preserve">21:13</t>
  </si>
  <si>
    <t xml:space="preserve">P01663</t>
  </si>
  <si>
    <t xml:space="preserve">P01495</t>
  </si>
  <si>
    <t xml:space="preserve">08:13</t>
  </si>
  <si>
    <t xml:space="preserve">P00042</t>
  </si>
  <si>
    <t xml:space="preserve">16:10</t>
  </si>
  <si>
    <t xml:space="preserve">P00257</t>
  </si>
  <si>
    <t xml:space="preserve">P00213</t>
  </si>
  <si>
    <t xml:space="preserve">08:18</t>
  </si>
  <si>
    <t xml:space="preserve">P01276</t>
  </si>
  <si>
    <t xml:space="preserve">08:55</t>
  </si>
  <si>
    <t xml:space="preserve">P01147</t>
  </si>
  <si>
    <t xml:space="preserve">04:40</t>
  </si>
  <si>
    <t xml:space="preserve">P01431</t>
  </si>
  <si>
    <t xml:space="preserve">23:35</t>
  </si>
  <si>
    <t xml:space="preserve">P00735</t>
  </si>
  <si>
    <t xml:space="preserve">21:15</t>
  </si>
  <si>
    <t xml:space="preserve">P00236</t>
  </si>
  <si>
    <t xml:space="preserve">19:27</t>
  </si>
  <si>
    <t xml:space="preserve">P01637</t>
  </si>
  <si>
    <t xml:space="preserve">03:08</t>
  </si>
  <si>
    <t xml:space="preserve">P01781</t>
  </si>
  <si>
    <t xml:space="preserve">P00824</t>
  </si>
  <si>
    <t xml:space="preserve">P00862</t>
  </si>
  <si>
    <t xml:space="preserve">P01102</t>
  </si>
  <si>
    <t xml:space="preserve">20:55</t>
  </si>
  <si>
    <t xml:space="preserve">P00022</t>
  </si>
  <si>
    <t xml:space="preserve">P01678</t>
  </si>
  <si>
    <t xml:space="preserve">01:14</t>
  </si>
  <si>
    <t xml:space="preserve">P01661</t>
  </si>
  <si>
    <t xml:space="preserve">P01712</t>
  </si>
  <si>
    <t xml:space="preserve">P00511</t>
  </si>
  <si>
    <t xml:space="preserve">21:19</t>
  </si>
  <si>
    <t xml:space="preserve">P01730</t>
  </si>
  <si>
    <t xml:space="preserve">17:39</t>
  </si>
  <si>
    <t xml:space="preserve">P01318</t>
  </si>
  <si>
    <t xml:space="preserve">00:39</t>
  </si>
  <si>
    <t xml:space="preserve">P01130</t>
  </si>
  <si>
    <t xml:space="preserve">11:17</t>
  </si>
  <si>
    <t xml:space="preserve">P01647</t>
  </si>
  <si>
    <t xml:space="preserve">P00499</t>
  </si>
  <si>
    <t xml:space="preserve">P00712</t>
  </si>
  <si>
    <t xml:space="preserve">05:07</t>
  </si>
  <si>
    <t xml:space="preserve">P00071</t>
  </si>
  <si>
    <t xml:space="preserve">02:50</t>
  </si>
  <si>
    <t xml:space="preserve">P00368</t>
  </si>
  <si>
    <t xml:space="preserve">16:12</t>
  </si>
  <si>
    <t xml:space="preserve">P01119</t>
  </si>
  <si>
    <t xml:space="preserve">P01822</t>
  </si>
  <si>
    <t xml:space="preserve">P01742</t>
  </si>
  <si>
    <t xml:space="preserve">02:10</t>
  </si>
  <si>
    <t xml:space="preserve">P00021</t>
  </si>
  <si>
    <t xml:space="preserve">P01452</t>
  </si>
  <si>
    <t xml:space="preserve">P01167</t>
  </si>
  <si>
    <t xml:space="preserve">00:08</t>
  </si>
  <si>
    <t xml:space="preserve">P00613</t>
  </si>
  <si>
    <t xml:space="preserve">10:23</t>
  </si>
  <si>
    <t xml:space="preserve">P00769</t>
  </si>
  <si>
    <t xml:space="preserve">08:45</t>
  </si>
  <si>
    <t xml:space="preserve">P01537</t>
  </si>
  <si>
    <t xml:space="preserve">09:38</t>
  </si>
  <si>
    <t xml:space="preserve">P01760</t>
  </si>
  <si>
    <t xml:space="preserve">23:16</t>
  </si>
  <si>
    <t xml:space="preserve">P00740</t>
  </si>
  <si>
    <t xml:space="preserve">23:20</t>
  </si>
  <si>
    <t xml:space="preserve">P01659</t>
  </si>
  <si>
    <t xml:space="preserve">00:29</t>
  </si>
  <si>
    <t xml:space="preserve">P00945</t>
  </si>
  <si>
    <t xml:space="preserve">00:04</t>
  </si>
  <si>
    <t xml:space="preserve">P00129</t>
  </si>
  <si>
    <t xml:space="preserve">09:20</t>
  </si>
  <si>
    <t xml:space="preserve">P01052</t>
  </si>
  <si>
    <t xml:space="preserve">11:16</t>
  </si>
  <si>
    <t xml:space="preserve">P00403</t>
  </si>
  <si>
    <t xml:space="preserve">14:59</t>
  </si>
  <si>
    <t xml:space="preserve">P01078</t>
  </si>
  <si>
    <t xml:space="preserve">12:23</t>
  </si>
  <si>
    <t xml:space="preserve">P01602</t>
  </si>
  <si>
    <t xml:space="preserve">P01735</t>
  </si>
  <si>
    <t xml:space="preserve">P00580</t>
  </si>
  <si>
    <t xml:space="preserve">16:35</t>
  </si>
  <si>
    <t xml:space="preserve">P01577</t>
  </si>
  <si>
    <t xml:space="preserve">09:45</t>
  </si>
  <si>
    <t xml:space="preserve">P01363</t>
  </si>
  <si>
    <t xml:space="preserve">22:13</t>
  </si>
  <si>
    <t xml:space="preserve">P01966</t>
  </si>
  <si>
    <t xml:space="preserve">16:54</t>
  </si>
  <si>
    <t xml:space="preserve">P00665</t>
  </si>
  <si>
    <t xml:space="preserve">07:01</t>
  </si>
  <si>
    <t xml:space="preserve">P00454</t>
  </si>
  <si>
    <t xml:space="preserve">08:38</t>
  </si>
  <si>
    <t xml:space="preserve">P01629</t>
  </si>
  <si>
    <t xml:space="preserve">19:45</t>
  </si>
  <si>
    <t xml:space="preserve">P01649</t>
  </si>
  <si>
    <t xml:space="preserve">20:11</t>
  </si>
  <si>
    <t xml:space="preserve">P01840</t>
  </si>
  <si>
    <t xml:space="preserve">P00520</t>
  </si>
  <si>
    <t xml:space="preserve">P00941</t>
  </si>
  <si>
    <t xml:space="preserve">19:28</t>
  </si>
  <si>
    <t xml:space="preserve">P00178</t>
  </si>
  <si>
    <t xml:space="preserve">P01309</t>
  </si>
  <si>
    <t xml:space="preserve">P00957</t>
  </si>
  <si>
    <t xml:space="preserve">15:11</t>
  </si>
  <si>
    <t xml:space="preserve">P00791</t>
  </si>
  <si>
    <t xml:space="preserve">P00313</t>
  </si>
  <si>
    <t xml:space="preserve">P00342</t>
  </si>
  <si>
    <t xml:space="preserve">06:31</t>
  </si>
  <si>
    <t xml:space="preserve">P00103</t>
  </si>
  <si>
    <t xml:space="preserve">18:31</t>
  </si>
  <si>
    <t xml:space="preserve">P01664</t>
  </si>
  <si>
    <t xml:space="preserve">P00689</t>
  </si>
  <si>
    <t xml:space="preserve">12:16</t>
  </si>
  <si>
    <t xml:space="preserve">P01669</t>
  </si>
  <si>
    <t xml:space="preserve">19:57</t>
  </si>
  <si>
    <t xml:space="preserve">P00048</t>
  </si>
  <si>
    <t xml:space="preserve">15:56</t>
  </si>
  <si>
    <t xml:space="preserve">P01145</t>
  </si>
  <si>
    <t xml:space="preserve">P00497</t>
  </si>
  <si>
    <t xml:space="preserve">01:07</t>
  </si>
  <si>
    <t xml:space="preserve">P01067</t>
  </si>
  <si>
    <t xml:space="preserve">07:08</t>
  </si>
  <si>
    <t xml:space="preserve">P00172</t>
  </si>
  <si>
    <t xml:space="preserve">P01536</t>
  </si>
  <si>
    <t xml:space="preserve">17:05</t>
  </si>
  <si>
    <t xml:space="preserve">P01697</t>
  </si>
  <si>
    <t xml:space="preserve">P00109</t>
  </si>
  <si>
    <t xml:space="preserve">03:03</t>
  </si>
  <si>
    <t xml:space="preserve">P01423</t>
  </si>
  <si>
    <t xml:space="preserve">23:57</t>
  </si>
  <si>
    <t xml:space="preserve">P01924</t>
  </si>
  <si>
    <t xml:space="preserve">14:36</t>
  </si>
  <si>
    <t xml:space="preserve">P00574</t>
  </si>
  <si>
    <t xml:space="preserve">21:52</t>
  </si>
  <si>
    <t xml:space="preserve">P01999</t>
  </si>
  <si>
    <t xml:space="preserve">P01820</t>
  </si>
  <si>
    <t xml:space="preserve">06:22</t>
  </si>
  <si>
    <t xml:space="preserve">P00785</t>
  </si>
  <si>
    <t xml:space="preserve">23:12</t>
  </si>
  <si>
    <t xml:space="preserve">P00406</t>
  </si>
  <si>
    <t xml:space="preserve">21:42</t>
  </si>
  <si>
    <t xml:space="preserve">P00280</t>
  </si>
  <si>
    <t xml:space="preserve">23:26</t>
  </si>
  <si>
    <t xml:space="preserve">P00286</t>
  </si>
  <si>
    <t xml:space="preserve">13:17</t>
  </si>
  <si>
    <t xml:space="preserve">P01238</t>
  </si>
  <si>
    <t xml:space="preserve">01:35</t>
  </si>
  <si>
    <t xml:space="preserve">P01864</t>
  </si>
  <si>
    <t xml:space="preserve">P00930</t>
  </si>
  <si>
    <t xml:space="preserve">P00826</t>
  </si>
  <si>
    <t xml:space="preserve">21:36</t>
  </si>
  <si>
    <t xml:space="preserve">P01804</t>
  </si>
  <si>
    <t xml:space="preserve">08:43</t>
  </si>
  <si>
    <t xml:space="preserve">P01144</t>
  </si>
  <si>
    <t xml:space="preserve">22:56</t>
  </si>
  <si>
    <t xml:space="preserve">P00979</t>
  </si>
  <si>
    <t xml:space="preserve">P00130</t>
  </si>
  <si>
    <t xml:space="preserve">15:36</t>
  </si>
  <si>
    <t xml:space="preserve">P00314</t>
  </si>
  <si>
    <t xml:space="preserve">13:51</t>
  </si>
  <si>
    <t xml:space="preserve">P00667</t>
  </si>
  <si>
    <t xml:space="preserve">17:12</t>
  </si>
  <si>
    <t xml:space="preserve">P00252</t>
  </si>
  <si>
    <t xml:space="preserve">P01819</t>
  </si>
  <si>
    <t xml:space="preserve">02:17</t>
  </si>
  <si>
    <t xml:space="preserve">P01908</t>
  </si>
  <si>
    <t xml:space="preserve">04:33</t>
  </si>
  <si>
    <t xml:space="preserve">P01096</t>
  </si>
  <si>
    <t xml:space="preserve">21:23</t>
  </si>
  <si>
    <t xml:space="preserve">P00854</t>
  </si>
  <si>
    <t xml:space="preserve">P01803</t>
  </si>
  <si>
    <t xml:space="preserve">23:24</t>
  </si>
  <si>
    <t xml:space="preserve">P00604</t>
  </si>
  <si>
    <t xml:space="preserve">P00128</t>
  </si>
  <si>
    <t xml:space="preserve">08:49</t>
  </si>
  <si>
    <t xml:space="preserve">P00645</t>
  </si>
  <si>
    <t xml:space="preserve">P00526</t>
  </si>
  <si>
    <t xml:space="preserve">P00170</t>
  </si>
  <si>
    <t xml:space="preserve">P01237</t>
  </si>
  <si>
    <t xml:space="preserve">17:25</t>
  </si>
  <si>
    <t xml:space="preserve">P00545</t>
  </si>
  <si>
    <t xml:space="preserve">04:34</t>
  </si>
  <si>
    <t xml:space="preserve">P01944</t>
  </si>
  <si>
    <t xml:space="preserve">P01762</t>
  </si>
  <si>
    <t xml:space="preserve">P00210</t>
  </si>
  <si>
    <t xml:space="preserve">P01545</t>
  </si>
  <si>
    <t xml:space="preserve">04:48</t>
  </si>
  <si>
    <t xml:space="preserve">P01317</t>
  </si>
  <si>
    <t xml:space="preserve">08:28</t>
  </si>
  <si>
    <t xml:space="preserve">P01690</t>
  </si>
  <si>
    <t xml:space="preserve">15:52</t>
  </si>
  <si>
    <t xml:space="preserve">P01409</t>
  </si>
  <si>
    <t xml:space="preserve">22:00</t>
  </si>
  <si>
    <t xml:space="preserve">P00201</t>
  </si>
  <si>
    <t xml:space="preserve">P00673</t>
  </si>
  <si>
    <t xml:space="preserve">P00762</t>
  </si>
  <si>
    <t xml:space="preserve">12:20</t>
  </si>
  <si>
    <t xml:space="preserve">P00378</t>
  </si>
  <si>
    <t xml:space="preserve">20:50</t>
  </si>
  <si>
    <t xml:space="preserve">P00659</t>
  </si>
  <si>
    <t xml:space="preserve">22:39</t>
  </si>
  <si>
    <t xml:space="preserve">P00952</t>
  </si>
  <si>
    <t xml:space="preserve">05:01</t>
  </si>
  <si>
    <t xml:space="preserve">P00744</t>
  </si>
  <si>
    <t xml:space="preserve">23:45</t>
  </si>
  <si>
    <t xml:space="preserve">P01890</t>
  </si>
  <si>
    <t xml:space="preserve">P00474</t>
  </si>
  <si>
    <t xml:space="preserve">P00433</t>
  </si>
  <si>
    <t xml:space="preserve">04:14</t>
  </si>
  <si>
    <t xml:space="preserve">P00654</t>
  </si>
  <si>
    <t xml:space="preserve">P01631</t>
  </si>
  <si>
    <t xml:space="preserve">12:26</t>
  </si>
  <si>
    <t xml:space="preserve">P01019</t>
  </si>
  <si>
    <t xml:space="preserve">10:33</t>
  </si>
  <si>
    <t xml:space="preserve">P01224</t>
  </si>
  <si>
    <t xml:space="preserve">P01805</t>
  </si>
  <si>
    <t xml:space="preserve">21:12</t>
  </si>
  <si>
    <t xml:space="preserve">P00820</t>
  </si>
  <si>
    <t xml:space="preserve">12:53</t>
  </si>
  <si>
    <t xml:space="preserve">P00068</t>
  </si>
  <si>
    <t xml:space="preserve">P01818</t>
  </si>
  <si>
    <t xml:space="preserve">15:40</t>
  </si>
  <si>
    <t xml:space="preserve">P01963</t>
  </si>
  <si>
    <t xml:space="preserve">09:48</t>
  </si>
  <si>
    <t xml:space="preserve">P00420</t>
  </si>
  <si>
    <t xml:space="preserve">02:40</t>
  </si>
  <si>
    <t xml:space="preserve">P00487</t>
  </si>
  <si>
    <t xml:space="preserve">15:59</t>
  </si>
  <si>
    <t xml:space="preserve">P01778</t>
  </si>
  <si>
    <t xml:space="preserve">20:10</t>
  </si>
  <si>
    <t xml:space="preserve">P01738</t>
  </si>
  <si>
    <t xml:space="preserve">20:20</t>
  </si>
  <si>
    <t xml:space="preserve">P00326</t>
  </si>
  <si>
    <t xml:space="preserve">09:09</t>
  </si>
  <si>
    <t xml:space="preserve">P01624</t>
  </si>
  <si>
    <t xml:space="preserve">17:51</t>
  </si>
  <si>
    <t xml:space="preserve">P00554</t>
  </si>
  <si>
    <t xml:space="preserve">18:40</t>
  </si>
  <si>
    <t xml:space="preserve">P00016</t>
  </si>
  <si>
    <t xml:space="preserve">P00159</t>
  </si>
  <si>
    <t xml:space="preserve">P01185</t>
  </si>
  <si>
    <t xml:space="preserve">P01740</t>
  </si>
  <si>
    <t xml:space="preserve">14:46</t>
  </si>
  <si>
    <t xml:space="preserve">P01875</t>
  </si>
  <si>
    <t xml:space="preserve">21:22</t>
  </si>
  <si>
    <t xml:space="preserve">P00194</t>
  </si>
  <si>
    <t xml:space="preserve">13:52</t>
  </si>
  <si>
    <t xml:space="preserve">P01418</t>
  </si>
  <si>
    <t xml:space="preserve">13:57</t>
  </si>
  <si>
    <t xml:space="preserve">P01552</t>
  </si>
  <si>
    <t xml:space="preserve">P01531</t>
  </si>
  <si>
    <t xml:space="preserve">P01109</t>
  </si>
  <si>
    <t xml:space="preserve">23:15</t>
  </si>
  <si>
    <t xml:space="preserve">P01009</t>
  </si>
  <si>
    <t xml:space="preserve">03:40</t>
  </si>
  <si>
    <t xml:space="preserve">P00708</t>
  </si>
  <si>
    <t xml:space="preserve">02:45</t>
  </si>
  <si>
    <t xml:space="preserve">P00906</t>
  </si>
  <si>
    <t xml:space="preserve">P00328</t>
  </si>
  <si>
    <t xml:space="preserve">07:05</t>
  </si>
  <si>
    <t xml:space="preserve">P01229</t>
  </si>
  <si>
    <t xml:space="preserve">P00100</t>
  </si>
  <si>
    <t xml:space="preserve">02:35</t>
  </si>
  <si>
    <t xml:space="preserve">P00329</t>
  </si>
  <si>
    <t xml:space="preserve">P01285</t>
  </si>
  <si>
    <t xml:space="preserve">19:03</t>
  </si>
  <si>
    <t xml:space="preserve">P00927</t>
  </si>
  <si>
    <t xml:space="preserve">P00596</t>
  </si>
  <si>
    <t xml:space="preserve">P01264</t>
  </si>
  <si>
    <t xml:space="preserve">P00955</t>
  </si>
  <si>
    <t xml:space="preserve">10:31</t>
  </si>
  <si>
    <t xml:space="preserve">P00825</t>
  </si>
  <si>
    <t xml:space="preserve">P01443</t>
  </si>
  <si>
    <t xml:space="preserve">P01404</t>
  </si>
  <si>
    <t xml:space="preserve">12:13</t>
  </si>
  <si>
    <t xml:space="preserve">P01656</t>
  </si>
  <si>
    <t xml:space="preserve">P01925</t>
  </si>
  <si>
    <t xml:space="preserve">09:31</t>
  </si>
  <si>
    <t xml:space="preserve">P00728</t>
  </si>
  <si>
    <t xml:space="preserve">P01671</t>
  </si>
  <si>
    <t xml:space="preserve">P00888</t>
  </si>
  <si>
    <t xml:space="preserve">P01208</t>
  </si>
  <si>
    <t xml:space="preserve">06:47</t>
  </si>
  <si>
    <t xml:space="preserve">P00550</t>
  </si>
  <si>
    <t xml:space="preserve">15:03</t>
  </si>
  <si>
    <t xml:space="preserve">P01304</t>
  </si>
  <si>
    <t xml:space="preserve">10:48</t>
  </si>
  <si>
    <t xml:space="preserve">P01395</t>
  </si>
  <si>
    <t xml:space="preserve">05:35</t>
  </si>
  <si>
    <t xml:space="preserve">P01542</t>
  </si>
  <si>
    <t xml:space="preserve">18:43</t>
  </si>
  <si>
    <t xml:space="preserve">P01920</t>
  </si>
  <si>
    <t xml:space="preserve">P00183</t>
  </si>
  <si>
    <t xml:space="preserve">09:13</t>
  </si>
  <si>
    <t xml:space="preserve">P00375</t>
  </si>
  <si>
    <t xml:space="preserve">P01530</t>
  </si>
  <si>
    <t xml:space="preserve">17:24</t>
  </si>
  <si>
    <t xml:space="preserve">P01340</t>
  </si>
  <si>
    <t xml:space="preserve">P01424</t>
  </si>
  <si>
    <t xml:space="preserve">17:57</t>
  </si>
  <si>
    <t xml:space="preserve">P01737</t>
  </si>
  <si>
    <t xml:space="preserve">13:09</t>
  </si>
  <si>
    <t xml:space="preserve">P00685</t>
  </si>
  <si>
    <t xml:space="preserve">P01594</t>
  </si>
  <si>
    <t xml:space="preserve">10:45</t>
  </si>
  <si>
    <t xml:space="preserve">P01370</t>
  </si>
  <si>
    <t xml:space="preserve">P01040</t>
  </si>
  <si>
    <t xml:space="preserve">17:56</t>
  </si>
  <si>
    <t xml:space="preserve">P00173</t>
  </si>
  <si>
    <t xml:space="preserve">07:29</t>
  </si>
  <si>
    <t xml:space="preserve">P01027</t>
  </si>
  <si>
    <t xml:space="preserve">P01114</t>
  </si>
  <si>
    <t xml:space="preserve">05:02</t>
  </si>
  <si>
    <t xml:space="preserve">P00331</t>
  </si>
  <si>
    <t xml:space="preserve">02:05</t>
  </si>
  <si>
    <t xml:space="preserve">P00488</t>
  </si>
  <si>
    <t xml:space="preserve">05:57</t>
  </si>
  <si>
    <t xml:space="preserve">P01335</t>
  </si>
  <si>
    <t xml:space="preserve">14:09</t>
  </si>
  <si>
    <t xml:space="preserve">P01459</t>
  </si>
  <si>
    <t xml:space="preserve">05:18</t>
  </si>
  <si>
    <t xml:space="preserve">P01126</t>
  </si>
  <si>
    <t xml:space="preserve">06:21</t>
  </si>
  <si>
    <t xml:space="preserve">P00709</t>
  </si>
  <si>
    <t xml:space="preserve">P01639</t>
  </si>
  <si>
    <t xml:space="preserve">02:14</t>
  </si>
  <si>
    <t xml:space="preserve">P00594</t>
  </si>
  <si>
    <t xml:space="preserve">05:52</t>
  </si>
  <si>
    <t xml:space="preserve">P00745</t>
  </si>
  <si>
    <t xml:space="preserve">P00470</t>
  </si>
  <si>
    <t xml:space="preserve">14:28</t>
  </si>
  <si>
    <t xml:space="preserve">P01748</t>
  </si>
  <si>
    <t xml:space="preserve">22:35</t>
  </si>
  <si>
    <t xml:space="preserve">P00910</t>
  </si>
  <si>
    <t xml:space="preserve">P01796</t>
  </si>
  <si>
    <t xml:space="preserve">P01073</t>
  </si>
  <si>
    <t xml:space="preserve">00:05</t>
  </si>
  <si>
    <t xml:space="preserve">P00322</t>
  </si>
  <si>
    <t xml:space="preserve">P01981</t>
  </si>
  <si>
    <t xml:space="preserve">09:00</t>
  </si>
  <si>
    <t xml:space="preserve">P01686</t>
  </si>
  <si>
    <t xml:space="preserve">P01842</t>
  </si>
  <si>
    <t xml:space="preserve">13:35</t>
  </si>
  <si>
    <t xml:space="preserve">P01305</t>
  </si>
  <si>
    <t xml:space="preserve">13:11</t>
  </si>
  <si>
    <t xml:space="preserve">P01330</t>
  </si>
  <si>
    <t xml:space="preserve">P01601</t>
  </si>
  <si>
    <t xml:space="preserve">10:47</t>
  </si>
  <si>
    <t xml:space="preserve">P01007</t>
  </si>
  <si>
    <t xml:space="preserve">P00783</t>
  </si>
  <si>
    <t xml:space="preserve">13:46</t>
  </si>
  <si>
    <t xml:space="preserve">P00165</t>
  </si>
  <si>
    <t xml:space="preserve">P00461</t>
  </si>
  <si>
    <t xml:space="preserve">03:44</t>
  </si>
  <si>
    <t xml:space="preserve">P00790</t>
  </si>
  <si>
    <t xml:space="preserve">P00251</t>
  </si>
  <si>
    <t xml:space="preserve">08:24</t>
  </si>
  <si>
    <t xml:space="preserve">P01627</t>
  </si>
  <si>
    <t xml:space="preserve">P00061</t>
  </si>
  <si>
    <t xml:space="preserve">11:48</t>
  </si>
  <si>
    <t xml:space="preserve">P00202</t>
  </si>
  <si>
    <t xml:space="preserve">P01425</t>
  </si>
  <si>
    <t xml:space="preserve">05:49</t>
  </si>
  <si>
    <t xml:space="preserve">P01573</t>
  </si>
  <si>
    <t xml:space="preserve">P00780</t>
  </si>
  <si>
    <t xml:space="preserve">10:25</t>
  </si>
  <si>
    <t xml:space="preserve">P00400</t>
  </si>
  <si>
    <t xml:space="preserve">P00802</t>
  </si>
  <si>
    <t xml:space="preserve">03:18</t>
  </si>
  <si>
    <t xml:space="preserve">P01230</t>
  </si>
  <si>
    <t xml:space="preserve">P00814</t>
  </si>
  <si>
    <t xml:space="preserve">15:21</t>
  </si>
  <si>
    <t xml:space="preserve">P01957</t>
  </si>
  <si>
    <t xml:space="preserve">P01450</t>
  </si>
  <si>
    <t xml:space="preserve">P00029</t>
  </si>
  <si>
    <t xml:space="preserve">P00642</t>
  </si>
  <si>
    <t xml:space="preserve">P00753</t>
  </si>
  <si>
    <t xml:space="preserve">P00222</t>
  </si>
  <si>
    <t xml:space="preserve">P00585</t>
  </si>
  <si>
    <t xml:space="preserve">01:46</t>
  </si>
  <si>
    <t xml:space="preserve">P01124</t>
  </si>
  <si>
    <t xml:space="preserve">17:53</t>
  </si>
  <si>
    <t xml:space="preserve">P00037</t>
  </si>
  <si>
    <t xml:space="preserve">13:34</t>
  </si>
  <si>
    <t xml:space="preserve">P00949</t>
  </si>
  <si>
    <t xml:space="preserve">23:19</t>
  </si>
  <si>
    <t xml:space="preserve">P01368</t>
  </si>
  <si>
    <t xml:space="preserve">11:30</t>
  </si>
  <si>
    <t xml:space="preserve">P00452</t>
  </si>
  <si>
    <t xml:space="preserve">07:06</t>
  </si>
  <si>
    <t xml:space="preserve">P01977</t>
  </si>
  <si>
    <t xml:space="preserve">08:06</t>
  </si>
  <si>
    <t xml:space="preserve">P01885</t>
  </si>
  <si>
    <t xml:space="preserve">14:37</t>
  </si>
  <si>
    <t xml:space="preserve">P00127</t>
  </si>
  <si>
    <t xml:space="preserve">02:03</t>
  </si>
  <si>
    <t xml:space="preserve">P01311</t>
  </si>
  <si>
    <t xml:space="preserve">P00348</t>
  </si>
  <si>
    <t xml:space="preserve">P00908</t>
  </si>
  <si>
    <t xml:space="preserve">P01835</t>
  </si>
  <si>
    <t xml:space="preserve">15:23</t>
  </si>
  <si>
    <t xml:space="preserve">P00344</t>
  </si>
  <si>
    <t xml:space="preserve">12:19</t>
  </si>
  <si>
    <t xml:space="preserve">P00706</t>
  </si>
  <si>
    <t xml:space="preserve">19:50</t>
  </si>
  <si>
    <t xml:space="preserve">P00904</t>
  </si>
  <si>
    <t xml:space="preserve">P01406</t>
  </si>
  <si>
    <t xml:space="preserve">21:21</t>
  </si>
  <si>
    <t xml:space="preserve">P00117</t>
  </si>
  <si>
    <t xml:space="preserve">P00105</t>
  </si>
  <si>
    <t xml:space="preserve">22:03</t>
  </si>
  <si>
    <t xml:space="preserve">P00926</t>
  </si>
  <si>
    <t xml:space="preserve">P01222</t>
  </si>
  <si>
    <t xml:space="preserve">17:40</t>
  </si>
  <si>
    <t xml:space="preserve">P00380</t>
  </si>
  <si>
    <t xml:space="preserve">P00536</t>
  </si>
  <si>
    <t xml:space="preserve">20:26</t>
  </si>
  <si>
    <t xml:space="preserve">P00738</t>
  </si>
  <si>
    <t xml:space="preserve">22:20</t>
  </si>
  <si>
    <t xml:space="preserve">P00551</t>
  </si>
  <si>
    <t xml:space="preserve">00:23</t>
  </si>
  <si>
    <t xml:space="preserve">P00817</t>
  </si>
  <si>
    <t xml:space="preserve">00:42</t>
  </si>
  <si>
    <t xml:space="preserve">P00352</t>
  </si>
  <si>
    <t xml:space="preserve">P00294</t>
  </si>
  <si>
    <t xml:space="preserve">P01692</t>
  </si>
  <si>
    <t xml:space="preserve">P01182</t>
  </si>
  <si>
    <t xml:space="preserve">10:46</t>
  </si>
  <si>
    <t xml:space="preserve">P01342</t>
  </si>
  <si>
    <t xml:space="preserve">06:59</t>
  </si>
  <si>
    <t xml:space="preserve">P00885</t>
  </si>
  <si>
    <t xml:space="preserve">P00092</t>
  </si>
  <si>
    <t xml:space="preserve">00:58</t>
  </si>
  <si>
    <t xml:space="preserve">P01689</t>
  </si>
  <si>
    <t xml:space="preserve">05:28</t>
  </si>
  <si>
    <t xml:space="preserve">P00849</t>
  </si>
  <si>
    <t xml:space="preserve">17:36</t>
  </si>
  <si>
    <t xml:space="preserve">P00024</t>
  </si>
  <si>
    <t xml:space="preserve">17:59</t>
  </si>
  <si>
    <t xml:space="preserve">P00591</t>
  </si>
  <si>
    <t xml:space="preserve">P00311</t>
  </si>
  <si>
    <t xml:space="preserve">19:08</t>
  </si>
  <si>
    <t xml:space="preserve">P00204</t>
  </si>
  <si>
    <t xml:space="preserve">P00756</t>
  </si>
  <si>
    <t xml:space="preserve">13:10</t>
  </si>
  <si>
    <t xml:space="preserve">P00091</t>
  </si>
  <si>
    <t xml:space="preserve">P01085</t>
  </si>
  <si>
    <t xml:space="preserve">21:37</t>
  </si>
  <si>
    <t xml:space="preserve">P00524</t>
  </si>
  <si>
    <t xml:space="preserve">22:29</t>
  </si>
  <si>
    <t xml:space="preserve">P00997</t>
  </si>
  <si>
    <t xml:space="preserve">21:43</t>
  </si>
  <si>
    <t xml:space="preserve">P00797</t>
  </si>
  <si>
    <t xml:space="preserve">P01159</t>
  </si>
  <si>
    <t xml:space="preserve">P01358</t>
  </si>
  <si>
    <t xml:space="preserve">P00683</t>
  </si>
  <si>
    <t xml:space="preserve">P01833</t>
  </si>
  <si>
    <t xml:space="preserve">P01476</t>
  </si>
  <si>
    <t xml:space="preserve">14:06</t>
  </si>
  <si>
    <t xml:space="preserve">P01677</t>
  </si>
  <si>
    <t xml:space="preserve">P01306</t>
  </si>
  <si>
    <t xml:space="preserve">11:32</t>
  </si>
  <si>
    <t xml:space="preserve">P01398</t>
  </si>
  <si>
    <t xml:space="preserve">P01524</t>
  </si>
  <si>
    <t xml:space="preserve">P01568</t>
  </si>
  <si>
    <t xml:space="preserve">23:07</t>
  </si>
  <si>
    <t xml:space="preserve">P00970</t>
  </si>
  <si>
    <t xml:space="preserve">23:40</t>
  </si>
  <si>
    <t xml:space="preserve">P01866</t>
  </si>
  <si>
    <t xml:space="preserve">21:33</t>
  </si>
  <si>
    <t xml:space="preserve">P01258</t>
  </si>
  <si>
    <t xml:space="preserve">03:31</t>
  </si>
  <si>
    <t xml:space="preserve">P00916</t>
  </si>
  <si>
    <t xml:space="preserve">P00705</t>
  </si>
  <si>
    <t xml:space="preserve">P01381</t>
  </si>
  <si>
    <t xml:space="preserve">06:45</t>
  </si>
  <si>
    <t xml:space="preserve">P01055</t>
  </si>
  <si>
    <t xml:space="preserve">16:31</t>
  </si>
  <si>
    <t xml:space="preserve">P01080</t>
  </si>
  <si>
    <t xml:space="preserve">P01862</t>
  </si>
  <si>
    <t xml:space="preserve">00:14</t>
  </si>
  <si>
    <t xml:space="preserve">P00598</t>
  </si>
  <si>
    <t xml:space="preserve">P01906</t>
  </si>
  <si>
    <t xml:space="preserve">P01057</t>
  </si>
  <si>
    <t xml:space="preserve">11:39</t>
  </si>
  <si>
    <t xml:space="preserve">P01090</t>
  </si>
  <si>
    <t xml:space="preserve">11:40</t>
  </si>
  <si>
    <t xml:space="preserve">P00224</t>
  </si>
  <si>
    <t xml:space="preserve">12:32</t>
  </si>
  <si>
    <t xml:space="preserve">P01457</t>
  </si>
  <si>
    <t xml:space="preserve">P00214</t>
  </si>
  <si>
    <t xml:space="preserve">P01211</t>
  </si>
  <si>
    <t xml:space="preserve">16:53</t>
  </si>
  <si>
    <t xml:space="preserve">P00573</t>
  </si>
  <si>
    <t xml:space="preserve">04:25</t>
  </si>
  <si>
    <t xml:space="preserve">P00087</t>
  </si>
  <si>
    <t xml:space="preserve">P01897</t>
  </si>
  <si>
    <t xml:space="preserve">22:34</t>
  </si>
  <si>
    <t xml:space="preserve">P00203</t>
  </si>
  <si>
    <t xml:space="preserve">16:33</t>
  </si>
  <si>
    <t xml:space="preserve">P00078</t>
  </si>
  <si>
    <t xml:space="preserve">06:23</t>
  </si>
  <si>
    <t xml:space="preserve">P01558</t>
  </si>
  <si>
    <t xml:space="preserve">P00001</t>
  </si>
  <si>
    <t xml:space="preserve">21:40</t>
  </si>
  <si>
    <t xml:space="preserve">P00389</t>
  </si>
  <si>
    <t xml:space="preserve">P01486</t>
  </si>
  <si>
    <t xml:space="preserve">P00440</t>
  </si>
  <si>
    <t xml:space="preserve">P00063</t>
  </si>
  <si>
    <t xml:space="preserve">11:35</t>
  </si>
  <si>
    <t xml:space="preserve">P00175</t>
  </si>
  <si>
    <t xml:space="preserve">P01546</t>
  </si>
  <si>
    <t xml:space="preserve">P01879</t>
  </si>
  <si>
    <t xml:space="preserve">13:45</t>
  </si>
  <si>
    <t xml:space="preserve">P00343</t>
  </si>
  <si>
    <t xml:space="preserve">00:38</t>
  </si>
  <si>
    <t xml:space="preserve">P01657</t>
  </si>
  <si>
    <t xml:space="preserve">04:24</t>
  </si>
  <si>
    <t xml:space="preserve">P01937</t>
  </si>
  <si>
    <t xml:space="preserve">P00552</t>
  </si>
  <si>
    <t xml:space="preserve">P00253</t>
  </si>
  <si>
    <t xml:space="preserve">01:23</t>
  </si>
  <si>
    <t xml:space="preserve">P00298</t>
  </si>
  <si>
    <t xml:space="preserve">17:47</t>
  </si>
  <si>
    <t xml:space="preserve">P00546</t>
  </si>
  <si>
    <t xml:space="preserve">P00544</t>
  </si>
  <si>
    <t xml:space="preserve">00:19</t>
  </si>
  <si>
    <t xml:space="preserve">P00278</t>
  </si>
  <si>
    <t xml:space="preserve">05:22</t>
  </si>
  <si>
    <t xml:space="preserve">P00815</t>
  </si>
  <si>
    <t xml:space="preserve">01:06</t>
  </si>
  <si>
    <t xml:space="preserve">P01461</t>
  </si>
  <si>
    <t xml:space="preserve">P00323</t>
  </si>
  <si>
    <t xml:space="preserve">19:42</t>
  </si>
  <si>
    <t xml:space="preserve">P00835</t>
  </si>
  <si>
    <t xml:space="preserve">04:59</t>
  </si>
  <si>
    <t xml:space="preserve">P01633</t>
  </si>
  <si>
    <t xml:space="preserve">P01188</t>
  </si>
  <si>
    <t xml:space="preserve">P00491</t>
  </si>
  <si>
    <t xml:space="preserve">P01345</t>
  </si>
  <si>
    <t xml:space="preserve">P00811</t>
  </si>
  <si>
    <t xml:space="preserve">07:51</t>
  </si>
  <si>
    <t xml:space="preserve">P00609</t>
  </si>
  <si>
    <t xml:space="preserve">17:50</t>
  </si>
  <si>
    <t xml:space="preserve">P01203</t>
  </si>
  <si>
    <t xml:space="preserve">P01544</t>
  </si>
  <si>
    <t xml:space="preserve">P01435</t>
  </si>
  <si>
    <t xml:space="preserve">P01984</t>
  </si>
  <si>
    <t xml:space="preserve">19:30</t>
  </si>
  <si>
    <t xml:space="preserve">P00395</t>
  </si>
  <si>
    <t xml:space="preserve">03:28</t>
  </si>
  <si>
    <t xml:space="preserve">P01092</t>
  </si>
  <si>
    <t xml:space="preserve">P01493</t>
  </si>
  <si>
    <t xml:space="preserve">16:06</t>
  </si>
  <si>
    <t xml:space="preserve">P00789</t>
  </si>
  <si>
    <t xml:space="preserve">04:55</t>
  </si>
  <si>
    <t xml:space="preserve">P01645</t>
  </si>
  <si>
    <t xml:space="preserve">P01513</t>
  </si>
  <si>
    <t xml:space="preserve">P01166</t>
  </si>
  <si>
    <t xml:space="preserve">P01943</t>
  </si>
  <si>
    <t xml:space="preserve">P01587</t>
  </si>
  <si>
    <t xml:space="preserve">09:12</t>
  </si>
  <si>
    <t xml:space="preserve">P01834</t>
  </si>
  <si>
    <t xml:space="preserve">01:20</t>
  </si>
  <si>
    <t xml:space="preserve">P01562</t>
  </si>
  <si>
    <t xml:space="preserve">P01899</t>
  </si>
  <si>
    <t xml:space="preserve">13:56</t>
  </si>
  <si>
    <t xml:space="preserve">P01387</t>
  </si>
  <si>
    <t xml:space="preserve">P00702</t>
  </si>
  <si>
    <t xml:space="preserve">03:16</t>
  </si>
  <si>
    <t xml:space="preserve">P00296</t>
  </si>
  <si>
    <t xml:space="preserve">20:06</t>
  </si>
  <si>
    <t xml:space="preserve">P01813</t>
  </si>
  <si>
    <t xml:space="preserve">P01741</t>
  </si>
  <si>
    <t xml:space="preserve">21:38</t>
  </si>
  <si>
    <t xml:space="preserve">P00012</t>
  </si>
  <si>
    <t xml:space="preserve">23:48</t>
  </si>
  <si>
    <t xml:space="preserve">P00641</t>
  </si>
  <si>
    <t xml:space="preserve">12:14</t>
  </si>
  <si>
    <t xml:space="preserve">P01390</t>
  </si>
  <si>
    <t xml:space="preserve">P01470</t>
  </si>
  <si>
    <t xml:space="preserve">10:27</t>
  </si>
  <si>
    <t xml:space="preserve">P00282</t>
  </si>
  <si>
    <t xml:space="preserve">16:11</t>
  </si>
  <si>
    <t xml:space="preserve">P01037</t>
  </si>
  <si>
    <t xml:space="preserve">P00947</t>
  </si>
  <si>
    <t xml:space="preserve">P01522</t>
  </si>
  <si>
    <t xml:space="preserve">P00923</t>
  </si>
  <si>
    <t xml:space="preserve">P00619</t>
  </si>
  <si>
    <t xml:space="preserve">04:15</t>
  </si>
  <si>
    <t xml:space="preserve">P00149</t>
  </si>
  <si>
    <t xml:space="preserve">03:12</t>
  </si>
  <si>
    <t xml:space="preserve">P00398</t>
  </si>
  <si>
    <t xml:space="preserve">05:05</t>
  </si>
  <si>
    <t xml:space="preserve">P01140</t>
  </si>
  <si>
    <t xml:space="preserve">14:14</t>
  </si>
  <si>
    <t xml:space="preserve">P01079</t>
  </si>
  <si>
    <t xml:space="preserve">P00720</t>
  </si>
  <si>
    <t xml:space="preserve">P01968</t>
  </si>
  <si>
    <t xml:space="preserve">P01812</t>
  </si>
  <si>
    <t xml:space="preserve">P01882</t>
  </si>
  <si>
    <t xml:space="preserve">18:15</t>
  </si>
  <si>
    <t xml:space="preserve">P01554</t>
  </si>
  <si>
    <t xml:space="preserve">P00556</t>
  </si>
  <si>
    <t xml:space="preserve">21:41</t>
  </si>
  <si>
    <t xml:space="preserve">P01853</t>
  </si>
  <si>
    <t xml:space="preserve">00:52</t>
  </si>
  <si>
    <t xml:space="preserve">P01391</t>
  </si>
  <si>
    <t xml:space="preserve">04:43</t>
  </si>
  <si>
    <t xml:space="preserve">P01132</t>
  </si>
  <si>
    <t xml:space="preserve">02:44</t>
  </si>
  <si>
    <t xml:space="preserve">P00327</t>
  </si>
  <si>
    <t xml:space="preserve">00:31</t>
  </si>
  <si>
    <t xml:space="preserve">P01942</t>
  </si>
  <si>
    <t xml:space="preserve">P00668</t>
  </si>
  <si>
    <t xml:space="preserve">12:58</t>
  </si>
  <si>
    <t xml:space="preserve">P00874</t>
  </si>
  <si>
    <t xml:space="preserve">19:38</t>
  </si>
  <si>
    <t xml:space="preserve">P00376</t>
  </si>
  <si>
    <t xml:space="preserve">P01164</t>
  </si>
  <si>
    <t xml:space="preserve">P01054</t>
  </si>
  <si>
    <t xml:space="preserve">P00481</t>
  </si>
  <si>
    <t xml:space="preserve">01:37</t>
  </si>
  <si>
    <t xml:space="preserve">P00987</t>
  </si>
  <si>
    <t xml:space="preserve">P00597</t>
  </si>
  <si>
    <t xml:space="preserve">10:42</t>
  </si>
  <si>
    <t xml:space="preserve">P01827</t>
  </si>
  <si>
    <t xml:space="preserve">07:25</t>
  </si>
  <si>
    <t xml:space="preserve">P00721</t>
  </si>
  <si>
    <t xml:space="preserve">P00472</t>
  </si>
  <si>
    <t xml:space="preserve">P00017</t>
  </si>
  <si>
    <t xml:space="preserve">16:28</t>
  </si>
  <si>
    <t xml:space="preserve">P01131</t>
  </si>
  <si>
    <t xml:space="preserve">10:11</t>
  </si>
  <si>
    <t xml:space="preserve">P00076</t>
  </si>
  <si>
    <t xml:space="preserve">11:45</t>
  </si>
  <si>
    <t xml:space="preserve">P00135</t>
  </si>
  <si>
    <t xml:space="preserve">P00002</t>
  </si>
  <si>
    <t xml:space="preserve">20:19</t>
  </si>
  <si>
    <t xml:space="preserve">P01869</t>
  </si>
  <si>
    <t xml:space="preserve">19:59</t>
  </si>
  <si>
    <t xml:space="preserve">P00438</t>
  </si>
  <si>
    <t xml:space="preserve">P01777</t>
  </si>
  <si>
    <t xml:space="preserve">P00320</t>
  </si>
  <si>
    <t xml:space="preserve">15:13</t>
  </si>
  <si>
    <t xml:space="preserve">P01333</t>
  </si>
  <si>
    <t xml:space="preserve">03:50</t>
  </si>
  <si>
    <t xml:space="preserve">P00932</t>
  </si>
  <si>
    <t xml:space="preserve">P01280</t>
  </si>
  <si>
    <t xml:space="preserve">14:24</t>
  </si>
  <si>
    <t xml:space="preserve">P00519</t>
  </si>
  <si>
    <t xml:space="preserve">P01871</t>
  </si>
  <si>
    <t xml:space="preserve">19:04</t>
  </si>
  <si>
    <t xml:space="preserve">P00700</t>
  </si>
  <si>
    <t xml:space="preserve">P00568</t>
  </si>
  <si>
    <t xml:space="preserve">P01268</t>
  </si>
  <si>
    <t xml:space="preserve">23:51</t>
  </si>
  <si>
    <t xml:space="preserve">P00379</t>
  </si>
  <si>
    <t xml:space="preserve">P01087</t>
  </si>
  <si>
    <t xml:space="preserve">P01514</t>
  </si>
  <si>
    <t xml:space="preserve">P00983</t>
  </si>
  <si>
    <t xml:space="preserve">P01192</t>
  </si>
  <si>
    <t xml:space="preserve">P01768</t>
  </si>
  <si>
    <t xml:space="preserve">P00415</t>
  </si>
  <si>
    <t xml:space="preserve">P01255</t>
  </si>
  <si>
    <t xml:space="preserve">09:59</t>
  </si>
  <si>
    <t xml:space="preserve">P01569</t>
  </si>
  <si>
    <t xml:space="preserve">11:46</t>
  </si>
  <si>
    <t xml:space="preserve">P01008</t>
  </si>
  <si>
    <t xml:space="preserve">11:28</t>
  </si>
  <si>
    <t xml:space="preserve">P01854</t>
  </si>
  <si>
    <t xml:space="preserve">P01414</t>
  </si>
  <si>
    <t xml:space="preserve">16:36</t>
  </si>
  <si>
    <t xml:space="preserve">P00522</t>
  </si>
  <si>
    <t xml:space="preserve">04:58</t>
  </si>
  <si>
    <t xml:space="preserve">P00718</t>
  </si>
  <si>
    <t xml:space="preserve">10:59</t>
  </si>
  <si>
    <t xml:space="preserve">P01988</t>
  </si>
  <si>
    <t xml:space="preserve">P01353</t>
  </si>
  <si>
    <t xml:space="preserve">P00871</t>
  </si>
  <si>
    <t xml:space="preserve">P01729</t>
  </si>
  <si>
    <t xml:space="preserve">02:57</t>
  </si>
  <si>
    <t xml:space="preserve">P01868</t>
  </si>
  <si>
    <t xml:space="preserve">09:43</t>
  </si>
  <si>
    <t xml:space="preserve">P01668</t>
  </si>
  <si>
    <t xml:space="preserve">P01715</t>
  </si>
  <si>
    <t xml:space="preserve">P00180</t>
  </si>
  <si>
    <t xml:space="preserve">P01927</t>
  </si>
  <si>
    <t xml:space="preserve">P01369</t>
  </si>
  <si>
    <t xml:space="preserve">15:16</t>
  </si>
  <si>
    <t xml:space="preserve">P00864</t>
  </si>
  <si>
    <t xml:space="preserve">P01707</t>
  </si>
  <si>
    <t xml:space="preserve">P00346</t>
  </si>
  <si>
    <t xml:space="preserve">03:42</t>
  </si>
  <si>
    <t xml:space="preserve">P00051</t>
  </si>
  <si>
    <t xml:space="preserve">P01138</t>
  </si>
  <si>
    <t xml:space="preserve">07:28</t>
  </si>
  <si>
    <t xml:space="preserve">P00969</t>
  </si>
  <si>
    <t xml:space="preserve">P00263</t>
  </si>
  <si>
    <t xml:space="preserve">P00121</t>
  </si>
  <si>
    <t xml:space="preserve">03:09</t>
  </si>
  <si>
    <t xml:space="preserve">P01480</t>
  </si>
  <si>
    <t xml:space="preserve">P01143</t>
  </si>
  <si>
    <t xml:space="preserve">22:52</t>
  </si>
  <si>
    <t xml:space="preserve">P00220</t>
  </si>
  <si>
    <t xml:space="preserve">P00268</t>
  </si>
  <si>
    <t xml:space="preserve">P00844</t>
  </si>
  <si>
    <t xml:space="preserve">10:09</t>
  </si>
  <si>
    <t xml:space="preserve">P00291</t>
  </si>
  <si>
    <t xml:space="preserve">12:28</t>
  </si>
  <si>
    <t xml:space="preserve">P00693</t>
  </si>
  <si>
    <t xml:space="preserve">00:59</t>
  </si>
  <si>
    <t xml:space="preserve">P00698</t>
  </si>
  <si>
    <t xml:space="preserve">P01838</t>
  </si>
  <si>
    <t xml:space="preserve">21:10</t>
  </si>
  <si>
    <t xml:space="preserve">P00717</t>
  </si>
  <si>
    <t xml:space="preserve">14:21</t>
  </si>
  <si>
    <t xml:space="preserve">P01574</t>
  </si>
  <si>
    <t xml:space="preserve">P00075</t>
  </si>
  <si>
    <t xml:space="preserve">22:37</t>
  </si>
  <si>
    <t xml:space="preserve">P00575</t>
  </si>
  <si>
    <t xml:space="preserve">P00774</t>
  </si>
  <si>
    <t xml:space="preserve">P01880</t>
  </si>
  <si>
    <t xml:space="preserve">17:17</t>
  </si>
  <si>
    <t xml:space="preserve">P01749</t>
  </si>
  <si>
    <t xml:space="preserve">P00318</t>
  </si>
  <si>
    <t xml:space="preserve">P00964</t>
  </si>
  <si>
    <t xml:space="preserve">P00655</t>
  </si>
  <si>
    <t xml:space="preserve">07:39</t>
  </si>
  <si>
    <t xml:space="preserve">P01465</t>
  </si>
  <si>
    <t xml:space="preserve">11:58</t>
  </si>
  <si>
    <t xml:space="preserve">P01171</t>
  </si>
  <si>
    <t xml:space="preserve">P01194</t>
  </si>
  <si>
    <t xml:space="preserve">11:11</t>
  </si>
  <si>
    <t xml:space="preserve">P00956</t>
  </si>
  <si>
    <t xml:space="preserve">22:15</t>
  </si>
  <si>
    <t xml:space="preserve">P01769</t>
  </si>
  <si>
    <t xml:space="preserve">P00902</t>
  </si>
  <si>
    <t xml:space="preserve">06:15</t>
  </si>
  <si>
    <t xml:space="preserve">P00514</t>
  </si>
  <si>
    <t xml:space="preserve">P00441</t>
  </si>
  <si>
    <t xml:space="preserve">12:35</t>
  </si>
  <si>
    <t xml:space="preserve">P00622</t>
  </si>
  <si>
    <t xml:space="preserve">P00984</t>
  </si>
  <si>
    <t xml:space="preserve">P01372</t>
  </si>
  <si>
    <t xml:space="preserve">P00206</t>
  </si>
  <si>
    <t xml:space="preserve">22:46</t>
  </si>
  <si>
    <t xml:space="preserve">P01915</t>
  </si>
  <si>
    <t xml:space="preserve">04:54</t>
  </si>
  <si>
    <t xml:space="preserve">P00057</t>
  </si>
  <si>
    <t xml:space="preserve">04:21</t>
  </si>
  <si>
    <t xml:space="preserve">P00501</t>
  </si>
  <si>
    <t xml:space="preserve">19:54</t>
  </si>
  <si>
    <t xml:space="preserve">P01612</t>
  </si>
  <si>
    <t xml:space="preserve">P01618</t>
  </si>
  <si>
    <t xml:space="preserve">P01684</t>
  </si>
  <si>
    <t xml:space="preserve">P00426</t>
  </si>
  <si>
    <t xml:space="preserve">P00742</t>
  </si>
  <si>
    <t xml:space="preserve">07:10</t>
  </si>
  <si>
    <t xml:space="preserve">P01592</t>
  </si>
  <si>
    <t xml:space="preserve">20:30</t>
  </si>
  <si>
    <t xml:space="preserve">P00590</t>
  </si>
  <si>
    <t xml:space="preserve">23:34</t>
  </si>
  <si>
    <t xml:space="preserve">P00238</t>
  </si>
  <si>
    <t xml:space="preserve">09:44</t>
  </si>
  <si>
    <t xml:space="preserve">P01801</t>
  </si>
  <si>
    <t xml:space="preserve">P01174</t>
  </si>
  <si>
    <t xml:space="preserve">01:03</t>
  </si>
  <si>
    <t xml:space="preserve">P01503</t>
  </si>
  <si>
    <t xml:space="preserve">P00176</t>
  </si>
  <si>
    <t xml:space="preserve">05:48</t>
  </si>
  <si>
    <t xml:space="preserve">P01035</t>
  </si>
  <si>
    <t xml:space="preserve">P01555</t>
  </si>
  <si>
    <t xml:space="preserve">P01670</t>
  </si>
  <si>
    <t xml:space="preserve">P00153</t>
  </si>
  <si>
    <t xml:space="preserve">13:44</t>
  </si>
  <si>
    <t xml:space="preserve">P01779</t>
  </si>
  <si>
    <t xml:space="preserve">P01826</t>
  </si>
  <si>
    <t xml:space="preserve">18:47</t>
  </si>
  <si>
    <t xml:space="preserve">P01320</t>
  </si>
  <si>
    <t xml:space="preserve">P00860</t>
  </si>
  <si>
    <t xml:space="preserve">21:00</t>
  </si>
  <si>
    <t xml:space="preserve">P01824</t>
  </si>
  <si>
    <t xml:space="preserve">P01399</t>
  </si>
  <si>
    <t xml:space="preserve">02:53</t>
  </si>
  <si>
    <t xml:space="preserve">P01219</t>
  </si>
  <si>
    <t xml:space="preserve">P00884</t>
  </si>
  <si>
    <t xml:space="preserve">22:11</t>
  </si>
  <si>
    <t xml:space="preserve">P01799</t>
  </si>
  <si>
    <t xml:space="preserve">P01747</t>
  </si>
  <si>
    <t xml:space="preserve">P00265</t>
  </si>
  <si>
    <t xml:space="preserve">04:09</t>
  </si>
  <si>
    <t xml:space="preserve">P00292</t>
  </si>
  <si>
    <t xml:space="preserve">P01728</t>
  </si>
  <si>
    <t xml:space="preserve">02:46</t>
  </si>
  <si>
    <t xml:space="preserve">P01464</t>
  </si>
  <si>
    <t xml:space="preserve">05:19</t>
  </si>
  <si>
    <t xml:space="preserve">P01845</t>
  </si>
  <si>
    <t xml:space="preserve">19:55</t>
  </si>
  <si>
    <t xml:space="preserve">P00023</t>
  </si>
  <si>
    <t xml:space="preserve">P01492</t>
  </si>
  <si>
    <t xml:space="preserve">22:44</t>
  </si>
  <si>
    <t xml:space="preserve">P00882</t>
  </si>
  <si>
    <t xml:space="preserve">P00339</t>
  </si>
  <si>
    <t xml:space="preserve">P01205</t>
  </si>
  <si>
    <t xml:space="preserve">P00228</t>
  </si>
  <si>
    <t xml:space="preserve">P00108</t>
  </si>
  <si>
    <t xml:space="preserve">P01708</t>
  </si>
  <si>
    <t xml:space="preserve">P01190</t>
  </si>
  <si>
    <t xml:space="preserve">10:32</t>
  </si>
  <si>
    <t xml:space="preserve">P00858</t>
  </si>
  <si>
    <t xml:space="preserve">P00593</t>
  </si>
  <si>
    <t xml:space="preserve">P01995</t>
  </si>
  <si>
    <t xml:space="preserve">P00031</t>
  </si>
  <si>
    <t xml:space="preserve">P00011</t>
  </si>
  <si>
    <t xml:space="preserve">P00439</t>
  </si>
  <si>
    <t xml:space="preserve">P00972</t>
  </si>
  <si>
    <t xml:space="preserve">07:12</t>
  </si>
  <si>
    <t xml:space="preserve">P00711</t>
  </si>
  <si>
    <t xml:space="preserve">12:57</t>
  </si>
  <si>
    <t xml:space="preserve">P01581</t>
  </si>
  <si>
    <t xml:space="preserve">P01579</t>
  </si>
  <si>
    <t xml:space="preserve">P00670</t>
  </si>
  <si>
    <t xml:space="preserve">01:43</t>
  </si>
  <si>
    <t xml:space="preserve">P00867</t>
  </si>
  <si>
    <t xml:space="preserve">P00443</t>
  </si>
  <si>
    <t xml:space="preserve">10:57</t>
  </si>
  <si>
    <t xml:space="preserve">P00846</t>
  </si>
  <si>
    <t xml:space="preserve">P00126</t>
  </si>
  <si>
    <t xml:space="preserve">15:07</t>
  </si>
  <si>
    <t xml:space="preserve">P00258</t>
  </si>
  <si>
    <t xml:space="preserve">20:18</t>
  </si>
  <si>
    <t xml:space="preserve">P01588</t>
  </si>
  <si>
    <t xml:space="preserve">16:19</t>
  </si>
  <si>
    <t xml:space="preserve">P01161</t>
  </si>
  <si>
    <t xml:space="preserve">P01029</t>
  </si>
  <si>
    <t xml:space="preserve">P01060</t>
  </si>
  <si>
    <t xml:space="preserve">17:46</t>
  </si>
  <si>
    <t xml:space="preserve">P00199</t>
  </si>
  <si>
    <t xml:space="preserve">P00629</t>
  </si>
  <si>
    <t xml:space="preserve">P00410</t>
  </si>
  <si>
    <t xml:space="preserve">13:02</t>
  </si>
  <si>
    <t xml:space="preserve">P01665</t>
  </si>
  <si>
    <t xml:space="preserve">03:55</t>
  </si>
  <si>
    <t xml:space="preserve">P01199</t>
  </si>
  <si>
    <t xml:space="preserve">P01694</t>
  </si>
  <si>
    <t xml:space="preserve">P01445</t>
  </si>
  <si>
    <t xml:space="preserve">16:24</t>
  </si>
  <si>
    <t xml:space="preserve">P00840</t>
  </si>
  <si>
    <t xml:space="preserve">P01227</t>
  </si>
  <si>
    <t xml:space="preserve">03:05</t>
  </si>
  <si>
    <t xml:space="preserve">P00640</t>
  </si>
  <si>
    <t xml:space="preserve">P00632</t>
  </si>
  <si>
    <t xml:space="preserve">P01202</t>
  </si>
  <si>
    <t xml:space="preserve">P01275</t>
  </si>
  <si>
    <t xml:space="preserve">07:17</t>
  </si>
  <si>
    <t xml:space="preserve">P00413</t>
  </si>
  <si>
    <t xml:space="preserve">P00014</t>
  </si>
  <si>
    <t xml:space="preserve">P00484</t>
  </si>
  <si>
    <t xml:space="preserve">P01945</t>
  </si>
  <si>
    <t xml:space="preserve">P01059</t>
  </si>
  <si>
    <t xml:space="preserve">P00476</t>
  </si>
  <si>
    <t xml:space="preserve">P00657</t>
  </si>
  <si>
    <t xml:space="preserve">P01142</t>
  </si>
  <si>
    <t xml:space="preserve">P00537</t>
  </si>
  <si>
    <t xml:space="preserve">P00968</t>
  </si>
  <si>
    <t xml:space="preserve">05:58</t>
  </si>
  <si>
    <t xml:space="preserve">P01687</t>
  </si>
  <si>
    <t xml:space="preserve">18:06</t>
  </si>
  <si>
    <t xml:space="preserve">P00603</t>
  </si>
  <si>
    <t xml:space="preserve">P00164</t>
  </si>
  <si>
    <t xml:space="preserve">P01136</t>
  </si>
  <si>
    <t xml:space="preserve">P00483</t>
  </si>
  <si>
    <t xml:space="preserve">16:57</t>
  </si>
  <si>
    <t xml:space="preserve">P01245</t>
  </si>
  <si>
    <t xml:space="preserve">P00131</t>
  </si>
  <si>
    <t xml:space="preserve">P01301</t>
  </si>
  <si>
    <t xml:space="preserve">09:27</t>
  </si>
  <si>
    <t xml:space="preserve">P01064</t>
  </si>
  <si>
    <t xml:space="preserve">P01721</t>
  </si>
  <si>
    <t xml:space="preserve">P01411</t>
  </si>
  <si>
    <t xml:space="preserve">P01510</t>
  </si>
  <si>
    <t xml:space="preserve">P01420</t>
  </si>
  <si>
    <t xml:space="preserve">P00073</t>
  </si>
  <si>
    <t xml:space="preserve">08:40</t>
  </si>
  <si>
    <t xml:space="preserve">P00515</t>
  </si>
  <si>
    <t xml:space="preserve">07:16</t>
  </si>
  <si>
    <t xml:space="preserve">P00013</t>
  </si>
  <si>
    <t xml:space="preserve">P01329</t>
  </si>
  <si>
    <t xml:space="preserve">P01590</t>
  </si>
  <si>
    <t xml:space="preserve">20:22</t>
  </si>
  <si>
    <t xml:space="preserve">P00209</t>
  </si>
  <si>
    <t xml:space="preserve">P00304</t>
  </si>
  <si>
    <t xml:space="preserve">17:32</t>
  </si>
  <si>
    <t xml:space="preserve">P00621</t>
  </si>
  <si>
    <t xml:space="preserve">10:51</t>
  </si>
  <si>
    <t xml:space="preserve">P01662</t>
  </si>
  <si>
    <t xml:space="preserve">02:47</t>
  </si>
  <si>
    <t xml:space="preserve">P01416</t>
  </si>
  <si>
    <t xml:space="preserve">10:52</t>
  </si>
  <si>
    <t xml:space="preserve">P00566</t>
  </si>
  <si>
    <t xml:space="preserve">12:40</t>
  </si>
  <si>
    <t xml:space="preserve">P00694</t>
  </si>
  <si>
    <t xml:space="preserve">23:50</t>
  </si>
  <si>
    <t xml:space="preserve">P01757</t>
  </si>
  <si>
    <t xml:space="preserve">00:06</t>
  </si>
  <si>
    <t xml:space="preserve">P01016</t>
  </si>
  <si>
    <t xml:space="preserve">P00341</t>
  </si>
  <si>
    <t xml:space="preserve">08:01</t>
  </si>
  <si>
    <t xml:space="preserve">P01282</t>
  </si>
  <si>
    <t xml:space="preserve">17:37</t>
  </si>
  <si>
    <t xml:space="preserve">P01900</t>
  </si>
  <si>
    <t xml:space="preserve">15:12</t>
  </si>
  <si>
    <t xml:space="preserve">P01752</t>
  </si>
  <si>
    <t xml:space="preserve">P01783</t>
  </si>
  <si>
    <t xml:space="preserve">P00812</t>
  </si>
  <si>
    <t xml:space="preserve">11:52</t>
  </si>
  <si>
    <t xml:space="preserve">P00043</t>
  </si>
  <si>
    <t xml:space="preserve">P01241</t>
  </si>
  <si>
    <t xml:space="preserve">07:36</t>
  </si>
  <si>
    <t xml:space="preserve">P00879</t>
  </si>
  <si>
    <t xml:space="preserve">P01469</t>
  </si>
  <si>
    <t xml:space="preserve">P00734</t>
  </si>
  <si>
    <t xml:space="preserve">P00424</t>
  </si>
  <si>
    <t xml:space="preserve">P01985</t>
  </si>
  <si>
    <t xml:space="preserve">P01299</t>
  </si>
  <si>
    <t xml:space="preserve">P00880</t>
  </si>
  <si>
    <t xml:space="preserve">P00586</t>
  </si>
  <si>
    <t xml:space="preserve">P00027</t>
  </si>
  <si>
    <t xml:space="preserve">P00681</t>
  </si>
  <si>
    <t xml:space="preserve">P01239</t>
  </si>
  <si>
    <t xml:space="preserve">P00136</t>
  </si>
  <si>
    <t xml:space="preserve">P00211</t>
  </si>
  <si>
    <t xml:space="preserve">18:33</t>
  </si>
  <si>
    <t xml:space="preserve">P01478</t>
  </si>
  <si>
    <t xml:space="preserve">P00056</t>
  </si>
  <si>
    <t xml:space="preserve">23:13</t>
  </si>
  <si>
    <t xml:space="preserve">P00464</t>
  </si>
  <si>
    <t xml:space="preserve">P01787</t>
  </si>
  <si>
    <t xml:space="preserve">P00217</t>
  </si>
  <si>
    <t xml:space="preserve">06:43</t>
  </si>
  <si>
    <t xml:space="preserve">P01184</t>
  </si>
  <si>
    <t xml:space="preserve">P01065</t>
  </si>
  <si>
    <t xml:space="preserve">P00397</t>
  </si>
  <si>
    <t xml:space="preserve">P01413</t>
  </si>
  <si>
    <t xml:space="preserve">P01651</t>
  </si>
  <si>
    <t xml:space="preserve">P01640</t>
  </si>
  <si>
    <t xml:space="preserve">P01337</t>
  </si>
  <si>
    <t xml:space="preserve">08:21</t>
  </si>
  <si>
    <t xml:space="preserve">P01861</t>
  </si>
  <si>
    <t xml:space="preserve">09:07</t>
  </si>
  <si>
    <t xml:space="preserve">P00179</t>
  </si>
  <si>
    <t xml:space="preserve">P01201</t>
  </si>
  <si>
    <t xml:space="preserve">P00741</t>
  </si>
  <si>
    <t xml:space="preserve">15:00</t>
  </si>
  <si>
    <t xml:space="preserve">P00508</t>
  </si>
  <si>
    <t xml:space="preserve">P01165</t>
  </si>
  <si>
    <t xml:space="preserve">P00301</t>
  </si>
  <si>
    <t xml:space="preserve">P01549</t>
  </si>
  <si>
    <t xml:space="preserve">P01002</t>
  </si>
  <si>
    <t xml:space="preserve">06:00</t>
  </si>
  <si>
    <t xml:space="preserve">P01214</t>
  </si>
  <si>
    <t xml:space="preserve">P00079</t>
  </si>
  <si>
    <t xml:space="preserve">P00996</t>
  </si>
  <si>
    <t xml:space="preserve">01:27</t>
  </si>
  <si>
    <t xml:space="preserve">P01437</t>
  </si>
  <si>
    <t xml:space="preserve">P00727</t>
  </si>
  <si>
    <t xml:space="preserve">P00229</t>
  </si>
  <si>
    <t xml:space="preserve">22:38</t>
  </si>
  <si>
    <t xml:space="preserve">P00819</t>
  </si>
  <si>
    <t xml:space="preserve">P00989</t>
  </si>
  <si>
    <t xml:space="preserve">P01466</t>
  </si>
  <si>
    <t xml:space="preserve">05:30</t>
  </si>
  <si>
    <t xml:space="preserve">P00030</t>
  </si>
  <si>
    <t xml:space="preserve">P00562</t>
  </si>
  <si>
    <t xml:space="preserve">22:19</t>
  </si>
  <si>
    <t xml:space="preserve">P00226</t>
  </si>
  <si>
    <t xml:space="preserve">P01511</t>
  </si>
  <si>
    <t xml:space="preserve">P01228</t>
  </si>
  <si>
    <t xml:space="preserve">P00445</t>
  </si>
  <si>
    <t xml:space="preserve">P00033</t>
  </si>
  <si>
    <t xml:space="preserve">P01496</t>
  </si>
  <si>
    <t xml:space="preserve">19:44</t>
  </si>
  <si>
    <t xml:space="preserve">P00966</t>
  </si>
  <si>
    <t xml:space="preserve">23:39</t>
  </si>
  <si>
    <t xml:space="preserve">P00894</t>
  </si>
  <si>
    <t xml:space="preserve">P00669</t>
  </si>
  <si>
    <t xml:space="preserve">P01606</t>
  </si>
  <si>
    <t xml:space="preserve">00:41</t>
  </si>
  <si>
    <t xml:space="preserve">P01638</t>
  </si>
  <si>
    <t xml:space="preserve">P00959</t>
  </si>
  <si>
    <t xml:space="preserve">23:00</t>
  </si>
  <si>
    <t xml:space="preserve">P01453</t>
  </si>
  <si>
    <t xml:space="preserve">P00152</t>
  </si>
  <si>
    <t xml:space="preserve">00:16</t>
  </si>
  <si>
    <t xml:space="preserve">P00960</t>
  </si>
  <si>
    <t xml:space="preserve">05:38</t>
  </si>
  <si>
    <t xml:space="preserve">P00223</t>
  </si>
  <si>
    <t xml:space="preserve">P01028</t>
  </si>
  <si>
    <t xml:space="preserve">10:21</t>
  </si>
  <si>
    <t xml:space="preserve">P00703</t>
  </si>
  <si>
    <t xml:space="preserve">P01584</t>
  </si>
  <si>
    <t xml:space="preserve">P01727</t>
  </si>
  <si>
    <t xml:space="preserve">03:00</t>
  </si>
  <si>
    <t xml:space="preserve">P00855</t>
  </si>
  <si>
    <t xml:space="preserve">09:15</t>
  </si>
  <si>
    <t xml:space="preserve">P01066</t>
  </si>
  <si>
    <t xml:space="preserve">22:33</t>
  </si>
  <si>
    <t xml:space="preserve">P00834</t>
  </si>
  <si>
    <t xml:space="preserve">P01247</t>
  </si>
  <si>
    <t xml:space="preserve">P01427</t>
  </si>
  <si>
    <t xml:space="preserve">09:23</t>
  </si>
  <si>
    <t xml:space="preserve">P00114</t>
  </si>
  <si>
    <t xml:space="preserve">04:51</t>
  </si>
  <si>
    <t xml:space="preserve">P00049</t>
  </si>
  <si>
    <t xml:space="preserve">03:01</t>
  </si>
  <si>
    <t xml:space="preserve">P00290</t>
  </si>
  <si>
    <t xml:space="preserve">14:15</t>
  </si>
  <si>
    <t xml:space="preserve">P01101</t>
  </si>
  <si>
    <t xml:space="preserve">P01022</t>
  </si>
  <si>
    <t xml:space="preserve">17:09</t>
  </si>
  <si>
    <t xml:space="preserve">P00207</t>
  </si>
  <si>
    <t xml:space="preserve">P01148</t>
  </si>
  <si>
    <t xml:space="preserve">22:31</t>
  </si>
  <si>
    <t xml:space="preserve">P00974</t>
  </si>
  <si>
    <t xml:space="preserve">P01089</t>
  </si>
  <si>
    <t xml:space="preserve">P01250</t>
  </si>
  <si>
    <t xml:space="preserve">P01191</t>
  </si>
  <si>
    <t xml:space="preserve">P00633</t>
  </si>
  <si>
    <t xml:space="preserve">P00776</t>
  </si>
  <si>
    <t xml:space="preserve">07:27</t>
  </si>
  <si>
    <t xml:space="preserve">P00890</t>
  </si>
  <si>
    <t xml:space="preserve">15:46</t>
  </si>
  <si>
    <t xml:space="preserve">P01389</t>
  </si>
  <si>
    <t xml:space="preserve">P00900</t>
  </si>
  <si>
    <t xml:space="preserve">22:17</t>
  </si>
  <si>
    <t xml:space="preserve">P00833</t>
  </si>
  <si>
    <t xml:space="preserve">03:11</t>
  </si>
  <si>
    <t xml:space="preserve">P01246</t>
  </si>
  <si>
    <t xml:space="preserve">P00684</t>
  </si>
  <si>
    <t xml:space="preserve">20:42</t>
  </si>
  <si>
    <t xml:space="preserve">P01823</t>
  </si>
  <si>
    <t xml:space="preserve">P01286</t>
  </si>
  <si>
    <t xml:space="preserve">P00618</t>
  </si>
  <si>
    <t xml:space="preserve">P01242</t>
  </si>
  <si>
    <t xml:space="preserve">P01339</t>
  </si>
  <si>
    <t xml:space="preserve">20:17</t>
  </si>
  <si>
    <t xml:space="preserve">P00686</t>
  </si>
  <si>
    <t xml:space="preserve">P00870</t>
  </si>
  <si>
    <t xml:space="preserve">P01186</t>
  </si>
  <si>
    <t xml:space="preserve">P00674</t>
  </si>
  <si>
    <t xml:space="preserve">P00750</t>
  </si>
  <si>
    <t xml:space="preserve">P01003</t>
  </si>
  <si>
    <t xml:space="preserve">P01438</t>
  </si>
  <si>
    <t xml:space="preserve">11:06</t>
  </si>
  <si>
    <t xml:space="preserve">P00409</t>
  </si>
  <si>
    <t xml:space="preserve">P00630</t>
  </si>
  <si>
    <t xml:space="preserve">P01375</t>
  </si>
  <si>
    <t xml:space="preserve">P01978</t>
  </si>
  <si>
    <t xml:space="preserve">03:14</t>
  </si>
  <si>
    <t xml:space="preserve">P01643</t>
  </si>
  <si>
    <t xml:space="preserve">09:46</t>
  </si>
  <si>
    <t xml:space="preserve">P01830</t>
  </si>
  <si>
    <t xml:space="preserve">P00647</t>
  </si>
  <si>
    <t xml:space="preserve">18:13</t>
  </si>
  <si>
    <t xml:space="preserve">P00140</t>
  </si>
  <si>
    <t xml:space="preserve">08:15</t>
  </si>
  <si>
    <t xml:space="preserve">P01490</t>
  </si>
  <si>
    <t xml:space="preserve">19:46</t>
  </si>
  <si>
    <t xml:space="preserve">P00914</t>
  </si>
  <si>
    <t xml:space="preserve">P01377</t>
  </si>
  <si>
    <t xml:space="preserve">P00166</t>
  </si>
  <si>
    <t xml:space="preserve">P01462</t>
  </si>
  <si>
    <t xml:space="preserve">14:03</t>
  </si>
  <si>
    <t xml:space="preserve">P00813</t>
  </si>
  <si>
    <t xml:space="preserve">P00215</t>
  </si>
  <si>
    <t xml:space="preserve">P01451</t>
  </si>
  <si>
    <t xml:space="preserve">P01322</t>
  </si>
  <si>
    <t xml:space="preserve">12:08</t>
  </si>
  <si>
    <t xml:space="preserve">P00132</t>
  </si>
  <si>
    <t xml:space="preserve">P00315</t>
  </si>
  <si>
    <t xml:space="preserve">P00139</t>
  </si>
  <si>
    <t xml:space="preserve">P01967</t>
  </si>
  <si>
    <t xml:space="preserve">P01724</t>
  </si>
  <si>
    <t xml:space="preserve">P00417</t>
  </si>
  <si>
    <t xml:space="preserve">P01030</t>
  </si>
  <si>
    <t xml:space="preserve">P00039</t>
  </si>
  <si>
    <t xml:space="preserve">P01274</t>
  </si>
  <si>
    <t xml:space="preserve">P01422</t>
  </si>
  <si>
    <t xml:space="preserve">20:34</t>
  </si>
  <si>
    <t xml:space="preserve">P00054</t>
  </si>
  <si>
    <t xml:space="preserve">P00707</t>
  </si>
  <si>
    <t xml:space="preserve">P00137</t>
  </si>
  <si>
    <t xml:space="preserve">P01828</t>
  </si>
  <si>
    <t xml:space="preserve">P01123</t>
  </si>
  <si>
    <t xml:space="preserve">P00794</t>
  </si>
  <si>
    <t xml:space="preserve">22:43</t>
  </si>
  <si>
    <t xml:space="preserve">P00036</t>
  </si>
  <si>
    <t xml:space="preserve">P00026</t>
  </si>
  <si>
    <t xml:space="preserve">05:51</t>
  </si>
  <si>
    <t xml:space="preserve">P00658</t>
  </si>
  <si>
    <t xml:space="preserve">P01403</t>
  </si>
  <si>
    <t xml:space="preserve">11:53</t>
  </si>
  <si>
    <t xml:space="preserve">P00450</t>
  </si>
  <si>
    <t xml:space="preserve">12:06</t>
  </si>
  <si>
    <t xml:space="preserve">P00579</t>
  </si>
  <si>
    <t xml:space="preserve">09:49</t>
  </si>
  <si>
    <t xml:space="preserve">P01517</t>
  </si>
  <si>
    <t xml:space="preserve">P01249</t>
  </si>
  <si>
    <t xml:space="preserve">P01077</t>
  </si>
  <si>
    <t xml:space="preserve">P01402</t>
  </si>
  <si>
    <t xml:space="preserve">P01704</t>
  </si>
  <si>
    <t xml:space="preserve">P01259</t>
  </si>
  <si>
    <t xml:space="preserve">P00303</t>
  </si>
  <si>
    <t xml:space="preserve">23:58</t>
  </si>
  <si>
    <t xml:space="preserve">P01876</t>
  </si>
  <si>
    <t xml:space="preserve">03:30</t>
  </si>
  <si>
    <t xml:space="preserve">P01271</t>
  </si>
  <si>
    <t xml:space="preserve">P01955</t>
  </si>
  <si>
    <t xml:space="preserve">P01540</t>
  </si>
  <si>
    <t xml:space="preserve">20:45</t>
  </si>
  <si>
    <t xml:space="preserve">P01053</t>
  </si>
  <si>
    <t xml:space="preserve">P01933</t>
  </si>
  <si>
    <t xml:space="preserve">P00778</t>
  </si>
  <si>
    <t xml:space="preserve">04:56</t>
  </si>
  <si>
    <t xml:space="preserve">P01614</t>
  </si>
  <si>
    <t xml:space="preserve">19:18</t>
  </si>
  <si>
    <t xml:space="preserve">P00245</t>
  </si>
  <si>
    <t xml:space="preserve">P00104</t>
  </si>
  <si>
    <t xml:space="preserve">16:20</t>
  </si>
  <si>
    <t xml:space="preserve">P00277</t>
  </si>
  <si>
    <t xml:space="preserve">00:18</t>
  </si>
  <si>
    <t xml:space="preserve">P00394</t>
  </si>
  <si>
    <t xml:space="preserve">P00111</t>
  </si>
  <si>
    <t xml:space="preserve">22:14</t>
  </si>
  <si>
    <t xml:space="preserve">P00589</t>
  </si>
  <si>
    <t xml:space="preserve">18:50</t>
  </si>
  <si>
    <t xml:space="preserve">P00160</t>
  </si>
  <si>
    <t xml:space="preserve">P00971</t>
  </si>
  <si>
    <t xml:space="preserve">P00748</t>
  </si>
  <si>
    <t xml:space="preserve">P01497</t>
  </si>
  <si>
    <t xml:space="preserve">01:22</t>
  </si>
  <si>
    <t xml:space="preserve">P01607</t>
  </si>
  <si>
    <t xml:space="preserve">05:40</t>
  </si>
  <si>
    <t xml:space="preserve">P01137</t>
  </si>
  <si>
    <t xml:space="preserve">P00661</t>
  </si>
  <si>
    <t xml:space="preserve">P01535</t>
  </si>
  <si>
    <t xml:space="preserve">P00340</t>
  </si>
  <si>
    <t xml:space="preserve">P00330</t>
  </si>
  <si>
    <t xml:space="preserve">P01287</t>
  </si>
  <si>
    <t xml:space="preserve">P00134</t>
  </si>
  <si>
    <t xml:space="preserve">P00638</t>
  </si>
  <si>
    <t xml:space="preserve">23:23</t>
  </si>
  <si>
    <t xml:space="preserve">P01324</t>
  </si>
  <si>
    <t xml:space="preserve">03:36</t>
  </si>
  <si>
    <t xml:space="preserve">P00168</t>
  </si>
  <si>
    <t xml:space="preserve">09:25</t>
  </si>
  <si>
    <t xml:space="preserve">P01847</t>
  </si>
  <si>
    <t xml:space="preserve">P00928</t>
  </si>
  <si>
    <t xml:space="preserve">23:47</t>
  </si>
  <si>
    <t xml:space="preserve">P00861</t>
  </si>
  <si>
    <t xml:space="preserve">P01179</t>
  </si>
  <si>
    <t xml:space="preserve">P01021</t>
  </si>
  <si>
    <t xml:space="preserve">P01964</t>
  </si>
  <si>
    <t xml:space="preserve">14:48</t>
  </si>
  <si>
    <t xml:space="preserve">P00025</t>
  </si>
  <si>
    <t xml:space="preserve">04:28</t>
  </si>
  <si>
    <t xml:space="preserve">P00807</t>
  </si>
  <si>
    <t xml:space="preserve">P01867</t>
  </si>
  <si>
    <t xml:space="preserve">21:14</t>
  </si>
  <si>
    <t xml:space="preserve">P00444</t>
  </si>
  <si>
    <t xml:space="preserve">P00151</t>
  </si>
  <si>
    <t xml:space="preserve">P01976</t>
  </si>
  <si>
    <t xml:space="preserve">P00095</t>
  </si>
  <si>
    <t xml:space="preserve">P01938</t>
  </si>
  <si>
    <t xml:space="preserve">P00218</t>
  </si>
  <si>
    <t xml:space="preserve">18:03</t>
  </si>
  <si>
    <t xml:space="preserve">P00382</t>
  </si>
  <si>
    <t xml:space="preserve">P01048</t>
  </si>
  <si>
    <t xml:space="preserve">P00781</t>
  </si>
  <si>
    <t xml:space="preserve">10:29</t>
  </si>
  <si>
    <t xml:space="preserve">P00901</t>
  </si>
  <si>
    <t xml:space="preserve">04:12</t>
  </si>
  <si>
    <t xml:space="preserve">P01896</t>
  </si>
  <si>
    <t xml:space="preserve">P00865</t>
  </si>
  <si>
    <t xml:space="preserve">P00293</t>
  </si>
  <si>
    <t xml:space="preserve">P00713</t>
  </si>
  <si>
    <t xml:space="preserve">21:35</t>
  </si>
  <si>
    <t xml:space="preserve">P01198</t>
  </si>
  <si>
    <t xml:space="preserve">P00101</t>
  </si>
  <si>
    <t xml:space="preserve">P01050</t>
  </si>
  <si>
    <t xml:space="preserve">P01754</t>
  </si>
  <si>
    <t xml:space="preserve">08:41</t>
  </si>
  <si>
    <t xml:space="preserve">P00784</t>
  </si>
  <si>
    <t xml:space="preserve">P01596</t>
  </si>
  <si>
    <t xml:space="preserve">P00490</t>
  </si>
  <si>
    <t xml:space="preserve">P01272</t>
  </si>
  <si>
    <t xml:space="preserve">P00701</t>
  </si>
  <si>
    <t xml:space="preserve">P01379</t>
  </si>
  <si>
    <t xml:space="preserve">P01714</t>
  </si>
  <si>
    <t xml:space="preserve">P00751</t>
  </si>
  <si>
    <t xml:space="preserve">P00963</t>
  </si>
  <si>
    <t xml:space="preserve">22:36</t>
  </si>
  <si>
    <t xml:space="preserve">P01013</t>
  </si>
  <si>
    <t xml:space="preserve">10:05</t>
  </si>
  <si>
    <t xml:space="preserve">P00243</t>
  </si>
  <si>
    <t xml:space="preserve">11:23</t>
  </si>
  <si>
    <t xml:space="preserve">P00169</t>
  </si>
  <si>
    <t xml:space="preserve">P00074</t>
  </si>
  <si>
    <t xml:space="preserve">17:48</t>
  </si>
  <si>
    <t xml:space="preserve">P00560</t>
  </si>
  <si>
    <t xml:space="preserve">P01746</t>
  </si>
  <si>
    <t xml:space="preserve">P01980</t>
  </si>
  <si>
    <t xml:space="preserve">P01679</t>
  </si>
  <si>
    <t xml:space="preserve">P00119</t>
  </si>
  <si>
    <t xml:space="preserve">P01139</t>
  </si>
  <si>
    <t xml:space="preserve">15:04</t>
  </si>
  <si>
    <t xml:space="preserve">P00521</t>
  </si>
  <si>
    <t xml:space="preserve">P00714</t>
  </si>
  <si>
    <t xml:space="preserve">P00993</t>
  </si>
  <si>
    <t xml:space="preserve">P00006</t>
  </si>
  <si>
    <t xml:space="preserve">P01500</t>
  </si>
  <si>
    <t xml:space="preserve">P00255</t>
  </si>
  <si>
    <t xml:space="preserve">P01169</t>
  </si>
  <si>
    <t xml:space="preserve">P01094</t>
  </si>
  <si>
    <t xml:space="preserve">09:47</t>
  </si>
  <si>
    <t xml:space="preserve">P01039</t>
  </si>
  <si>
    <t xml:space="preserve">P01385</t>
  </si>
  <si>
    <t xml:space="preserve">P00384</t>
  </si>
  <si>
    <t xml:space="preserve">P01394</t>
  </si>
  <si>
    <t xml:space="preserve">P01103</t>
  </si>
  <si>
    <t xml:space="preserve">P01504</t>
  </si>
  <si>
    <t xml:space="preserve">P00517</t>
  </si>
  <si>
    <t xml:space="preserve">P00055</t>
  </si>
  <si>
    <t xml:space="preserve">15:55</t>
  </si>
  <si>
    <t xml:space="preserve">P00468</t>
  </si>
  <si>
    <t xml:space="preserve">04:39</t>
  </si>
  <si>
    <t xml:space="preserve">P00267</t>
  </si>
  <si>
    <t xml:space="preserve">P01034</t>
  </si>
  <si>
    <t xml:space="preserve">07:56</t>
  </si>
  <si>
    <t xml:space="preserve">P00584</t>
  </si>
  <si>
    <t xml:space="preserve">P00767</t>
  </si>
  <si>
    <t xml:space="preserve">P00538</t>
  </si>
  <si>
    <t xml:space="preserve">P01903</t>
  </si>
  <si>
    <t xml:space="preserve">13:39</t>
  </si>
  <si>
    <t xml:space="preserve">P00060</t>
  </si>
  <si>
    <t xml:space="preserve">P01528</t>
  </si>
  <si>
    <t xml:space="preserve">P01556</t>
  </si>
  <si>
    <t xml:space="preserve">P00167</t>
  </si>
  <si>
    <t xml:space="preserve">14:27</t>
  </si>
  <si>
    <t xml:space="preserve">P01672</t>
  </si>
  <si>
    <t xml:space="preserve">P00816</t>
  </si>
  <si>
    <t xml:space="preserve">P00332</t>
  </si>
  <si>
    <t xml:space="preserve">10:14</t>
  </si>
  <si>
    <t xml:space="preserve">P01711</t>
  </si>
  <si>
    <t xml:space="preserve">P00248</t>
  </si>
  <si>
    <t xml:space="preserve">17:29</t>
  </si>
  <si>
    <t xml:space="preserve">P00374</t>
  </si>
  <si>
    <t xml:space="preserve">P01593</t>
  </si>
  <si>
    <t xml:space="preserve">P00500</t>
  </si>
  <si>
    <t xml:space="preserve">P01598</t>
  </si>
  <si>
    <t xml:space="preserve">21:49</t>
  </si>
  <si>
    <t xml:space="preserve">P01560</t>
  </si>
  <si>
    <t xml:space="preserve">P00637</t>
  </si>
  <si>
    <t xml:space="preserve">P00617</t>
  </si>
  <si>
    <t xml:space="preserve">09:55</t>
  </si>
  <si>
    <t xml:space="preserve">P01811</t>
  </si>
  <si>
    <t xml:space="preserve">P01332</t>
  </si>
  <si>
    <t xml:space="preserve">P01551</t>
  </si>
  <si>
    <t xml:space="preserve">P00567</t>
  </si>
  <si>
    <t xml:space="preserve">P01526</t>
  </si>
  <si>
    <t xml:space="preserve">P00235</t>
  </si>
  <si>
    <t xml:space="preserve">P00627</t>
  </si>
  <si>
    <t xml:space="preserve">02:56</t>
  </si>
  <si>
    <t xml:space="preserve">P01215</t>
  </si>
  <si>
    <t xml:space="preserve">P00431</t>
  </si>
  <si>
    <t xml:space="preserve">P01011</t>
  </si>
  <si>
    <t xml:space="preserve">P01520</t>
  </si>
  <si>
    <t xml:space="preserve">P01800</t>
  </si>
  <si>
    <t xml:space="preserve">P00192</t>
  </si>
  <si>
    <t xml:space="preserve">11:31</t>
  </si>
  <si>
    <t xml:space="preserve">P01571</t>
  </si>
  <si>
    <t xml:space="preserve">P01176</t>
  </si>
  <si>
    <t xml:space="preserve">08:42</t>
  </si>
  <si>
    <t xml:space="preserve">P00436</t>
  </si>
  <si>
    <t xml:space="preserve">P00837</t>
  </si>
  <si>
    <t xml:space="preserve">P01658</t>
  </si>
  <si>
    <t xml:space="preserve">P01281</t>
  </si>
  <si>
    <t xml:space="preserve">P01951</t>
  </si>
  <si>
    <t xml:space="preserve">P01187</t>
  </si>
  <si>
    <t xml:space="preserve">P01017</t>
  </si>
  <si>
    <t xml:space="preserve">P00185</t>
  </si>
  <si>
    <t xml:space="preserve">P00688</t>
  </si>
  <si>
    <t xml:space="preserve">P01566</t>
  </si>
  <si>
    <t xml:space="preserve">P00639</t>
  </si>
  <si>
    <t xml:space="preserve">P00570</t>
  </si>
  <si>
    <t xml:space="preserve">P00934</t>
  </si>
  <si>
    <t xml:space="preserve">01:15</t>
  </si>
  <si>
    <t xml:space="preserve">P01408</t>
  </si>
  <si>
    <t xml:space="preserve">11:09</t>
  </si>
  <si>
    <t xml:space="preserve">P01170</t>
  </si>
  <si>
    <t xml:space="preserve">P01810</t>
  </si>
  <si>
    <t xml:space="preserve">P01243</t>
  </si>
  <si>
    <t xml:space="preserve">P00534</t>
  </si>
  <si>
    <t xml:space="preserve">P01240</t>
  </si>
  <si>
    <t xml:space="preserve">P01415</t>
  </si>
  <si>
    <t xml:space="preserve">12:17</t>
  </si>
  <si>
    <t xml:space="preserve">P01634</t>
  </si>
  <si>
    <t xml:space="preserve">P00743</t>
  </si>
  <si>
    <t xml:space="preserve">P00197</t>
  </si>
  <si>
    <t xml:space="preserve">P00496</t>
  </si>
  <si>
    <t xml:space="preserve">14:49</t>
  </si>
  <si>
    <t xml:space="preserve">P00592</t>
  </si>
  <si>
    <t xml:space="preserve">P00937</t>
  </si>
  <si>
    <t xml:space="preserve">01:49</t>
  </si>
  <si>
    <t xml:space="preserve">P01042</t>
  </si>
  <si>
    <t xml:space="preserve">P00980</t>
  </si>
  <si>
    <t xml:space="preserve">P00381</t>
  </si>
  <si>
    <t xml:space="preserve">P00028</t>
  </si>
  <si>
    <t xml:space="preserve">P01302</t>
  </si>
  <si>
    <t xml:space="preserve">P00396</t>
  </si>
  <si>
    <t xml:space="preserve">02:38</t>
  </si>
  <si>
    <t xml:space="preserve">P01253</t>
  </si>
  <si>
    <t xml:space="preserve">P00321</t>
  </si>
  <si>
    <t xml:space="preserve">00:54</t>
  </si>
  <si>
    <t xml:space="preserve">P00148</t>
  </si>
  <si>
    <t xml:space="preserve">09:16</t>
  </si>
  <si>
    <t xml:space="preserve">P00798</t>
  </si>
  <si>
    <t xml:space="preserve">P00624</t>
  </si>
  <si>
    <t xml:space="preserve">P00239</t>
  </si>
  <si>
    <t xml:space="preserve">15:48</t>
  </si>
  <si>
    <t xml:space="preserve">P01010</t>
  </si>
  <si>
    <t xml:space="preserve">P01519</t>
  </si>
  <si>
    <t xml:space="preserve">22:06</t>
  </si>
  <si>
    <t xml:space="preserve">P00911</t>
  </si>
  <si>
    <t xml:space="preserve">P00896</t>
  </si>
  <si>
    <t xml:space="preserve">P01474</t>
  </si>
  <si>
    <t xml:space="preserve">P01767</t>
  </si>
  <si>
    <t xml:space="preserve">P01362</t>
  </si>
  <si>
    <t xml:space="preserve">10:06</t>
  </si>
  <si>
    <t xml:space="preserve">P00107</t>
  </si>
  <si>
    <t xml:space="preserve">P00351</t>
  </si>
  <si>
    <t xml:space="preserve">18:09</t>
  </si>
  <si>
    <t xml:space="preserve">P01548</t>
  </si>
  <si>
    <t xml:space="preserve">P00651</t>
  </si>
  <si>
    <t xml:space="preserve">P00390</t>
  </si>
  <si>
    <t xml:space="preserve">P01005</t>
  </si>
  <si>
    <t xml:space="preserve">18:45</t>
  </si>
  <si>
    <t xml:space="preserve">P01473</t>
  </si>
  <si>
    <t xml:space="preserve">07:09</t>
  </si>
  <si>
    <t xml:space="preserve">P01118</t>
  </si>
  <si>
    <t xml:space="preserve">P01284</t>
  </si>
  <si>
    <t xml:space="preserve">P00555</t>
  </si>
  <si>
    <t xml:space="preserve">10:54</t>
  </si>
  <si>
    <t xml:space="preserve">P01901</t>
  </si>
  <si>
    <t xml:space="preserve">P00171</t>
  </si>
  <si>
    <t xml:space="preserve">P01279</t>
  </si>
  <si>
    <t xml:space="preserve">P01655</t>
  </si>
  <si>
    <t xml:space="preserve">P01277</t>
  </si>
  <si>
    <t xml:space="preserve">P00307</t>
  </si>
  <si>
    <t xml:space="preserve">P01572</t>
  </si>
  <si>
    <t xml:space="preserve">11:36</t>
  </si>
  <si>
    <t xml:space="preserve">P00416</t>
  </si>
  <si>
    <t xml:space="preserve">P01969</t>
  </si>
  <si>
    <t xml:space="preserve">P01716</t>
  </si>
  <si>
    <t xml:space="preserve">20:27</t>
  </si>
  <si>
    <t xml:space="preserve">P00429</t>
  </si>
  <si>
    <t xml:space="preserve">P00187</t>
  </si>
  <si>
    <t xml:space="preserve">P01006</t>
  </si>
  <si>
    <t xml:space="preserve">16:04</t>
  </si>
  <si>
    <t xml:space="preserve">P00909</t>
  </si>
  <si>
    <t xml:space="preserve">16:13</t>
  </si>
  <si>
    <t xml:space="preserve">P00270</t>
  </si>
  <si>
    <t xml:space="preserve">P00868</t>
  </si>
  <si>
    <t xml:space="preserve">P00631</t>
  </si>
  <si>
    <t xml:space="preserve">P00951</t>
  </si>
  <si>
    <t xml:space="preserve">P00163</t>
  </si>
  <si>
    <t xml:space="preserve">P00414</t>
  </si>
  <si>
    <t xml:space="preserve">P01776</t>
  </si>
  <si>
    <t xml:space="preserve">P00096</t>
  </si>
  <si>
    <t xml:space="preserve">04:42</t>
  </si>
  <si>
    <t xml:space="preserve">P00099</t>
  </si>
  <si>
    <t xml:space="preserve">23:02</t>
  </si>
  <si>
    <t xml:space="preserve">P01031</t>
  </si>
  <si>
    <t xml:space="preserve">P00877</t>
  </si>
  <si>
    <t xml:space="preserve">P00818</t>
  </si>
  <si>
    <t xml:space="preserve">21:32</t>
  </si>
  <si>
    <t xml:space="preserve">P00823</t>
  </si>
  <si>
    <t xml:space="preserve">07:58</t>
  </si>
  <si>
    <t xml:space="preserve">P00208</t>
  </si>
  <si>
    <t xml:space="preserve">P00975</t>
  </si>
  <si>
    <t xml:space="preserve">P00687</t>
  </si>
  <si>
    <t xml:space="preserve">P00873</t>
  </si>
  <si>
    <t xml:space="preserve">P00246</t>
  </si>
  <si>
    <t xml:space="preserve">P01636</t>
  </si>
  <si>
    <t xml:space="preserve">14:13</t>
  </si>
  <si>
    <t xml:space="preserve">P00230</t>
  </si>
  <si>
    <t xml:space="preserve">P01289</t>
  </si>
  <si>
    <t xml:space="preserve">P00907</t>
  </si>
  <si>
    <t xml:space="preserve">13:25</t>
  </si>
  <si>
    <t xml:space="preserve">P01393</t>
  </si>
  <si>
    <t xml:space="preserve">P00009</t>
  </si>
  <si>
    <t xml:space="preserve">P00897</t>
  </si>
  <si>
    <t xml:space="preserve">P01872</t>
  </si>
  <si>
    <t xml:space="preserve">P01855</t>
  </si>
  <si>
    <t xml:space="preserve">P01911</t>
  </si>
  <si>
    <t xml:space="preserve">06:42</t>
  </si>
  <si>
    <t xml:space="preserve">P00866</t>
  </si>
  <si>
    <t xml:space="preserve">P01428</t>
  </si>
  <si>
    <t xml:space="preserve">10:58</t>
  </si>
  <si>
    <t xml:space="preserve">P01723</t>
  </si>
  <si>
    <t xml:space="preserve">02:12</t>
  </si>
  <si>
    <t xml:space="preserve">P00792</t>
  </si>
  <si>
    <t xml:space="preserve">08:11</t>
  </si>
  <si>
    <t xml:space="preserve">P01023</t>
  </si>
  <si>
    <t xml:space="preserve">P01635</t>
  </si>
  <si>
    <t xml:space="preserve">10:13</t>
  </si>
  <si>
    <t xml:space="preserve">P00190</t>
  </si>
  <si>
    <t xml:space="preserve">09:14</t>
  </si>
  <si>
    <t xml:space="preserve">P01357</t>
  </si>
  <si>
    <t xml:space="preserve">P01328</t>
  </si>
  <si>
    <t xml:space="preserve">P00261</t>
  </si>
  <si>
    <t xml:space="preserve">P00145</t>
  </si>
  <si>
    <t xml:space="preserve">13:27</t>
  </si>
  <si>
    <t xml:space="preserve">P00829</t>
  </si>
  <si>
    <t xml:space="preserve">18:16</t>
  </si>
  <si>
    <t xml:space="preserve">P01652</t>
  </si>
  <si>
    <t xml:space="preserve">07:04</t>
  </si>
  <si>
    <t xml:space="preserve">P00699</t>
  </si>
  <si>
    <t xml:space="preserve">19:19</t>
  </si>
  <si>
    <t xml:space="preserve">P01308</t>
  </si>
  <si>
    <t xml:space="preserve">P00920</t>
  </si>
  <si>
    <t xml:space="preserve">23:53</t>
  </si>
  <si>
    <t xml:space="preserve">P01863</t>
  </si>
  <si>
    <t xml:space="preserve">P00938</t>
  </si>
  <si>
    <t xml:space="preserve">P01036</t>
  </si>
  <si>
    <t xml:space="preserve">P01821</t>
  </si>
  <si>
    <t xml:space="preserve">05:25</t>
  </si>
  <si>
    <t xml:space="preserve">P00891</t>
  </si>
  <si>
    <t xml:space="preserve">08:31</t>
  </si>
  <si>
    <t xml:space="preserve">P00595</t>
  </si>
  <si>
    <t xml:space="preserve">P00532</t>
  </si>
  <si>
    <t xml:space="preserve">P00895</t>
  </si>
  <si>
    <t xml:space="preserve">P01965</t>
  </si>
  <si>
    <t xml:space="preserve">P01494</t>
  </si>
  <si>
    <t xml:space="preserve">P01152</t>
  </si>
  <si>
    <t xml:space="preserve">P01447</t>
  </si>
  <si>
    <t xml:space="preserve">P00058</t>
  </si>
  <si>
    <t xml:space="preserve">P01058</t>
  </si>
  <si>
    <t xml:space="preserve">P01262</t>
  </si>
  <si>
    <t xml:space="preserve">01:58</t>
  </si>
  <si>
    <t xml:space="preserve">P01471</t>
  </si>
  <si>
    <t xml:space="preserve">P00283</t>
  </si>
  <si>
    <t xml:space="preserve">P01611</t>
  </si>
  <si>
    <t xml:space="preserve">P00935</t>
  </si>
  <si>
    <t xml:space="preserve">23:36</t>
  </si>
  <si>
    <t xml:space="preserve">P00363</t>
  </si>
  <si>
    <t xml:space="preserve">16:18</t>
  </si>
  <si>
    <t xml:space="preserve">P00244</t>
  </si>
  <si>
    <t xml:space="preserve">P01628</t>
  </si>
  <si>
    <t xml:space="preserve">P00093</t>
  </si>
  <si>
    <t xml:space="preserve">P01235</t>
  </si>
  <si>
    <t xml:space="preserve">06:04</t>
  </si>
  <si>
    <t xml:space="preserve">P00338</t>
  </si>
  <si>
    <t xml:space="preserve">P01014</t>
  </si>
  <si>
    <t xml:space="preserve">P01701</t>
  </si>
  <si>
    <t xml:space="preserve">P01693</t>
  </si>
  <si>
    <t xml:space="preserve">P01326</t>
  </si>
  <si>
    <t xml:space="preserve">P00948</t>
  </si>
  <si>
    <t xml:space="preserve">14:58</t>
  </si>
  <si>
    <t xml:space="preserve">P01110</t>
  </si>
  <si>
    <t xml:space="preserve">15:25</t>
  </si>
  <si>
    <t xml:space="preserve">P00191</t>
  </si>
  <si>
    <t xml:space="preserve">11:57</t>
  </si>
  <si>
    <t xml:space="preserve">P00040</t>
  </si>
  <si>
    <t xml:space="preserve">P01525</t>
  </si>
  <si>
    <t xml:space="preserve">P01648</t>
  </si>
  <si>
    <t xml:space="preserve">20:16</t>
  </si>
  <si>
    <t xml:space="preserve">P00976</t>
  </si>
  <si>
    <t xml:space="preserve">P01532</t>
  </si>
  <si>
    <t xml:space="preserve">14:29</t>
  </si>
  <si>
    <t xml:space="preserve">P00635</t>
  </si>
  <si>
    <t xml:space="preserve">P00765</t>
  </si>
  <si>
    <t xml:space="preserve">P01541</t>
  </si>
  <si>
    <t xml:space="preserve">21:20</t>
  </si>
  <si>
    <t xml:space="preserve">P00724</t>
  </si>
  <si>
    <t xml:space="preserve">P01129</t>
  </si>
  <si>
    <t xml:space="preserve">P00064</t>
  </si>
  <si>
    <t xml:space="preserve">18:28</t>
  </si>
  <si>
    <t xml:space="preserve">P00234</t>
  </si>
  <si>
    <t xml:space="preserve">11:15</t>
  </si>
  <si>
    <t xml:space="preserve">P00677</t>
  </si>
  <si>
    <t xml:space="preserve">P00106</t>
  </si>
  <si>
    <t xml:space="preserve">P01366</t>
  </si>
  <si>
    <t xml:space="preserve">P00754</t>
  </si>
  <si>
    <t xml:space="preserve">04:19</t>
  </si>
  <si>
    <t xml:space="preserve">P01941</t>
  </si>
  <si>
    <t xml:space="preserve">P00903</t>
  </si>
  <si>
    <t xml:space="preserve">P00254</t>
  </si>
  <si>
    <t xml:space="preserve">P01433</t>
  </si>
  <si>
    <t xml:space="preserve">P00423</t>
  </si>
  <si>
    <t xml:space="preserve">22:12</t>
  </si>
  <si>
    <t xml:space="preserve">P00775</t>
  </si>
  <si>
    <t xml:space="preserve">14:00</t>
  </si>
  <si>
    <t xml:space="preserve">P01233</t>
  </si>
  <si>
    <t xml:space="preserve">P00859</t>
  </si>
  <si>
    <t xml:space="preserve">P01429</t>
  </si>
  <si>
    <t xml:space="preserve">P00925</t>
  </si>
  <si>
    <t xml:space="preserve">P00080</t>
  </si>
  <si>
    <t xml:space="preserve">16:03</t>
  </si>
  <si>
    <t xml:space="preserve">P00990</t>
  </si>
  <si>
    <t xml:space="preserve">18:57</t>
  </si>
  <si>
    <t xml:space="preserve">P01107</t>
  </si>
  <si>
    <t xml:space="preserve">06:48</t>
  </si>
  <si>
    <t xml:space="preserve">P00498</t>
  </si>
  <si>
    <t xml:space="preserve">P01934</t>
  </si>
  <si>
    <t xml:space="preserve">P01608</t>
  </si>
  <si>
    <t xml:space="preserve">P01383</t>
  </si>
  <si>
    <t xml:space="preserve">09:58</t>
  </si>
  <si>
    <t xml:space="preserve">P00088</t>
  </si>
  <si>
    <t xml:space="preserve">07:45</t>
  </si>
  <si>
    <t xml:space="preserve">P00065</t>
  </si>
  <si>
    <t xml:space="preserve">P01295</t>
  </si>
  <si>
    <t xml:space="preserve">03:37</t>
  </si>
  <si>
    <t xml:space="preserve">P00606</t>
  </si>
  <si>
    <t xml:space="preserve">P00275</t>
  </si>
  <si>
    <t xml:space="preserve">P00675</t>
  </si>
  <si>
    <t xml:space="preserve">05:34</t>
  </si>
  <si>
    <t xml:space="preserve">P01680</t>
  </si>
  <si>
    <t xml:space="preserve">12:10</t>
  </si>
  <si>
    <t xml:space="preserve">P01797</t>
  </si>
  <si>
    <t xml:space="preserve">P01907</t>
  </si>
  <si>
    <t xml:space="preserve">P00154</t>
  </si>
  <si>
    <t xml:space="preserve">18:08</t>
  </si>
  <si>
    <t xml:space="preserve">P01785</t>
  </si>
  <si>
    <t xml:space="preserve">P00411</t>
  </si>
  <si>
    <t xml:space="preserve">P00831</t>
  </si>
  <si>
    <t xml:space="preserve">P01734</t>
  </si>
  <si>
    <t xml:space="preserve">P00913</t>
  </si>
  <si>
    <t xml:space="preserve">P00518</t>
  </si>
  <si>
    <t xml:space="preserve">P00045</t>
  </si>
  <si>
    <t xml:space="preserve">P01650</t>
  </si>
  <si>
    <t xml:space="preserve">P00391</t>
  </si>
  <si>
    <t xml:space="preserve">P00221</t>
  </si>
  <si>
    <t xml:space="preserve">P00141</t>
  </si>
  <si>
    <t xml:space="preserve">P01374</t>
  </si>
  <si>
    <t xml:space="preserve">02:55</t>
  </si>
  <si>
    <t xml:space="preserve">P00358</t>
  </si>
  <si>
    <t xml:space="preserve">05:15</t>
  </si>
  <si>
    <t xml:space="preserve">P00723</t>
  </si>
  <si>
    <t xml:space="preserve">05:17</t>
  </si>
  <si>
    <t xml:space="preserve">P01158</t>
  </si>
  <si>
    <t xml:space="preserve">P00262</t>
  </si>
  <si>
    <t xml:space="preserve">P01303</t>
  </si>
  <si>
    <t xml:space="preserve">P00899</t>
  </si>
  <si>
    <t xml:space="preserve">P01104</t>
  </si>
  <si>
    <t xml:space="preserve">P00196</t>
  </si>
  <si>
    <t xml:space="preserve">P00116</t>
  </si>
  <si>
    <t xml:space="preserve">P01076</t>
  </si>
  <si>
    <t xml:space="preserve">P01074</t>
  </si>
  <si>
    <t xml:space="preserve">P00719</t>
  </si>
  <si>
    <t xml:space="preserve">23:37</t>
  </si>
  <si>
    <t xml:space="preserve">P01405</t>
  </si>
  <si>
    <t xml:space="preserve">P01949</t>
  </si>
  <si>
    <t xml:space="preserve">14:47</t>
  </si>
  <si>
    <t xml:space="preserve">P01209</t>
  </si>
  <si>
    <t xml:space="preserve">03:46</t>
  </si>
  <si>
    <t xml:space="preserve">P01795</t>
  </si>
  <si>
    <t xml:space="preserve">P00359</t>
  </si>
  <si>
    <t xml:space="preserve">P01061</t>
  </si>
  <si>
    <t xml:space="preserve">P01020</t>
  </si>
  <si>
    <t xml:space="preserve">P01364</t>
  </si>
  <si>
    <t xml:space="preserve">P01846</t>
  </si>
  <si>
    <t xml:space="preserve">P01001</t>
  </si>
  <si>
    <t xml:space="preserve">P00936</t>
  </si>
  <si>
    <t xml:space="preserve">01:13</t>
  </si>
  <si>
    <t xml:space="preserve">P00755</t>
  </si>
  <si>
    <t xml:space="preserve">P00421</t>
  </si>
  <si>
    <t xml:space="preserve">P00150</t>
  </si>
  <si>
    <t xml:space="preserve">P00010</t>
  </si>
  <si>
    <t xml:space="preserve">P01070</t>
  </si>
  <si>
    <t xml:space="preserve">P01120</t>
  </si>
  <si>
    <t xml:space="preserve">21:45</t>
  </si>
  <si>
    <t xml:space="preserve">P01917</t>
  </si>
  <si>
    <t xml:space="preserve">P00535</t>
  </si>
  <si>
    <t xml:space="preserve">P00549</t>
  </si>
  <si>
    <t xml:space="preserve">P01585</t>
  </si>
  <si>
    <t xml:space="preserve">P00299</t>
  </si>
  <si>
    <t xml:space="preserve">P00977</t>
  </si>
  <si>
    <t xml:space="preserve">P01315</t>
  </si>
  <si>
    <t xml:space="preserve">12:56</t>
  </si>
  <si>
    <t xml:space="preserve">P01440</t>
  </si>
  <si>
    <t xml:space="preserve">P01338</t>
  </si>
  <si>
    <t xml:space="preserve">P01446</t>
  </si>
  <si>
    <t xml:space="preserve">P01682</t>
  </si>
  <si>
    <t xml:space="preserve">P00123</t>
  </si>
  <si>
    <t xml:space="preserve">P01850</t>
  </si>
  <si>
    <t xml:space="preserve">P01373</t>
  </si>
  <si>
    <t xml:space="preserve">P01386</t>
  </si>
  <si>
    <t xml:space="preserve">P01361</t>
  </si>
  <si>
    <t xml:space="preserve">05:03</t>
  </si>
  <si>
    <t xml:space="preserve">P01160</t>
  </si>
  <si>
    <t xml:space="preserve">P01859</t>
  </si>
  <si>
    <t xml:space="preserve">P00710</t>
  </si>
  <si>
    <t xml:space="preserve">P01878</t>
  </si>
  <si>
    <t xml:space="preserve">01:32</t>
  </si>
  <si>
    <t xml:space="preserve">P00770</t>
  </si>
  <si>
    <t xml:space="preserve">P01676</t>
  </si>
  <si>
    <t xml:space="preserve">P01392</t>
  </si>
  <si>
    <t xml:space="preserve">05:10</t>
  </si>
  <si>
    <t xml:space="preserve">P00089</t>
  </si>
  <si>
    <t xml:space="preserve">P01919</t>
  </si>
  <si>
    <t xml:space="preserve">P01644</t>
  </si>
  <si>
    <t xml:space="preserve">P01033</t>
  </si>
  <si>
    <t xml:space="preserve">02:20</t>
  </si>
  <si>
    <t xml:space="preserve">P00098</t>
  </si>
  <si>
    <t xml:space="preserve">P01986</t>
  </si>
  <si>
    <t xml:space="preserve">P00349</t>
  </si>
  <si>
    <t xml:space="preserve">P00510</t>
  </si>
  <si>
    <t xml:space="preserve">P00212</t>
  </si>
  <si>
    <t xml:space="preserve">P00704</t>
  </si>
  <si>
    <t xml:space="preserve">11:02</t>
  </si>
  <si>
    <t xml:space="preserve">P00747</t>
  </si>
  <si>
    <t xml:space="preserve">P01046</t>
  </si>
  <si>
    <t xml:space="preserve">P01507</t>
  </si>
  <si>
    <t xml:space="preserve">20:37</t>
  </si>
  <si>
    <t xml:space="preserve">P01982</t>
  </si>
  <si>
    <t xml:space="preserve">05:08</t>
  </si>
  <si>
    <t xml:space="preserve">P00940</t>
  </si>
  <si>
    <t xml:space="preserve">P01430</t>
  </si>
  <si>
    <t xml:space="preserve">23:30</t>
  </si>
  <si>
    <t xml:space="preserve">P01809</t>
  </si>
  <si>
    <t xml:space="preserve">19:53</t>
  </si>
  <si>
    <t xml:space="preserve">P01932</t>
  </si>
  <si>
    <t xml:space="preserve">22:05</t>
  </si>
  <si>
    <t xml:space="preserve">P01857</t>
  </si>
  <si>
    <t xml:space="preserve">17:27</t>
  </si>
  <si>
    <t xml:space="preserve">P00479</t>
  </si>
  <si>
    <t xml:space="preserve">P01615</t>
  </si>
  <si>
    <t xml:space="preserve">18:52</t>
  </si>
  <si>
    <t xml:space="preserve">P00492</t>
  </si>
  <si>
    <t xml:space="preserve">P00842</t>
  </si>
  <si>
    <t xml:space="preserve">06:46</t>
  </si>
  <si>
    <t xml:space="preserve">P01071</t>
  </si>
  <si>
    <t xml:space="preserve">P00365</t>
  </si>
  <si>
    <t xml:space="preserve">P00297</t>
  </si>
  <si>
    <t xml:space="preserve">P00050</t>
  </si>
  <si>
    <t xml:space="preserve">P01512</t>
  </si>
  <si>
    <t xml:space="preserve">P00225</t>
  </si>
  <si>
    <t xml:space="preserve">P01775</t>
  </si>
  <si>
    <t xml:space="preserve">P01244</t>
  </si>
  <si>
    <t xml:space="preserve">10:22</t>
  </si>
  <si>
    <t xml:space="preserve">P01960</t>
  </si>
  <si>
    <t xml:space="preserve">P00851</t>
  </si>
  <si>
    <t xml:space="preserve">P01786</t>
  </si>
  <si>
    <t xml:space="preserve">P01458</t>
  </si>
  <si>
    <t xml:space="preserve">P00648</t>
  </si>
  <si>
    <t xml:space="preserve">21:39</t>
  </si>
  <si>
    <t xml:space="preserve">P01226</t>
  </si>
  <si>
    <t xml:space="preserve">P00563</t>
  </si>
  <si>
    <t xml:space="preserve">06:02</t>
  </si>
  <si>
    <t xml:space="preserve">P00623</t>
  </si>
  <si>
    <t xml:space="preserve">P01088</t>
  </si>
  <si>
    <t xml:space="preserve">P00805</t>
  </si>
  <si>
    <t xml:space="preserve">21:27</t>
  </si>
  <si>
    <t xml:space="preserve">P00605</t>
  </si>
  <si>
    <t xml:space="preserve">17:54</t>
  </si>
  <si>
    <t xml:space="preserve">P01270</t>
  </si>
  <si>
    <t xml:space="preserve">P01887</t>
  </si>
  <si>
    <t xml:space="preserve">03:58</t>
  </si>
  <si>
    <t xml:space="preserve">P01599</t>
  </si>
  <si>
    <t xml:space="preserve">P01025</t>
  </si>
  <si>
    <t xml:space="preserve">P00540</t>
  </si>
  <si>
    <t xml:space="preserve">P00768</t>
  </si>
  <si>
    <t xml:space="preserve">P00763</t>
  </si>
  <si>
    <t xml:space="preserve">P00869</t>
  </si>
  <si>
    <t xml:space="preserve">P00690</t>
  </si>
  <si>
    <t xml:space="preserve">P00188</t>
  </si>
  <si>
    <t xml:space="preserve">P00407</t>
  </si>
  <si>
    <t xml:space="preserve">06:06</t>
  </si>
  <si>
    <t xml:space="preserve">P01012</t>
  </si>
  <si>
    <t xml:space="preserve">07:49</t>
  </si>
  <si>
    <t xml:space="preserve">P01173</t>
  </si>
  <si>
    <t xml:space="preserve">14:01</t>
  </si>
  <si>
    <t xml:space="preserve">P00752</t>
  </si>
  <si>
    <t xml:space="preserve">P01856</t>
  </si>
  <si>
    <t xml:space="preserve">P01958</t>
  </si>
  <si>
    <t xml:space="preserve">P01051</t>
  </si>
  <si>
    <t xml:space="preserve">12:11</t>
  </si>
  <si>
    <t xml:space="preserve">P00462</t>
  </si>
  <si>
    <t xml:space="preserve">P00671</t>
  </si>
  <si>
    <t xml:space="preserve">P00656</t>
  </si>
  <si>
    <t xml:space="preserve">P00786</t>
  </si>
  <si>
    <t xml:space="preserve">P01084</t>
  </si>
  <si>
    <t xml:space="preserve">P00715</t>
  </si>
  <si>
    <t xml:space="preserve">14:57</t>
  </si>
  <si>
    <t xml:space="preserve">P01351</t>
  </si>
  <si>
    <t xml:space="preserve">01:02</t>
  </si>
  <si>
    <t xml:space="preserve">P00425</t>
  </si>
  <si>
    <t xml:space="preserve">P01745</t>
  </si>
  <si>
    <t xml:space="preserve">14:43</t>
  </si>
  <si>
    <t xml:space="preserve">P01502</t>
  </si>
  <si>
    <t xml:space="preserve">P00044</t>
  </si>
  <si>
    <t xml:space="preserve">09:57</t>
  </si>
  <si>
    <t xml:space="preserve">P00662</t>
  </si>
  <si>
    <t xml:space="preserve">23:33</t>
  </si>
  <si>
    <t xml:space="preserve">P00636</t>
  </si>
  <si>
    <t xml:space="preserve">P01848</t>
  </si>
  <si>
    <t xml:space="preserve">16:34</t>
  </si>
  <si>
    <t xml:space="preserve">P00529</t>
  </si>
  <si>
    <t xml:space="preserve">P01761</t>
  </si>
  <si>
    <t xml:space="preserve">P00988</t>
  </si>
  <si>
    <t xml:space="preserve">06:05</t>
  </si>
  <si>
    <t xml:space="preserve">P01508</t>
  </si>
  <si>
    <t xml:space="preserve">P00219</t>
  </si>
  <si>
    <t xml:space="preserve">P01766</t>
  </si>
  <si>
    <t xml:space="preserve">P00821</t>
  </si>
  <si>
    <t xml:space="preserve">19:37</t>
  </si>
  <si>
    <t xml:space="preserve">P00809</t>
  </si>
  <si>
    <t xml:space="preserve">21:29</t>
  </si>
  <si>
    <t xml:space="preserve">P01946</t>
  </si>
  <si>
    <t xml:space="preserve">P00856</t>
  </si>
  <si>
    <t xml:space="preserve">P01499</t>
  </si>
  <si>
    <t xml:space="preserve">P00610</t>
  </si>
  <si>
    <t xml:space="preserve">P00486</t>
  </si>
  <si>
    <t xml:space="preserve">P01018</t>
  </si>
  <si>
    <t xml:space="preserve">06:57</t>
  </si>
  <si>
    <t xml:space="preserve">P01974</t>
  </si>
  <si>
    <t xml:space="preserve">18:05</t>
  </si>
  <si>
    <t xml:space="preserve">P01086</t>
  </si>
  <si>
    <t xml:space="preserve">P00082</t>
  </si>
  <si>
    <t xml:space="preserve">P01705</t>
  </si>
  <si>
    <t xml:space="preserve">P00325</t>
  </si>
  <si>
    <t xml:space="preserve">P01410</t>
  </si>
  <si>
    <t xml:space="preserve">P01491</t>
  </si>
  <si>
    <t xml:space="preserve">P01081</t>
  </si>
  <si>
    <t xml:space="preserve">00:13</t>
  </si>
  <si>
    <t xml:space="preserve">P00020</t>
  </si>
  <si>
    <t xml:space="preserve">P00455</t>
  </si>
  <si>
    <t xml:space="preserve">P01111</t>
  </si>
  <si>
    <t xml:space="preserve">P00839</t>
  </si>
  <si>
    <t xml:space="preserve">P00759</t>
  </si>
  <si>
    <t xml:space="preserve">P01674</t>
  </si>
  <si>
    <t xml:space="preserve">05:50</t>
  </si>
  <si>
    <t xml:space="preserve">P01341</t>
  </si>
  <si>
    <t xml:space="preserve">P00035</t>
  </si>
  <si>
    <t xml:space="preserve">P01163</t>
  </si>
  <si>
    <t xml:space="preserve">07:42</t>
  </si>
  <si>
    <t xml:space="preserve">P01791</t>
  </si>
  <si>
    <t xml:space="preserve">02:09</t>
  </si>
  <si>
    <t xml:space="preserve">P01613</t>
  </si>
  <si>
    <t xml:space="preserve">P00905</t>
  </si>
  <si>
    <t xml:space="preserve">P01523</t>
  </si>
  <si>
    <t xml:space="preserve">P01563</t>
  </si>
  <si>
    <t xml:space="preserve">P00801</t>
  </si>
  <si>
    <t xml:space="preserve">07:26</t>
  </si>
  <si>
    <t xml:space="preserve">P01580</t>
  </si>
  <si>
    <t xml:space="preserve">P00097</t>
  </si>
  <si>
    <t xml:space="preserve">P01108</t>
  </si>
  <si>
    <t xml:space="preserve">P00447</t>
  </si>
  <si>
    <t xml:space="preserve">P00475</t>
  </si>
  <si>
    <t xml:space="preserve">P01789</t>
  </si>
  <si>
    <t xml:space="preserve">P00367</t>
  </si>
  <si>
    <t xml:space="preserve">P01898</t>
  </si>
  <si>
    <t xml:space="preserve">11:29</t>
  </si>
  <si>
    <t xml:space="preserve">P01722</t>
  </si>
  <si>
    <t xml:space="preserve">08:25</t>
  </si>
  <si>
    <t xml:space="preserve">P01610</t>
  </si>
  <si>
    <t xml:space="preserve">P01910</t>
  </si>
  <si>
    <t xml:space="preserve">P01953</t>
  </si>
  <si>
    <t xml:space="preserve">P00761</t>
  </si>
  <si>
    <t xml:space="preserve">P00919</t>
  </si>
  <si>
    <t xml:space="preserve">09:50</t>
  </si>
  <si>
    <t xml:space="preserve">P01426</t>
  </si>
  <si>
    <t xml:space="preserve">P00760</t>
  </si>
  <si>
    <t xml:space="preserve">P00393</t>
  </si>
  <si>
    <t xml:space="preserve">22:09</t>
  </si>
  <si>
    <t xml:space="preserve">P01954</t>
  </si>
  <si>
    <t xml:space="preserve">P01770</t>
  </si>
  <si>
    <t xml:space="preserve">P01296</t>
  </si>
  <si>
    <t xml:space="preserve">01:30</t>
  </si>
  <si>
    <t xml:space="preserve">P00507</t>
  </si>
  <si>
    <t xml:space="preserve">18:44</t>
  </si>
  <si>
    <t xml:space="preserve">P01518</t>
  </si>
  <si>
    <t xml:space="preserve">P00435</t>
  </si>
  <si>
    <t xml:space="preserve">07:31</t>
  </si>
  <si>
    <t xml:space="preserve">P00649</t>
  </si>
  <si>
    <t xml:space="preserve">P00943</t>
  </si>
  <si>
    <t xml:space="preserve">P01832</t>
  </si>
  <si>
    <t xml:space="preserve">P01586</t>
  </si>
  <si>
    <t xml:space="preserve">P01232</t>
  </si>
  <si>
    <t xml:space="preserve">P01344</t>
  </si>
  <si>
    <t xml:space="preserve">P01997</t>
  </si>
  <si>
    <t xml:space="preserve">P00133</t>
  </si>
  <si>
    <t xml:space="preserve">P01075</t>
  </si>
  <si>
    <t xml:space="preserve">P00973</t>
  </si>
  <si>
    <t xml:space="preserve">20:39</t>
  </si>
  <si>
    <t xml:space="preserve">P01263</t>
  </si>
  <si>
    <t xml:space="preserve">09:05</t>
  </si>
  <si>
    <t xml:space="preserve">P01589</t>
  </si>
  <si>
    <t xml:space="preserve">P01617</t>
  </si>
  <si>
    <t xml:space="preserve">P00451</t>
  </si>
  <si>
    <t xml:space="preserve">18:20</t>
  </si>
  <si>
    <t xml:space="preserve">P00032</t>
  </si>
  <si>
    <t xml:space="preserve">08:50</t>
  </si>
  <si>
    <t xml:space="preserve">P00122</t>
  </si>
  <si>
    <t xml:space="preserve">P01236</t>
  </si>
  <si>
    <t xml:space="preserve">20:00</t>
  </si>
  <si>
    <t xml:space="preserve">P01376</t>
  </si>
  <si>
    <t xml:space="preserve">P01479</t>
  </si>
  <si>
    <t xml:space="preserve">P01327</t>
  </si>
  <si>
    <t xml:space="preserve">P01733</t>
  </si>
  <si>
    <t xml:space="preserve">P01113</t>
  </si>
  <si>
    <t xml:space="preserve">P01350</t>
  </si>
  <si>
    <t xml:space="preserve">P01348</t>
  </si>
  <si>
    <t xml:space="preserve">P00256</t>
  </si>
  <si>
    <t xml:space="preserve">P00893</t>
  </si>
  <si>
    <t xml:space="preserve">16:47</t>
  </si>
  <si>
    <t xml:space="preserve">P01595</t>
  </si>
  <si>
    <t xml:space="preserve">P01570</t>
  </si>
  <si>
    <t xml:space="preserve">00:57</t>
  </si>
  <si>
    <t xml:space="preserve">P01575</t>
  </si>
  <si>
    <t xml:space="preserve">P00360</t>
  </si>
  <si>
    <t xml:space="preserve">P00052</t>
  </si>
  <si>
    <t xml:space="preserve">P00876</t>
  </si>
  <si>
    <t xml:space="preserve">P00939</t>
  </si>
  <si>
    <t xml:space="preserve">P00773</t>
  </si>
  <si>
    <t xml:space="preserve">06:52</t>
  </si>
  <si>
    <t xml:space="preserve">P01127</t>
  </si>
  <si>
    <t xml:space="preserve">07:55</t>
  </si>
  <si>
    <t xml:space="preserve">P01220</t>
  </si>
  <si>
    <t xml:space="preserve">P00680</t>
  </si>
  <si>
    <t xml:space="preserve">P00806</t>
  </si>
  <si>
    <t xml:space="preserve">P01653</t>
  </si>
  <si>
    <t xml:space="preserve">P00125</t>
  </si>
  <si>
    <t xml:space="preserve">05:27</t>
  </si>
  <si>
    <t xml:space="preserve">P00405</t>
  </si>
  <si>
    <t xml:space="preserve">P00731</t>
  </si>
  <si>
    <t xml:space="preserve">P01312</t>
  </si>
  <si>
    <t xml:space="preserve">P00832</t>
  </si>
  <si>
    <t xml:space="preserve">P01072</t>
  </si>
  <si>
    <t xml:space="preserve">P00726</t>
  </si>
  <si>
    <t xml:space="preserve">P00588</t>
  </si>
  <si>
    <t xml:space="preserve">P00608</t>
  </si>
  <si>
    <t xml:space="preserve">P00434</t>
  </si>
  <si>
    <t xml:space="preserve">P01288</t>
  </si>
  <si>
    <t xml:space="preserve">20:08</t>
  </si>
  <si>
    <t xml:space="preserve">P00361</t>
  </si>
  <si>
    <t xml:space="preserve">07:30</t>
  </si>
  <si>
    <t xml:space="preserve">P01100</t>
  </si>
  <si>
    <t xml:space="preserve">07:38</t>
  </si>
  <si>
    <t xml:space="preserve">P00467</t>
  </si>
  <si>
    <t xml:space="preserve">P00300</t>
  </si>
  <si>
    <t xml:space="preserve">20:07</t>
  </si>
  <si>
    <t xml:space="preserve">P01559</t>
  </si>
  <si>
    <t xml:space="preserve">P01609</t>
  </si>
  <si>
    <t xml:space="preserve">11:50</t>
  </si>
  <si>
    <t xml:space="preserve">P00494</t>
  </si>
  <si>
    <t xml:space="preserve">P00528</t>
  </si>
  <si>
    <t xml:space="preserve">P01193</t>
  </si>
  <si>
    <t xml:space="preserve">Instagram Content Performance - Summary (all values are formulas on the Data sheet)</t>
  </si>
  <si>
    <t xml:space="preserve">Engagement rate = (likes + comments + shares + saves) / reach. Data is synthetic proxy data, so results are for practice, not real-world findings.</t>
  </si>
  <si>
    <t xml:space="preserve">KPIs</t>
  </si>
  <si>
    <t xml:space="preserve">Total posts</t>
  </si>
  <si>
    <t xml:space="preserve">Total reach</t>
  </si>
  <si>
    <t xml:space="preserve">Average reach per post</t>
  </si>
  <si>
    <t xml:space="preserve">Average engagement rate</t>
  </si>
  <si>
    <t xml:space="preserve">1. By post type</t>
  </si>
  <si>
    <t xml:space="preserve">Post type</t>
  </si>
  <si>
    <t xml:space="preserve">Posts</t>
  </si>
  <si>
    <t xml:space="preserve">Avg reach</t>
  </si>
  <si>
    <t xml:space="preserve">Avg engagement rate</t>
  </si>
  <si>
    <t xml:space="preserve">2. By time of day</t>
  </si>
  <si>
    <t xml:space="preserve">Time slot</t>
  </si>
  <si>
    <t xml:space="preserve">Late night (0-5)</t>
  </si>
  <si>
    <t xml:space="preserve">Morning (6-11)</t>
  </si>
  <si>
    <t xml:space="preserve">Afternoon (12-17)</t>
  </si>
  <si>
    <t xml:space="preserve">Evening (18-23)</t>
  </si>
  <si>
    <t xml:space="preserve">3. By niche</t>
  </si>
  <si>
    <t xml:space="preserve">Niche</t>
  </si>
  <si>
    <t xml:space="preserve">4. Call-to-action (CTA) effect</t>
  </si>
  <si>
    <t xml:space="preserve">Has CTA (0=no, 1=yes)</t>
  </si>
  <si>
    <t xml:space="preserve">5. Hashtag count groups</t>
  </si>
  <si>
    <t xml:space="preserve">Hashtags</t>
  </si>
  <si>
    <t xml:space="preserve">Min</t>
  </si>
  <si>
    <t xml:space="preserve">Max</t>
  </si>
  <si>
    <t xml:space="preserve">0-5</t>
  </si>
  <si>
    <t xml:space="preserve">6-10</t>
  </si>
  <si>
    <t xml:space="preserve">11-15</t>
  </si>
  <si>
    <t xml:space="preserve">16+</t>
  </si>
  <si>
    <t xml:space="preserve">6. Average reach: weekday x hour (heatmap)</t>
  </si>
  <si>
    <t xml:space="preserve">Weekday</t>
  </si>
  <si>
    <t xml:space="preserve">Notes</t>
  </si>
  <si>
    <t xml:space="preserve">Source: data/instagram_clean.csv (synthetic proxy dataset, 2,000 posts, 60 accounts, year 2025).</t>
  </si>
  <si>
    <t xml:space="preserve">Cleaning already done in Python: 15 duplicate rows removed, missing saves/caption_length filled with the median.</t>
  </si>
  <si>
    <t xml:space="preserve">To repeat the cleaning in Excel on the raw file: Data &gt; Remove Duplicates, then filter blanks and fill them.</t>
  </si>
  <si>
    <t xml:space="preserve">Engagement rate (Data!U) = (likes + comments + shares + saves) / reach.</t>
  </si>
  <si>
    <t xml:space="preserve">Time slot (Data!V) is derived from the hour using nested IF.</t>
  </si>
  <si>
    <t xml:space="preserve">Blue numbers on the Summary sheet (hashtag min/max) are inputs you can change.</t>
  </si>
  <si>
    <t xml:space="preserve">Pivot-table practice: Insert &gt; PivotTable on the Data sheet, rows = post_type, values = Average of engagement_rate.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</si>
</sst>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%"/>
    <numFmt numFmtId="167" formatCode="#,##0"/>
    <numFmt numFmtId="168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Engagement rate by post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Summary!D11</c:f>
              <c:strCache>
                <c:ptCount val="1"/>
                <c:pt idx="0">
                  <c:v>Avg engagement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Summary!$A$12:$A$15</c:f>
              <c:strCache>
                <c:ptCount val="4"/>
                <c:pt idx="0">
                  <c:v>Reel</c:v>
                </c:pt>
                <c:pt idx="1">
                  <c:v>Carousel</c:v>
                </c:pt>
                <c:pt idx="2">
                  <c:v>Video</c:v>
                </c:pt>
                <c:pt idx="3">
                  <c:v>Image</c:v>
                </c:pt>
              </c:strCache>
            </c:strRef>
          </c:cat>
          <c:val>
            <c:numRef>
              <c:f>Summary!$D$12:$D$15</c:f>
              <c:numCache>
                <c:formatCode>0.0%</c:formatCode>
                <c:ptCount val="4"/>
                <c:pt idx="0">
                  <c:v>0.101970663550935</c:v>
                </c:pt>
                <c:pt idx="1">
                  <c:v>0.0846702205969671</c:v>
                </c:pt>
                <c:pt idx="2">
                  <c:v>0.0810968370544735</c:v>
                </c:pt>
                <c:pt idx="3">
                  <c:v>0.0798590041246037</c:v>
                </c:pt>
              </c:numCache>
            </c:numRef>
          </c:val>
        </c:ser>
        <c:gapWidth val="150"/>
        <c:overlap val="0"/>
        <c:axId val="5625824"/>
        <c:axId val="50042679"/>
      </c:barChart>
      <c:catAx>
        <c:axId val="562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42679"/>
        <c:crosses val="autoZero"/>
        <c:auto val="1"/>
        <c:lblAlgn val="ctr"/>
        <c:lblOffset val="100"/>
        <c:noMultiLvlLbl val="0"/>
      </c:catAx>
      <c:valAx>
        <c:axId val="500426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Engagement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58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reach by time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Summary!C19</c:f>
              <c:strCache>
                <c:ptCount val="1"/>
                <c:pt idx="0">
                  <c:v>Avg reach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Summary!$A$20:$A$23</c:f>
              <c:strCache>
                <c:ptCount val="4"/>
                <c:pt idx="0">
                  <c:v>Late night (0-5)</c:v>
                </c:pt>
                <c:pt idx="1">
                  <c:v>Morning (6-11)</c:v>
                </c:pt>
                <c:pt idx="2">
                  <c:v>Afternoon (12-17)</c:v>
                </c:pt>
                <c:pt idx="3">
                  <c:v>Evening (18-23)</c:v>
                </c:pt>
              </c:strCache>
            </c:strRef>
          </c:cat>
          <c:val>
            <c:numRef>
              <c:f>Summary!$C$20:$C$23</c:f>
              <c:numCache>
                <c:formatCode>#,##0</c:formatCode>
                <c:ptCount val="4"/>
                <c:pt idx="0">
                  <c:v>18179.4134419552</c:v>
                </c:pt>
                <c:pt idx="1">
                  <c:v>31143.4567404427</c:v>
                </c:pt>
                <c:pt idx="2">
                  <c:v>29143.1017964072</c:v>
                </c:pt>
                <c:pt idx="3">
                  <c:v>39533.2954990215</c:v>
                </c:pt>
              </c:numCache>
            </c:numRef>
          </c:val>
        </c:ser>
        <c:gapWidth val="150"/>
        <c:overlap val="0"/>
        <c:axId val="11863332"/>
        <c:axId val="29323224"/>
      </c:barChart>
      <c:catAx>
        <c:axId val="118633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23224"/>
        <c:crosses val="autoZero"/>
        <c:auto val="1"/>
        <c:lblAlgn val="ctr"/>
        <c:lblOffset val="100"/>
        <c:noMultiLvlLbl val="0"/>
      </c:catAx>
      <c:valAx>
        <c:axId val="293232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reach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633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reach by niche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Summary!C27</c:f>
              <c:strCache>
                <c:ptCount val="1"/>
                <c:pt idx="0">
                  <c:v>Avg reach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Summary!$A$28:$A$35</c:f>
              <c:strCache>
                <c:ptCount val="8"/>
                <c:pt idx="0">
                  <c:v>Comedy</c:v>
                </c:pt>
                <c:pt idx="1">
                  <c:v>Fitness</c:v>
                </c:pt>
                <c:pt idx="2">
                  <c:v>Travel</c:v>
                </c:pt>
                <c:pt idx="3">
                  <c:v>Tech</c:v>
                </c:pt>
                <c:pt idx="4">
                  <c:v>Education</c:v>
                </c:pt>
                <c:pt idx="5">
                  <c:v>Fashion</c:v>
                </c:pt>
                <c:pt idx="6">
                  <c:v>Beauty</c:v>
                </c:pt>
                <c:pt idx="7">
                  <c:v>Food</c:v>
                </c:pt>
              </c:strCache>
            </c:strRef>
          </c:cat>
          <c:val>
            <c:numRef>
              <c:f>Summary!$C$28:$C$35</c:f>
              <c:numCache>
                <c:formatCode>#,##0</c:formatCode>
                <c:ptCount val="8"/>
                <c:pt idx="0">
                  <c:v>51116.3870967742</c:v>
                </c:pt>
                <c:pt idx="1">
                  <c:v>37833.1366120219</c:v>
                </c:pt>
                <c:pt idx="2">
                  <c:v>30835.0508474576</c:v>
                </c:pt>
                <c:pt idx="3">
                  <c:v>29337.1017699115</c:v>
                </c:pt>
                <c:pt idx="4">
                  <c:v>29078.6203904555</c:v>
                </c:pt>
                <c:pt idx="5">
                  <c:v>25781.9305019305</c:v>
                </c:pt>
                <c:pt idx="6">
                  <c:v>24195.4889502762</c:v>
                </c:pt>
                <c:pt idx="7">
                  <c:v>19381.7740112994</c:v>
                </c:pt>
              </c:numCache>
            </c:numRef>
          </c:val>
        </c:ser>
        <c:gapWidth val="150"/>
        <c:overlap val="0"/>
        <c:axId val="26760065"/>
        <c:axId val="47681135"/>
      </c:barChart>
      <c:catAx>
        <c:axId val="267600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81135"/>
        <c:crosses val="autoZero"/>
        <c:auto val="1"/>
        <c:lblAlgn val="ctr"/>
        <c:lblOffset val="100"/>
        <c:noMultiLvlLbl val="0"/>
      </c:catAx>
      <c:valAx>
        <c:axId val="476811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reach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600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reach by hashtag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Summary!E45</c:f>
              <c:strCache>
                <c:ptCount val="1"/>
                <c:pt idx="0">
                  <c:v>Avg reach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Summary!$A$46:$A$49</c:f>
              <c:strCache>
                <c:ptCount val="4"/>
                <c:pt idx="0">
                  <c:v>0-5</c:v>
                </c:pt>
                <c:pt idx="1">
                  <c:v>6-10</c:v>
                </c:pt>
                <c:pt idx="2">
                  <c:v>11-15</c:v>
                </c:pt>
                <c:pt idx="3">
                  <c:v>16+</c:v>
                </c:pt>
              </c:strCache>
            </c:strRef>
          </c:cat>
          <c:val>
            <c:numRef>
              <c:f>Summary!$E$46:$E$49</c:f>
              <c:numCache>
                <c:formatCode>#,##0</c:formatCode>
                <c:ptCount val="4"/>
                <c:pt idx="0">
                  <c:v>24402.6931034483</c:v>
                </c:pt>
                <c:pt idx="1">
                  <c:v>29120.2917431193</c:v>
                </c:pt>
                <c:pt idx="2">
                  <c:v>31170.4617691154</c:v>
                </c:pt>
                <c:pt idx="3">
                  <c:v>31061.3654618474</c:v>
                </c:pt>
              </c:numCache>
            </c:numRef>
          </c:val>
        </c:ser>
        <c:gapWidth val="150"/>
        <c:overlap val="0"/>
        <c:axId val="3125438"/>
        <c:axId val="59889944"/>
      </c:barChart>
      <c:catAx>
        <c:axId val="31254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89944"/>
        <c:crosses val="autoZero"/>
        <c:auto val="1"/>
        <c:lblAlgn val="ctr"/>
        <c:lblOffset val="100"/>
        <c:noMultiLvlLbl val="0"/>
      </c:catAx>
      <c:valAx>
        <c:axId val="598899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reach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54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11</xdr:col>
      <xdr:colOff>450720</xdr:colOff>
      <xdr:row>15</xdr:row>
      <xdr:rowOff>129240</xdr:rowOff>
    </xdr:to>
    <xdr:graphicFrame>
      <xdr:nvGraphicFramePr>
        <xdr:cNvPr id="0" name="Chart 1"/>
        <xdr:cNvGraphicFramePr/>
      </xdr:nvGraphicFramePr>
      <xdr:xfrm>
        <a:off x="6202800" y="5716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</xdr:row>
      <xdr:rowOff>160920</xdr:rowOff>
    </xdr:from>
    <xdr:to>
      <xdr:col>20</xdr:col>
      <xdr:colOff>450360</xdr:colOff>
      <xdr:row>15</xdr:row>
      <xdr:rowOff>129240</xdr:rowOff>
    </xdr:to>
    <xdr:graphicFrame>
      <xdr:nvGraphicFramePr>
        <xdr:cNvPr id="1" name="Chart 2"/>
        <xdr:cNvGraphicFramePr/>
      </xdr:nvGraphicFramePr>
      <xdr:xfrm>
        <a:off x="13815000" y="5716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17</xdr:row>
      <xdr:rowOff>96480</xdr:rowOff>
    </xdr:from>
    <xdr:to>
      <xdr:col>11</xdr:col>
      <xdr:colOff>450720</xdr:colOff>
      <xdr:row>29</xdr:row>
      <xdr:rowOff>720</xdr:rowOff>
    </xdr:to>
    <xdr:graphicFrame>
      <xdr:nvGraphicFramePr>
        <xdr:cNvPr id="2" name="Chart 3"/>
        <xdr:cNvGraphicFramePr/>
      </xdr:nvGraphicFramePr>
      <xdr:xfrm>
        <a:off x="6202800" y="36194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17</xdr:row>
      <xdr:rowOff>96480</xdr:rowOff>
    </xdr:from>
    <xdr:to>
      <xdr:col>20</xdr:col>
      <xdr:colOff>450360</xdr:colOff>
      <xdr:row>29</xdr:row>
      <xdr:rowOff>720</xdr:rowOff>
    </xdr:to>
    <xdr:graphicFrame>
      <xdr:nvGraphicFramePr>
        <xdr:cNvPr id="3" name="Chart 4"/>
        <xdr:cNvGraphicFramePr/>
      </xdr:nvGraphicFramePr>
      <xdr:xfrm>
        <a:off x="13815000" y="36194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2" min="1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2" t="s">
        <v>22</v>
      </c>
      <c r="B2" s="2" t="s">
        <v>23</v>
      </c>
      <c r="C2" s="2" t="s">
        <v>24</v>
      </c>
      <c r="D2" s="3" t="n">
        <v>45858</v>
      </c>
      <c r="E2" s="2" t="s">
        <v>25</v>
      </c>
      <c r="F2" s="2" t="s">
        <v>26</v>
      </c>
      <c r="G2" s="2" t="n">
        <v>63447</v>
      </c>
      <c r="H2" s="2" t="n">
        <v>15</v>
      </c>
      <c r="I2" s="2" t="n">
        <v>338</v>
      </c>
      <c r="J2" s="2" t="n">
        <v>1</v>
      </c>
      <c r="K2" s="2" t="n">
        <v>71515</v>
      </c>
      <c r="L2" s="2" t="n">
        <v>62990</v>
      </c>
      <c r="M2" s="2" t="n">
        <v>2756</v>
      </c>
      <c r="N2" s="2" t="n">
        <v>113</v>
      </c>
      <c r="O2" s="2" t="n">
        <v>311</v>
      </c>
      <c r="P2" s="2" t="n">
        <v>452</v>
      </c>
      <c r="Q2" s="2" t="n">
        <v>1197</v>
      </c>
      <c r="R2" s="2" t="n">
        <v>322</v>
      </c>
      <c r="S2" s="2" t="n">
        <v>10</v>
      </c>
      <c r="T2" s="2" t="s">
        <v>27</v>
      </c>
      <c r="U2" s="4" t="n">
        <f aca="false">(M2+N2+O2+P2)/L2</f>
        <v>0.0576599460231783</v>
      </c>
      <c r="V2" s="2" t="str">
        <f aca="false">IF(S2&lt;=5,"Late night (0-5)",IF(S2&lt;=11,"Morning (6-11)",IF(S2&lt;=17,"Afternoon (12-17)","Evening (18-23)")))</f>
        <v>Morning (6-11)</v>
      </c>
    </row>
    <row r="3" customFormat="false" ht="15" hidden="false" customHeight="false" outlineLevel="0" collapsed="false">
      <c r="A3" s="2" t="s">
        <v>28</v>
      </c>
      <c r="B3" s="2" t="s">
        <v>29</v>
      </c>
      <c r="C3" s="2" t="s">
        <v>30</v>
      </c>
      <c r="D3" s="3" t="n">
        <v>45985</v>
      </c>
      <c r="E3" s="2" t="s">
        <v>31</v>
      </c>
      <c r="F3" s="2" t="s">
        <v>32</v>
      </c>
      <c r="G3" s="2" t="n">
        <v>11612</v>
      </c>
      <c r="H3" s="2" t="n">
        <v>25</v>
      </c>
      <c r="I3" s="2" t="n">
        <v>10</v>
      </c>
      <c r="J3" s="2" t="n">
        <v>1</v>
      </c>
      <c r="K3" s="2" t="n">
        <v>18135</v>
      </c>
      <c r="L3" s="2" t="n">
        <v>13997</v>
      </c>
      <c r="M3" s="2" t="n">
        <v>769</v>
      </c>
      <c r="N3" s="2" t="n">
        <v>40</v>
      </c>
      <c r="O3" s="2" t="n">
        <v>112</v>
      </c>
      <c r="P3" s="2" t="n">
        <v>208</v>
      </c>
      <c r="Q3" s="2" t="n">
        <v>321</v>
      </c>
      <c r="R3" s="2" t="n">
        <v>89</v>
      </c>
      <c r="S3" s="2" t="n">
        <v>12</v>
      </c>
      <c r="T3" s="2" t="s">
        <v>33</v>
      </c>
      <c r="U3" s="4" t="n">
        <f aca="false">(M3+N3+O3+P3)/L3</f>
        <v>0.0806601414588841</v>
      </c>
      <c r="V3" s="2" t="str">
        <f aca="false">IF(S3&lt;=5,"Late night (0-5)",IF(S3&lt;=11,"Morning (6-11)",IF(S3&lt;=17,"Afternoon (12-17)","Evening (18-23)")))</f>
        <v>Afternoon (12-17)</v>
      </c>
    </row>
    <row r="4" customFormat="false" ht="15" hidden="false" customHeight="false" outlineLevel="0" collapsed="false">
      <c r="A4" s="2" t="s">
        <v>34</v>
      </c>
      <c r="B4" s="2" t="s">
        <v>35</v>
      </c>
      <c r="C4" s="2" t="s">
        <v>36</v>
      </c>
      <c r="D4" s="3" t="n">
        <v>45936</v>
      </c>
      <c r="E4" s="2" t="s">
        <v>37</v>
      </c>
      <c r="F4" s="2" t="s">
        <v>38</v>
      </c>
      <c r="G4" s="2" t="n">
        <v>33933</v>
      </c>
      <c r="H4" s="2" t="n">
        <v>6</v>
      </c>
      <c r="I4" s="2" t="n">
        <v>60</v>
      </c>
      <c r="J4" s="2" t="n">
        <v>1</v>
      </c>
      <c r="K4" s="2" t="n">
        <v>32568</v>
      </c>
      <c r="L4" s="2" t="n">
        <v>26200</v>
      </c>
      <c r="M4" s="2" t="n">
        <v>1653</v>
      </c>
      <c r="N4" s="2" t="n">
        <v>113</v>
      </c>
      <c r="O4" s="2" t="n">
        <v>102</v>
      </c>
      <c r="P4" s="2" t="n">
        <v>84</v>
      </c>
      <c r="Q4" s="2" t="n">
        <v>213</v>
      </c>
      <c r="R4" s="2" t="n">
        <v>35</v>
      </c>
      <c r="S4" s="2" t="n">
        <v>8</v>
      </c>
      <c r="T4" s="2" t="s">
        <v>33</v>
      </c>
      <c r="U4" s="4" t="n">
        <f aca="false">(M4+N4+O4+P4)/L4</f>
        <v>0.0745038167938931</v>
      </c>
      <c r="V4" s="2" t="str">
        <f aca="false">IF(S4&lt;=5,"Late night (0-5)",IF(S4&lt;=11,"Morning (6-11)",IF(S4&lt;=17,"Afternoon (12-17)","Evening (18-23)")))</f>
        <v>Morning (6-11)</v>
      </c>
    </row>
    <row r="5" customFormat="false" ht="15" hidden="false" customHeight="false" outlineLevel="0" collapsed="false">
      <c r="A5" s="2" t="s">
        <v>39</v>
      </c>
      <c r="B5" s="2" t="s">
        <v>40</v>
      </c>
      <c r="C5" s="2" t="s">
        <v>41</v>
      </c>
      <c r="D5" s="3" t="n">
        <v>45978</v>
      </c>
      <c r="E5" s="2" t="s">
        <v>42</v>
      </c>
      <c r="F5" s="2" t="s">
        <v>38</v>
      </c>
      <c r="G5" s="2" t="n">
        <v>23051</v>
      </c>
      <c r="H5" s="2" t="n">
        <v>14</v>
      </c>
      <c r="I5" s="2" t="n">
        <v>29</v>
      </c>
      <c r="J5" s="2" t="n">
        <v>0</v>
      </c>
      <c r="K5" s="2" t="n">
        <v>20623</v>
      </c>
      <c r="L5" s="2" t="n">
        <v>12708</v>
      </c>
      <c r="M5" s="2" t="n">
        <v>651</v>
      </c>
      <c r="N5" s="2" t="n">
        <v>35</v>
      </c>
      <c r="O5" s="2" t="n">
        <v>112</v>
      </c>
      <c r="P5" s="2" t="n">
        <v>36</v>
      </c>
      <c r="Q5" s="2" t="n">
        <v>139</v>
      </c>
      <c r="R5" s="2" t="n">
        <v>26</v>
      </c>
      <c r="S5" s="2" t="n">
        <v>12</v>
      </c>
      <c r="T5" s="2" t="s">
        <v>33</v>
      </c>
      <c r="U5" s="4" t="n">
        <f aca="false">(M5+N5+O5+P5)/L5</f>
        <v>0.0656279508970727</v>
      </c>
      <c r="V5" s="2" t="str">
        <f aca="false">IF(S5&lt;=5,"Late night (0-5)",IF(S5&lt;=11,"Morning (6-11)",IF(S5&lt;=17,"Afternoon (12-17)","Evening (18-23)")))</f>
        <v>Afternoon (12-17)</v>
      </c>
    </row>
    <row r="6" customFormat="false" ht="15" hidden="false" customHeight="false" outlineLevel="0" collapsed="false">
      <c r="A6" s="2" t="s">
        <v>43</v>
      </c>
      <c r="B6" s="2" t="s">
        <v>44</v>
      </c>
      <c r="C6" s="2" t="s">
        <v>36</v>
      </c>
      <c r="D6" s="3" t="n">
        <v>45676</v>
      </c>
      <c r="E6" s="2" t="s">
        <v>45</v>
      </c>
      <c r="F6" s="2" t="s">
        <v>26</v>
      </c>
      <c r="G6" s="2" t="n">
        <v>6265</v>
      </c>
      <c r="H6" s="2" t="n">
        <v>9</v>
      </c>
      <c r="I6" s="2" t="n">
        <v>176</v>
      </c>
      <c r="J6" s="2" t="n">
        <v>0</v>
      </c>
      <c r="K6" s="2" t="n">
        <v>4711</v>
      </c>
      <c r="L6" s="2" t="n">
        <v>3153</v>
      </c>
      <c r="M6" s="2" t="n">
        <v>273</v>
      </c>
      <c r="N6" s="2" t="n">
        <v>17</v>
      </c>
      <c r="O6" s="2" t="n">
        <v>22</v>
      </c>
      <c r="P6" s="2" t="n">
        <v>87</v>
      </c>
      <c r="Q6" s="2" t="n">
        <v>38</v>
      </c>
      <c r="R6" s="2" t="n">
        <v>7</v>
      </c>
      <c r="S6" s="2" t="n">
        <v>20</v>
      </c>
      <c r="T6" s="2" t="s">
        <v>27</v>
      </c>
      <c r="U6" s="4" t="n">
        <f aca="false">(M6+N6+O6+P6)/L6</f>
        <v>0.126546146527117</v>
      </c>
      <c r="V6" s="2" t="str">
        <f aca="false">IF(S6&lt;=5,"Late night (0-5)",IF(S6&lt;=11,"Morning (6-11)",IF(S6&lt;=17,"Afternoon (12-17)","Evening (18-23)")))</f>
        <v>Evening (18-23)</v>
      </c>
    </row>
    <row r="7" customFormat="false" ht="15" hidden="false" customHeight="false" outlineLevel="0" collapsed="false">
      <c r="A7" s="2" t="s">
        <v>46</v>
      </c>
      <c r="B7" s="2" t="s">
        <v>47</v>
      </c>
      <c r="C7" s="2" t="s">
        <v>48</v>
      </c>
      <c r="D7" s="3" t="n">
        <v>45965</v>
      </c>
      <c r="E7" s="2" t="s">
        <v>49</v>
      </c>
      <c r="F7" s="2" t="s">
        <v>50</v>
      </c>
      <c r="G7" s="2" t="n">
        <v>19609</v>
      </c>
      <c r="H7" s="2" t="n">
        <v>22</v>
      </c>
      <c r="I7" s="2" t="n">
        <v>263</v>
      </c>
      <c r="J7" s="2" t="n">
        <v>1</v>
      </c>
      <c r="K7" s="2" t="n">
        <v>30649</v>
      </c>
      <c r="L7" s="2" t="n">
        <v>17924</v>
      </c>
      <c r="M7" s="2" t="n">
        <v>1342</v>
      </c>
      <c r="N7" s="2" t="n">
        <v>103</v>
      </c>
      <c r="O7" s="2" t="n">
        <v>155</v>
      </c>
      <c r="P7" s="2" t="n">
        <v>364</v>
      </c>
      <c r="Q7" s="2" t="n">
        <v>162</v>
      </c>
      <c r="R7" s="2" t="n">
        <v>15</v>
      </c>
      <c r="S7" s="2" t="n">
        <v>0</v>
      </c>
      <c r="T7" s="2" t="s">
        <v>51</v>
      </c>
      <c r="U7" s="4" t="n">
        <f aca="false">(M7+N7+O7+P7)/L7</f>
        <v>0.109573755858067</v>
      </c>
      <c r="V7" s="2" t="str">
        <f aca="false">IF(S7&lt;=5,"Late night (0-5)",IF(S7&lt;=11,"Morning (6-11)",IF(S7&lt;=17,"Afternoon (12-17)","Evening (18-23)")))</f>
        <v>Late night (0-5)</v>
      </c>
    </row>
    <row r="8" customFormat="false" ht="15" hidden="false" customHeight="false" outlineLevel="0" collapsed="false">
      <c r="A8" s="2" t="s">
        <v>52</v>
      </c>
      <c r="B8" s="2" t="s">
        <v>53</v>
      </c>
      <c r="C8" s="2" t="s">
        <v>54</v>
      </c>
      <c r="D8" s="3" t="n">
        <v>45992</v>
      </c>
      <c r="E8" s="2" t="s">
        <v>55</v>
      </c>
      <c r="F8" s="2" t="s">
        <v>32</v>
      </c>
      <c r="G8" s="2" t="n">
        <v>11318</v>
      </c>
      <c r="H8" s="2" t="n">
        <v>13</v>
      </c>
      <c r="I8" s="2" t="n">
        <v>111</v>
      </c>
      <c r="J8" s="2" t="n">
        <v>0</v>
      </c>
      <c r="K8" s="2" t="n">
        <v>74380</v>
      </c>
      <c r="L8" s="2" t="n">
        <v>53028</v>
      </c>
      <c r="M8" s="2" t="n">
        <v>2910</v>
      </c>
      <c r="N8" s="2" t="n">
        <v>132</v>
      </c>
      <c r="O8" s="2" t="n">
        <v>201</v>
      </c>
      <c r="P8" s="2" t="n">
        <v>659</v>
      </c>
      <c r="Q8" s="2" t="n">
        <v>1364</v>
      </c>
      <c r="R8" s="2" t="n">
        <v>173</v>
      </c>
      <c r="S8" s="2" t="n">
        <v>19</v>
      </c>
      <c r="T8" s="2" t="s">
        <v>33</v>
      </c>
      <c r="U8" s="4" t="n">
        <f aca="false">(M8+N8+O8+P8)/L8</f>
        <v>0.0735837670664555</v>
      </c>
      <c r="V8" s="2" t="str">
        <f aca="false">IF(S8&lt;=5,"Late night (0-5)",IF(S8&lt;=11,"Morning (6-11)",IF(S8&lt;=17,"Afternoon (12-17)","Evening (18-23)")))</f>
        <v>Evening (18-23)</v>
      </c>
    </row>
    <row r="9" customFormat="false" ht="15" hidden="false" customHeight="false" outlineLevel="0" collapsed="false">
      <c r="A9" s="2" t="s">
        <v>56</v>
      </c>
      <c r="B9" s="2" t="s">
        <v>57</v>
      </c>
      <c r="C9" s="2" t="s">
        <v>24</v>
      </c>
      <c r="D9" s="3" t="n">
        <v>45909</v>
      </c>
      <c r="E9" s="2" t="s">
        <v>58</v>
      </c>
      <c r="F9" s="2" t="s">
        <v>26</v>
      </c>
      <c r="G9" s="2" t="n">
        <v>31021</v>
      </c>
      <c r="H9" s="2" t="n">
        <v>10</v>
      </c>
      <c r="I9" s="2" t="n">
        <v>105</v>
      </c>
      <c r="J9" s="2" t="n">
        <v>1</v>
      </c>
      <c r="K9" s="2" t="n">
        <v>8002</v>
      </c>
      <c r="L9" s="2" t="n">
        <v>5636</v>
      </c>
      <c r="M9" s="2" t="n">
        <v>355</v>
      </c>
      <c r="N9" s="2" t="n">
        <v>21</v>
      </c>
      <c r="O9" s="2" t="n">
        <v>50</v>
      </c>
      <c r="P9" s="2" t="n">
        <v>117</v>
      </c>
      <c r="Q9" s="2" t="n">
        <v>57</v>
      </c>
      <c r="R9" s="2" t="n">
        <v>4</v>
      </c>
      <c r="S9" s="2" t="n">
        <v>13</v>
      </c>
      <c r="T9" s="2" t="s">
        <v>51</v>
      </c>
      <c r="U9" s="4" t="n">
        <f aca="false">(M9+N9+O9+P9)/L9</f>
        <v>0.0963449254790632</v>
      </c>
      <c r="V9" s="2" t="str">
        <f aca="false">IF(S9&lt;=5,"Late night (0-5)",IF(S9&lt;=11,"Morning (6-11)",IF(S9&lt;=17,"Afternoon (12-17)","Evening (18-23)")))</f>
        <v>Afternoon (12-17)</v>
      </c>
    </row>
    <row r="10" customFormat="false" ht="15" hidden="false" customHeight="false" outlineLevel="0" collapsed="false">
      <c r="A10" s="2" t="s">
        <v>59</v>
      </c>
      <c r="B10" s="2" t="s">
        <v>60</v>
      </c>
      <c r="C10" s="2" t="s">
        <v>41</v>
      </c>
      <c r="D10" s="3" t="n">
        <v>45927</v>
      </c>
      <c r="E10" s="2" t="s">
        <v>61</v>
      </c>
      <c r="F10" s="2" t="s">
        <v>26</v>
      </c>
      <c r="G10" s="2" t="n">
        <v>7512</v>
      </c>
      <c r="H10" s="2" t="n">
        <v>6</v>
      </c>
      <c r="I10" s="2" t="n">
        <v>112</v>
      </c>
      <c r="J10" s="2" t="n">
        <v>0</v>
      </c>
      <c r="K10" s="2" t="n">
        <v>21458</v>
      </c>
      <c r="L10" s="2" t="n">
        <v>15969</v>
      </c>
      <c r="M10" s="2" t="n">
        <v>1091</v>
      </c>
      <c r="N10" s="2" t="n">
        <v>55</v>
      </c>
      <c r="O10" s="2" t="n">
        <v>56</v>
      </c>
      <c r="P10" s="2" t="n">
        <v>408</v>
      </c>
      <c r="Q10" s="2" t="n">
        <v>223</v>
      </c>
      <c r="R10" s="2" t="n">
        <v>35</v>
      </c>
      <c r="S10" s="2" t="n">
        <v>18</v>
      </c>
      <c r="T10" s="2" t="s">
        <v>62</v>
      </c>
      <c r="U10" s="4" t="n">
        <f aca="false">(M10+N10+O10+P10)/L10</f>
        <v>0.100820339407602</v>
      </c>
      <c r="V10" s="2" t="str">
        <f aca="false">IF(S10&lt;=5,"Late night (0-5)",IF(S10&lt;=11,"Morning (6-11)",IF(S10&lt;=17,"Afternoon (12-17)","Evening (18-23)")))</f>
        <v>Evening (18-23)</v>
      </c>
    </row>
    <row r="11" customFormat="false" ht="15" hidden="false" customHeight="false" outlineLevel="0" collapsed="false">
      <c r="A11" s="2" t="s">
        <v>63</v>
      </c>
      <c r="B11" s="2" t="s">
        <v>64</v>
      </c>
      <c r="C11" s="2" t="s">
        <v>36</v>
      </c>
      <c r="D11" s="3" t="n">
        <v>45700</v>
      </c>
      <c r="E11" s="2" t="s">
        <v>65</v>
      </c>
      <c r="F11" s="2" t="s">
        <v>38</v>
      </c>
      <c r="G11" s="2" t="n">
        <v>43781</v>
      </c>
      <c r="H11" s="2" t="n">
        <v>8</v>
      </c>
      <c r="I11" s="2" t="n">
        <v>297</v>
      </c>
      <c r="J11" s="2" t="n">
        <v>1</v>
      </c>
      <c r="K11" s="2" t="n">
        <v>55284</v>
      </c>
      <c r="L11" s="2" t="n">
        <v>36431</v>
      </c>
      <c r="M11" s="2" t="n">
        <v>1780</v>
      </c>
      <c r="N11" s="2" t="n">
        <v>70</v>
      </c>
      <c r="O11" s="2" t="n">
        <v>263</v>
      </c>
      <c r="P11" s="2" t="n">
        <v>377</v>
      </c>
      <c r="Q11" s="2" t="n">
        <v>305</v>
      </c>
      <c r="R11" s="2" t="n">
        <v>48</v>
      </c>
      <c r="S11" s="2" t="n">
        <v>7</v>
      </c>
      <c r="T11" s="2" t="s">
        <v>66</v>
      </c>
      <c r="U11" s="4" t="n">
        <f aca="false">(M11+N11+O11+P11)/L11</f>
        <v>0.0683483846174961</v>
      </c>
      <c r="V11" s="2" t="str">
        <f aca="false">IF(S11&lt;=5,"Late night (0-5)",IF(S11&lt;=11,"Morning (6-11)",IF(S11&lt;=17,"Afternoon (12-17)","Evening (18-23)")))</f>
        <v>Morning (6-11)</v>
      </c>
    </row>
    <row r="12" customFormat="false" ht="15" hidden="false" customHeight="false" outlineLevel="0" collapsed="false">
      <c r="A12" s="2" t="s">
        <v>67</v>
      </c>
      <c r="B12" s="2" t="s">
        <v>68</v>
      </c>
      <c r="C12" s="2" t="s">
        <v>54</v>
      </c>
      <c r="D12" s="3" t="n">
        <v>45698</v>
      </c>
      <c r="E12" s="2" t="s">
        <v>69</v>
      </c>
      <c r="F12" s="2" t="s">
        <v>32</v>
      </c>
      <c r="G12" s="2" t="n">
        <v>35922</v>
      </c>
      <c r="H12" s="2" t="n">
        <v>16</v>
      </c>
      <c r="I12" s="2" t="n">
        <v>45</v>
      </c>
      <c r="J12" s="2" t="n">
        <v>0</v>
      </c>
      <c r="K12" s="2" t="n">
        <v>147204</v>
      </c>
      <c r="L12" s="2" t="n">
        <v>122458</v>
      </c>
      <c r="M12" s="2" t="n">
        <v>12131</v>
      </c>
      <c r="N12" s="2" t="n">
        <v>282</v>
      </c>
      <c r="O12" s="2" t="n">
        <v>1286</v>
      </c>
      <c r="P12" s="2" t="n">
        <v>2491</v>
      </c>
      <c r="Q12" s="2" t="n">
        <v>2762</v>
      </c>
      <c r="R12" s="2" t="n">
        <v>691</v>
      </c>
      <c r="S12" s="2" t="n">
        <v>21</v>
      </c>
      <c r="T12" s="2" t="s">
        <v>33</v>
      </c>
      <c r="U12" s="4" t="n">
        <f aca="false">(M12+N12+O12+P12)/L12</f>
        <v>0.132208593966911</v>
      </c>
      <c r="V12" s="2" t="str">
        <f aca="false">IF(S12&lt;=5,"Late night (0-5)",IF(S12&lt;=11,"Morning (6-11)",IF(S12&lt;=17,"Afternoon (12-17)","Evening (18-23)")))</f>
        <v>Evening (18-23)</v>
      </c>
    </row>
    <row r="13" customFormat="false" ht="15" hidden="false" customHeight="false" outlineLevel="0" collapsed="false">
      <c r="A13" s="2" t="s">
        <v>70</v>
      </c>
      <c r="B13" s="2" t="s">
        <v>71</v>
      </c>
      <c r="C13" s="2" t="s">
        <v>48</v>
      </c>
      <c r="D13" s="3" t="n">
        <v>45661</v>
      </c>
      <c r="E13" s="2" t="s">
        <v>72</v>
      </c>
      <c r="F13" s="2" t="s">
        <v>50</v>
      </c>
      <c r="G13" s="2" t="n">
        <v>7316</v>
      </c>
      <c r="H13" s="2" t="n">
        <v>15</v>
      </c>
      <c r="I13" s="2" t="n">
        <v>108</v>
      </c>
      <c r="J13" s="2" t="n">
        <v>0</v>
      </c>
      <c r="K13" s="2" t="n">
        <v>1930</v>
      </c>
      <c r="L13" s="2" t="n">
        <v>1138</v>
      </c>
      <c r="M13" s="2" t="n">
        <v>82</v>
      </c>
      <c r="N13" s="2" t="n">
        <v>1</v>
      </c>
      <c r="O13" s="2" t="n">
        <v>3</v>
      </c>
      <c r="P13" s="2" t="n">
        <v>200</v>
      </c>
      <c r="Q13" s="2" t="n">
        <v>16</v>
      </c>
      <c r="R13" s="2" t="n">
        <v>3</v>
      </c>
      <c r="S13" s="2" t="n">
        <v>2</v>
      </c>
      <c r="T13" s="2" t="s">
        <v>62</v>
      </c>
      <c r="U13" s="4" t="n">
        <f aca="false">(M13+N13+O13+P13)/L13</f>
        <v>0.251318101933216</v>
      </c>
      <c r="V13" s="2" t="str">
        <f aca="false">IF(S13&lt;=5,"Late night (0-5)",IF(S13&lt;=11,"Morning (6-11)",IF(S13&lt;=17,"Afternoon (12-17)","Evening (18-23)")))</f>
        <v>Late night (0-5)</v>
      </c>
    </row>
    <row r="14" customFormat="false" ht="15" hidden="false" customHeight="false" outlineLevel="0" collapsed="false">
      <c r="A14" s="2" t="s">
        <v>73</v>
      </c>
      <c r="B14" s="2" t="s">
        <v>74</v>
      </c>
      <c r="C14" s="2" t="s">
        <v>30</v>
      </c>
      <c r="D14" s="3" t="n">
        <v>45992</v>
      </c>
      <c r="E14" s="2" t="s">
        <v>75</v>
      </c>
      <c r="F14" s="2" t="s">
        <v>26</v>
      </c>
      <c r="G14" s="2" t="n">
        <v>20432</v>
      </c>
      <c r="H14" s="2" t="n">
        <v>7</v>
      </c>
      <c r="I14" s="2" t="n">
        <v>291</v>
      </c>
      <c r="J14" s="2" t="n">
        <v>0</v>
      </c>
      <c r="K14" s="2" t="n">
        <v>18845</v>
      </c>
      <c r="L14" s="2" t="n">
        <v>11117</v>
      </c>
      <c r="M14" s="2" t="n">
        <v>867</v>
      </c>
      <c r="N14" s="2" t="n">
        <v>56</v>
      </c>
      <c r="O14" s="2" t="n">
        <v>103</v>
      </c>
      <c r="P14" s="2" t="n">
        <v>118</v>
      </c>
      <c r="Q14" s="2" t="n">
        <v>295</v>
      </c>
      <c r="R14" s="2" t="n">
        <v>69</v>
      </c>
      <c r="S14" s="2" t="n">
        <v>15</v>
      </c>
      <c r="T14" s="2" t="s">
        <v>33</v>
      </c>
      <c r="U14" s="4" t="n">
        <f aca="false">(M14+N14+O14+P14)/L14</f>
        <v>0.102905460106144</v>
      </c>
      <c r="V14" s="2" t="str">
        <f aca="false">IF(S14&lt;=5,"Late night (0-5)",IF(S14&lt;=11,"Morning (6-11)",IF(S14&lt;=17,"Afternoon (12-17)","Evening (18-23)")))</f>
        <v>Afternoon (12-17)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30</v>
      </c>
      <c r="D15" s="3" t="n">
        <v>45687</v>
      </c>
      <c r="E15" s="2" t="s">
        <v>78</v>
      </c>
      <c r="F15" s="2" t="s">
        <v>32</v>
      </c>
      <c r="G15" s="2" t="n">
        <v>17548</v>
      </c>
      <c r="H15" s="2" t="n">
        <v>10</v>
      </c>
      <c r="I15" s="2" t="n">
        <v>300</v>
      </c>
      <c r="J15" s="2" t="n">
        <v>0</v>
      </c>
      <c r="K15" s="2" t="n">
        <v>41218</v>
      </c>
      <c r="L15" s="2" t="n">
        <v>30640</v>
      </c>
      <c r="M15" s="2" t="n">
        <v>1534</v>
      </c>
      <c r="N15" s="2" t="n">
        <v>69</v>
      </c>
      <c r="O15" s="2" t="n">
        <v>206</v>
      </c>
      <c r="P15" s="2" t="n">
        <v>456</v>
      </c>
      <c r="Q15" s="2" t="n">
        <v>508</v>
      </c>
      <c r="R15" s="2" t="n">
        <v>111</v>
      </c>
      <c r="S15" s="2" t="n">
        <v>5</v>
      </c>
      <c r="T15" s="2" t="s">
        <v>79</v>
      </c>
      <c r="U15" s="4" t="n">
        <f aca="false">(M15+N15+O15+P15)/L15</f>
        <v>0.0739229765013055</v>
      </c>
      <c r="V15" s="2" t="str">
        <f aca="false">IF(S15&lt;=5,"Late night (0-5)",IF(S15&lt;=11,"Morning (6-11)",IF(S15&lt;=17,"Afternoon (12-17)","Evening (18-23)")))</f>
        <v>Late night (0-5)</v>
      </c>
    </row>
    <row r="16" customFormat="false" ht="15" hidden="false" customHeight="false" outlineLevel="0" collapsed="false">
      <c r="A16" s="2" t="s">
        <v>80</v>
      </c>
      <c r="B16" s="2" t="s">
        <v>23</v>
      </c>
      <c r="C16" s="2" t="s">
        <v>24</v>
      </c>
      <c r="D16" s="3" t="n">
        <v>45875</v>
      </c>
      <c r="E16" s="2" t="s">
        <v>81</v>
      </c>
      <c r="F16" s="2" t="s">
        <v>26</v>
      </c>
      <c r="G16" s="2" t="n">
        <v>63447</v>
      </c>
      <c r="H16" s="2" t="n">
        <v>15</v>
      </c>
      <c r="I16" s="2" t="n">
        <v>33</v>
      </c>
      <c r="J16" s="2" t="n">
        <v>1</v>
      </c>
      <c r="K16" s="2" t="n">
        <v>100758</v>
      </c>
      <c r="L16" s="2" t="n">
        <v>74618</v>
      </c>
      <c r="M16" s="2" t="n">
        <v>4382</v>
      </c>
      <c r="N16" s="2" t="n">
        <v>217</v>
      </c>
      <c r="O16" s="2" t="n">
        <v>769</v>
      </c>
      <c r="P16" s="2" t="n">
        <v>1488</v>
      </c>
      <c r="Q16" s="2" t="n">
        <v>408</v>
      </c>
      <c r="R16" s="2" t="n">
        <v>66</v>
      </c>
      <c r="S16" s="2" t="n">
        <v>21</v>
      </c>
      <c r="T16" s="2" t="s">
        <v>66</v>
      </c>
      <c r="U16" s="4" t="n">
        <f aca="false">(M16+N16+O16+P16)/L16</f>
        <v>0.0918813155002814</v>
      </c>
      <c r="V16" s="2" t="str">
        <f aca="false">IF(S16&lt;=5,"Late night (0-5)",IF(S16&lt;=11,"Morning (6-11)",IF(S16&lt;=17,"Afternoon (12-17)","Evening (18-23)")))</f>
        <v>Evening (18-23)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3" t="n">
        <v>45715</v>
      </c>
      <c r="E17" s="2" t="s">
        <v>85</v>
      </c>
      <c r="F17" s="2" t="s">
        <v>32</v>
      </c>
      <c r="G17" s="2" t="n">
        <v>17918</v>
      </c>
      <c r="H17" s="2" t="n">
        <v>0</v>
      </c>
      <c r="I17" s="2" t="n">
        <v>140</v>
      </c>
      <c r="J17" s="2" t="n">
        <v>1</v>
      </c>
      <c r="K17" s="2" t="n">
        <v>14491</v>
      </c>
      <c r="L17" s="2" t="n">
        <v>9160</v>
      </c>
      <c r="M17" s="2" t="n">
        <v>879</v>
      </c>
      <c r="N17" s="2" t="n">
        <v>43</v>
      </c>
      <c r="O17" s="2" t="n">
        <v>85</v>
      </c>
      <c r="P17" s="2" t="n">
        <v>172</v>
      </c>
      <c r="Q17" s="2" t="n">
        <v>149</v>
      </c>
      <c r="R17" s="2" t="n">
        <v>36</v>
      </c>
      <c r="S17" s="2" t="n">
        <v>1</v>
      </c>
      <c r="T17" s="2" t="s">
        <v>79</v>
      </c>
      <c r="U17" s="4" t="n">
        <f aca="false">(M17+N17+O17+P17)/L17</f>
        <v>0.128711790393013</v>
      </c>
      <c r="V17" s="2" t="str">
        <f aca="false">IF(S17&lt;=5,"Late night (0-5)",IF(S17&lt;=11,"Morning (6-11)",IF(S17&lt;=17,"Afternoon (12-17)","Evening (18-23)")))</f>
        <v>Late night (0-5)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36</v>
      </c>
      <c r="D18" s="3" t="n">
        <v>45824</v>
      </c>
      <c r="E18" s="2" t="s">
        <v>88</v>
      </c>
      <c r="F18" s="2" t="s">
        <v>38</v>
      </c>
      <c r="G18" s="2" t="n">
        <v>25592</v>
      </c>
      <c r="H18" s="2" t="n">
        <v>13</v>
      </c>
      <c r="I18" s="2" t="n">
        <v>235</v>
      </c>
      <c r="J18" s="2" t="n">
        <v>1</v>
      </c>
      <c r="K18" s="2" t="n">
        <v>33693</v>
      </c>
      <c r="L18" s="2" t="n">
        <v>25141</v>
      </c>
      <c r="M18" s="2" t="n">
        <v>2023</v>
      </c>
      <c r="N18" s="2" t="n">
        <v>103</v>
      </c>
      <c r="O18" s="2" t="n">
        <v>179</v>
      </c>
      <c r="P18" s="2" t="n">
        <v>525</v>
      </c>
      <c r="Q18" s="2" t="n">
        <v>598</v>
      </c>
      <c r="R18" s="2" t="n">
        <v>74</v>
      </c>
      <c r="S18" s="2" t="n">
        <v>7</v>
      </c>
      <c r="T18" s="2" t="s">
        <v>33</v>
      </c>
      <c r="U18" s="4" t="n">
        <f aca="false">(M18+N18+O18+P18)/L18</f>
        <v>0.112565132651844</v>
      </c>
      <c r="V18" s="2" t="str">
        <f aca="false">IF(S18&lt;=5,"Late night (0-5)",IF(S18&lt;=11,"Morning (6-11)",IF(S18&lt;=17,"Afternoon (12-17)","Evening (18-23)")))</f>
        <v>Morning (6-11)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3" t="n">
        <v>45997</v>
      </c>
      <c r="E19" s="2" t="s">
        <v>92</v>
      </c>
      <c r="F19" s="2" t="s">
        <v>32</v>
      </c>
      <c r="G19" s="2" t="n">
        <v>54788</v>
      </c>
      <c r="H19" s="2" t="n">
        <v>1</v>
      </c>
      <c r="I19" s="2" t="n">
        <v>164</v>
      </c>
      <c r="J19" s="2" t="n">
        <v>0</v>
      </c>
      <c r="K19" s="2" t="n">
        <v>135806</v>
      </c>
      <c r="L19" s="2" t="n">
        <v>78826</v>
      </c>
      <c r="M19" s="2" t="n">
        <v>7137</v>
      </c>
      <c r="N19" s="2" t="n">
        <v>177</v>
      </c>
      <c r="O19" s="2" t="n">
        <v>968</v>
      </c>
      <c r="P19" s="2" t="n">
        <v>1627</v>
      </c>
      <c r="Q19" s="2" t="n">
        <v>712</v>
      </c>
      <c r="R19" s="2" t="n">
        <v>125</v>
      </c>
      <c r="S19" s="2" t="n">
        <v>21</v>
      </c>
      <c r="T19" s="2" t="s">
        <v>62</v>
      </c>
      <c r="U19" s="4" t="n">
        <f aca="false">(M19+N19+O19+P19)/L19</f>
        <v>0.125707253951742</v>
      </c>
      <c r="V19" s="2" t="str">
        <f aca="false">IF(S19&lt;=5,"Late night (0-5)",IF(S19&lt;=11,"Morning (6-11)",IF(S19&lt;=17,"Afternoon (12-17)","Evening (18-23)")))</f>
        <v>Evening (18-23)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30</v>
      </c>
      <c r="D20" s="3" t="n">
        <v>45940</v>
      </c>
      <c r="E20" s="2" t="s">
        <v>95</v>
      </c>
      <c r="F20" s="2" t="s">
        <v>26</v>
      </c>
      <c r="G20" s="2" t="n">
        <v>58559</v>
      </c>
      <c r="H20" s="2" t="n">
        <v>9</v>
      </c>
      <c r="I20" s="2" t="n">
        <v>223</v>
      </c>
      <c r="J20" s="2" t="n">
        <v>1</v>
      </c>
      <c r="K20" s="2" t="n">
        <v>68493</v>
      </c>
      <c r="L20" s="2" t="n">
        <v>53959</v>
      </c>
      <c r="M20" s="2" t="n">
        <v>1654</v>
      </c>
      <c r="N20" s="2" t="n">
        <v>117</v>
      </c>
      <c r="O20" s="2" t="n">
        <v>317</v>
      </c>
      <c r="P20" s="2" t="n">
        <v>510</v>
      </c>
      <c r="Q20" s="2" t="n">
        <v>819</v>
      </c>
      <c r="R20" s="2" t="n">
        <v>152</v>
      </c>
      <c r="S20" s="2" t="n">
        <v>0</v>
      </c>
      <c r="T20" s="2" t="s">
        <v>96</v>
      </c>
      <c r="U20" s="4" t="n">
        <f aca="false">(M20+N20+O20+P20)/L20</f>
        <v>0.048147667673604</v>
      </c>
      <c r="V20" s="2" t="str">
        <f aca="false">IF(S20&lt;=5,"Late night (0-5)",IF(S20&lt;=11,"Morning (6-11)",IF(S20&lt;=17,"Afternoon (12-17)","Evening (18-23)")))</f>
        <v>Late night (0-5)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54</v>
      </c>
      <c r="D21" s="3" t="n">
        <v>45750</v>
      </c>
      <c r="E21" s="2" t="s">
        <v>99</v>
      </c>
      <c r="F21" s="2" t="s">
        <v>32</v>
      </c>
      <c r="G21" s="2" t="n">
        <v>18366</v>
      </c>
      <c r="H21" s="2" t="n">
        <v>7</v>
      </c>
      <c r="I21" s="2" t="n">
        <v>422</v>
      </c>
      <c r="J21" s="2" t="n">
        <v>1</v>
      </c>
      <c r="K21" s="2" t="n">
        <v>42534</v>
      </c>
      <c r="L21" s="2" t="n">
        <v>32260</v>
      </c>
      <c r="M21" s="2" t="n">
        <v>1669</v>
      </c>
      <c r="N21" s="2" t="n">
        <v>115</v>
      </c>
      <c r="O21" s="2" t="n">
        <v>175</v>
      </c>
      <c r="P21" s="2" t="n">
        <v>274</v>
      </c>
      <c r="Q21" s="2" t="n">
        <v>703</v>
      </c>
      <c r="R21" s="2" t="n">
        <v>61</v>
      </c>
      <c r="S21" s="2" t="n">
        <v>9</v>
      </c>
      <c r="T21" s="2" t="s">
        <v>79</v>
      </c>
      <c r="U21" s="4" t="n">
        <f aca="false">(M21+N21+O21+P21)/L21</f>
        <v>0.0692188468691879</v>
      </c>
      <c r="V21" s="2" t="str">
        <f aca="false">IF(S21&lt;=5,"Late night (0-5)",IF(S21&lt;=11,"Morning (6-11)",IF(S21&lt;=17,"Afternoon (12-17)","Evening (18-23)")))</f>
        <v>Morning (6-11)</v>
      </c>
    </row>
    <row r="22" customFormat="false" ht="15" hidden="false" customHeight="false" outlineLevel="0" collapsed="false">
      <c r="A22" s="2" t="s">
        <v>100</v>
      </c>
      <c r="B22" s="2" t="s">
        <v>83</v>
      </c>
      <c r="C22" s="2" t="s">
        <v>84</v>
      </c>
      <c r="D22" s="3" t="n">
        <v>45825</v>
      </c>
      <c r="E22" s="2" t="s">
        <v>101</v>
      </c>
      <c r="F22" s="2" t="s">
        <v>26</v>
      </c>
      <c r="G22" s="2" t="n">
        <v>17918</v>
      </c>
      <c r="H22" s="2" t="n">
        <v>0</v>
      </c>
      <c r="I22" s="2" t="n">
        <v>159</v>
      </c>
      <c r="J22" s="2" t="n">
        <v>0</v>
      </c>
      <c r="K22" s="2" t="n">
        <v>10517</v>
      </c>
      <c r="L22" s="2" t="n">
        <v>8125</v>
      </c>
      <c r="M22" s="2" t="n">
        <v>405</v>
      </c>
      <c r="N22" s="2" t="n">
        <v>10</v>
      </c>
      <c r="O22" s="2" t="n">
        <v>65</v>
      </c>
      <c r="P22" s="2" t="n">
        <v>77</v>
      </c>
      <c r="Q22" s="2" t="n">
        <v>238</v>
      </c>
      <c r="R22" s="2" t="n">
        <v>27</v>
      </c>
      <c r="S22" s="2" t="n">
        <v>2</v>
      </c>
      <c r="T22" s="2" t="s">
        <v>51</v>
      </c>
      <c r="U22" s="4" t="n">
        <f aca="false">(M22+N22+O22+P22)/L22</f>
        <v>0.0685538461538462</v>
      </c>
      <c r="V22" s="2" t="str">
        <f aca="false">IF(S22&lt;=5,"Late night (0-5)",IF(S22&lt;=11,"Morning (6-11)",IF(S22&lt;=17,"Afternoon (12-17)","Evening (18-23)")))</f>
        <v>Late night (0-5)</v>
      </c>
    </row>
    <row r="23" customFormat="false" ht="15" hidden="false" customHeight="false" outlineLevel="0" collapsed="false">
      <c r="A23" s="2" t="s">
        <v>102</v>
      </c>
      <c r="B23" s="2" t="s">
        <v>103</v>
      </c>
      <c r="C23" s="2" t="s">
        <v>36</v>
      </c>
      <c r="D23" s="3" t="n">
        <v>45924</v>
      </c>
      <c r="E23" s="2" t="s">
        <v>104</v>
      </c>
      <c r="F23" s="2" t="s">
        <v>38</v>
      </c>
      <c r="G23" s="2" t="n">
        <v>56979</v>
      </c>
      <c r="H23" s="2" t="n">
        <v>15</v>
      </c>
      <c r="I23" s="2" t="n">
        <v>236</v>
      </c>
      <c r="J23" s="2" t="n">
        <v>1</v>
      </c>
      <c r="K23" s="2" t="n">
        <v>132087</v>
      </c>
      <c r="L23" s="2" t="n">
        <v>74015</v>
      </c>
      <c r="M23" s="2" t="n">
        <v>4661</v>
      </c>
      <c r="N23" s="2" t="n">
        <v>286</v>
      </c>
      <c r="O23" s="2" t="n">
        <v>451</v>
      </c>
      <c r="P23" s="2" t="n">
        <v>1108</v>
      </c>
      <c r="Q23" s="2" t="n">
        <v>2051</v>
      </c>
      <c r="R23" s="2" t="n">
        <v>463</v>
      </c>
      <c r="S23" s="2" t="n">
        <v>15</v>
      </c>
      <c r="T23" s="2" t="s">
        <v>66</v>
      </c>
      <c r="U23" s="4" t="n">
        <f aca="false">(M23+N23+O23+P23)/L23</f>
        <v>0.0879011011281497</v>
      </c>
      <c r="V23" s="2" t="str">
        <f aca="false">IF(S23&lt;=5,"Late night (0-5)",IF(S23&lt;=11,"Morning (6-11)",IF(S23&lt;=17,"Afternoon (12-17)","Evening (18-23)")))</f>
        <v>Afternoon (12-17)</v>
      </c>
    </row>
    <row r="24" customFormat="false" ht="15" hidden="false" customHeight="false" outlineLevel="0" collapsed="false">
      <c r="A24" s="2" t="s">
        <v>105</v>
      </c>
      <c r="B24" s="2" t="s">
        <v>106</v>
      </c>
      <c r="C24" s="2" t="s">
        <v>91</v>
      </c>
      <c r="D24" s="3" t="n">
        <v>45934</v>
      </c>
      <c r="E24" s="2" t="s">
        <v>107</v>
      </c>
      <c r="F24" s="2" t="s">
        <v>32</v>
      </c>
      <c r="G24" s="2" t="n">
        <v>59477</v>
      </c>
      <c r="H24" s="2" t="n">
        <v>10</v>
      </c>
      <c r="I24" s="2" t="n">
        <v>166</v>
      </c>
      <c r="J24" s="2" t="n">
        <v>0</v>
      </c>
      <c r="K24" s="2" t="n">
        <v>80555</v>
      </c>
      <c r="L24" s="2" t="n">
        <v>45756</v>
      </c>
      <c r="M24" s="2" t="n">
        <v>3835</v>
      </c>
      <c r="N24" s="2" t="n">
        <v>198</v>
      </c>
      <c r="O24" s="2" t="n">
        <v>814</v>
      </c>
      <c r="P24" s="2" t="n">
        <v>230</v>
      </c>
      <c r="Q24" s="2" t="n">
        <v>1316</v>
      </c>
      <c r="R24" s="2" t="n">
        <v>380</v>
      </c>
      <c r="S24" s="2" t="n">
        <v>3</v>
      </c>
      <c r="T24" s="2" t="s">
        <v>62</v>
      </c>
      <c r="U24" s="4" t="n">
        <f aca="false">(M24+N24+O24+P24)/L24</f>
        <v>0.110958125710289</v>
      </c>
      <c r="V24" s="2" t="str">
        <f aca="false">IF(S24&lt;=5,"Late night (0-5)",IF(S24&lt;=11,"Morning (6-11)",IF(S24&lt;=17,"Afternoon (12-17)","Evening (18-23)")))</f>
        <v>Late night (0-5)</v>
      </c>
    </row>
    <row r="25" customFormat="false" ht="15" hidden="false" customHeight="false" outlineLevel="0" collapsed="false">
      <c r="A25" s="2" t="s">
        <v>108</v>
      </c>
      <c r="B25" s="2" t="s">
        <v>106</v>
      </c>
      <c r="C25" s="2" t="s">
        <v>91</v>
      </c>
      <c r="D25" s="3" t="n">
        <v>45999</v>
      </c>
      <c r="E25" s="2" t="s">
        <v>109</v>
      </c>
      <c r="F25" s="2" t="s">
        <v>38</v>
      </c>
      <c r="G25" s="2" t="n">
        <v>59477</v>
      </c>
      <c r="H25" s="2" t="n">
        <v>18</v>
      </c>
      <c r="I25" s="2" t="n">
        <v>214</v>
      </c>
      <c r="J25" s="2" t="n">
        <v>0</v>
      </c>
      <c r="K25" s="2" t="n">
        <v>21647</v>
      </c>
      <c r="L25" s="2" t="n">
        <v>12693</v>
      </c>
      <c r="M25" s="2" t="n">
        <v>763</v>
      </c>
      <c r="N25" s="2" t="n">
        <v>32</v>
      </c>
      <c r="O25" s="2" t="n">
        <v>106</v>
      </c>
      <c r="P25" s="2" t="n">
        <v>181</v>
      </c>
      <c r="Q25" s="2" t="n">
        <v>135</v>
      </c>
      <c r="R25" s="2" t="n">
        <v>23</v>
      </c>
      <c r="S25" s="2" t="n">
        <v>9</v>
      </c>
      <c r="T25" s="2" t="s">
        <v>33</v>
      </c>
      <c r="U25" s="4" t="n">
        <f aca="false">(M25+N25+O25+P25)/L25</f>
        <v>0.0852438351847475</v>
      </c>
      <c r="V25" s="2" t="str">
        <f aca="false">IF(S25&lt;=5,"Late night (0-5)",IF(S25&lt;=11,"Morning (6-11)",IF(S25&lt;=17,"Afternoon (12-17)","Evening (18-23)")))</f>
        <v>Morning (6-11)</v>
      </c>
    </row>
    <row r="26" customFormat="false" ht="15" hidden="false" customHeight="false" outlineLevel="0" collapsed="false">
      <c r="A26" s="2" t="s">
        <v>110</v>
      </c>
      <c r="B26" s="2" t="s">
        <v>111</v>
      </c>
      <c r="C26" s="2" t="s">
        <v>48</v>
      </c>
      <c r="D26" s="3" t="n">
        <v>45694</v>
      </c>
      <c r="E26" s="2" t="s">
        <v>112</v>
      </c>
      <c r="F26" s="2" t="s">
        <v>38</v>
      </c>
      <c r="G26" s="2" t="n">
        <v>16824</v>
      </c>
      <c r="H26" s="2" t="n">
        <v>16</v>
      </c>
      <c r="I26" s="2" t="n">
        <v>309</v>
      </c>
      <c r="J26" s="2" t="n">
        <v>1</v>
      </c>
      <c r="K26" s="2" t="n">
        <v>12932</v>
      </c>
      <c r="L26" s="2" t="n">
        <v>7223</v>
      </c>
      <c r="M26" s="2" t="n">
        <v>294</v>
      </c>
      <c r="N26" s="2" t="n">
        <v>11</v>
      </c>
      <c r="O26" s="2" t="n">
        <v>34</v>
      </c>
      <c r="P26" s="2" t="n">
        <v>42</v>
      </c>
      <c r="Q26" s="2" t="n">
        <v>53</v>
      </c>
      <c r="R26" s="2" t="n">
        <v>5</v>
      </c>
      <c r="S26" s="2" t="n">
        <v>2</v>
      </c>
      <c r="T26" s="2" t="s">
        <v>79</v>
      </c>
      <c r="U26" s="4" t="n">
        <f aca="false">(M26+N26+O26+P26)/L26</f>
        <v>0.0527481655821681</v>
      </c>
      <c r="V26" s="2" t="str">
        <f aca="false">IF(S26&lt;=5,"Late night (0-5)",IF(S26&lt;=11,"Morning (6-11)",IF(S26&lt;=17,"Afternoon (12-17)","Evening (18-23)")))</f>
        <v>Late night (0-5)</v>
      </c>
    </row>
    <row r="27" customFormat="false" ht="15" hidden="false" customHeight="false" outlineLevel="0" collapsed="false">
      <c r="A27" s="2" t="s">
        <v>113</v>
      </c>
      <c r="B27" s="2" t="s">
        <v>114</v>
      </c>
      <c r="C27" s="2" t="s">
        <v>84</v>
      </c>
      <c r="D27" s="3" t="n">
        <v>45853</v>
      </c>
      <c r="E27" s="2" t="s">
        <v>115</v>
      </c>
      <c r="F27" s="2" t="s">
        <v>32</v>
      </c>
      <c r="G27" s="2" t="n">
        <v>64307</v>
      </c>
      <c r="H27" s="2" t="n">
        <v>15</v>
      </c>
      <c r="I27" s="2" t="n">
        <v>214</v>
      </c>
      <c r="J27" s="2" t="n">
        <v>1</v>
      </c>
      <c r="K27" s="2" t="n">
        <v>237692</v>
      </c>
      <c r="L27" s="2" t="n">
        <v>169479</v>
      </c>
      <c r="M27" s="2" t="n">
        <v>13131</v>
      </c>
      <c r="N27" s="2" t="n">
        <v>800</v>
      </c>
      <c r="O27" s="2" t="n">
        <v>2853</v>
      </c>
      <c r="P27" s="2" t="n">
        <v>2047</v>
      </c>
      <c r="Q27" s="2" t="n">
        <v>2889</v>
      </c>
      <c r="R27" s="2" t="n">
        <v>245</v>
      </c>
      <c r="S27" s="2" t="n">
        <v>5</v>
      </c>
      <c r="T27" s="2" t="s">
        <v>51</v>
      </c>
      <c r="U27" s="4" t="n">
        <f aca="false">(M27+N27+O27+P27)/L27</f>
        <v>0.111111111111111</v>
      </c>
      <c r="V27" s="2" t="str">
        <f aca="false">IF(S27&lt;=5,"Late night (0-5)",IF(S27&lt;=11,"Morning (6-11)",IF(S27&lt;=17,"Afternoon (12-17)","Evening (18-23)")))</f>
        <v>Late night (0-5)</v>
      </c>
    </row>
    <row r="28" customFormat="false" ht="15" hidden="false" customHeight="false" outlineLevel="0" collapsed="false">
      <c r="A28" s="2" t="s">
        <v>116</v>
      </c>
      <c r="B28" s="2" t="s">
        <v>29</v>
      </c>
      <c r="C28" s="2" t="s">
        <v>30</v>
      </c>
      <c r="D28" s="3" t="n">
        <v>45699</v>
      </c>
      <c r="E28" s="2" t="s">
        <v>117</v>
      </c>
      <c r="F28" s="2" t="s">
        <v>26</v>
      </c>
      <c r="G28" s="2" t="n">
        <v>11612</v>
      </c>
      <c r="H28" s="2" t="n">
        <v>11</v>
      </c>
      <c r="I28" s="2" t="n">
        <v>16</v>
      </c>
      <c r="J28" s="2" t="n">
        <v>1</v>
      </c>
      <c r="K28" s="2" t="n">
        <v>29981</v>
      </c>
      <c r="L28" s="2" t="n">
        <v>24888</v>
      </c>
      <c r="M28" s="2" t="n">
        <v>1269</v>
      </c>
      <c r="N28" s="2" t="n">
        <v>79</v>
      </c>
      <c r="O28" s="2" t="n">
        <v>75</v>
      </c>
      <c r="P28" s="2" t="n">
        <v>347</v>
      </c>
      <c r="Q28" s="2" t="n">
        <v>383</v>
      </c>
      <c r="R28" s="2" t="n">
        <v>24</v>
      </c>
      <c r="S28" s="2" t="n">
        <v>12</v>
      </c>
      <c r="T28" s="2" t="s">
        <v>51</v>
      </c>
      <c r="U28" s="4" t="n">
        <f aca="false">(M28+N28+O28+P28)/L28</f>
        <v>0.0711186113789778</v>
      </c>
      <c r="V28" s="2" t="str">
        <f aca="false">IF(S28&lt;=5,"Late night (0-5)",IF(S28&lt;=11,"Morning (6-11)",IF(S28&lt;=17,"Afternoon (12-17)","Evening (18-23)")))</f>
        <v>Afternoon (12-17)</v>
      </c>
    </row>
    <row r="29" customFormat="false" ht="15" hidden="false" customHeight="false" outlineLevel="0" collapsed="false">
      <c r="A29" s="2" t="s">
        <v>118</v>
      </c>
      <c r="B29" s="2" t="s">
        <v>111</v>
      </c>
      <c r="C29" s="2" t="s">
        <v>48</v>
      </c>
      <c r="D29" s="3" t="n">
        <v>45699</v>
      </c>
      <c r="E29" s="2" t="s">
        <v>119</v>
      </c>
      <c r="F29" s="2" t="s">
        <v>26</v>
      </c>
      <c r="G29" s="2" t="n">
        <v>16824</v>
      </c>
      <c r="H29" s="2" t="n">
        <v>19</v>
      </c>
      <c r="I29" s="2" t="n">
        <v>187</v>
      </c>
      <c r="J29" s="2" t="n">
        <v>0</v>
      </c>
      <c r="K29" s="2" t="n">
        <v>8545</v>
      </c>
      <c r="L29" s="2" t="n">
        <v>5329</v>
      </c>
      <c r="M29" s="2" t="n">
        <v>380</v>
      </c>
      <c r="N29" s="2" t="n">
        <v>18</v>
      </c>
      <c r="O29" s="2" t="n">
        <v>48</v>
      </c>
      <c r="P29" s="2" t="n">
        <v>87</v>
      </c>
      <c r="Q29" s="2" t="n">
        <v>79</v>
      </c>
      <c r="R29" s="2" t="n">
        <v>9</v>
      </c>
      <c r="S29" s="2" t="n">
        <v>15</v>
      </c>
      <c r="T29" s="2" t="s">
        <v>51</v>
      </c>
      <c r="U29" s="4" t="n">
        <f aca="false">(M29+N29+O29+P29)/L29</f>
        <v>0.100018765246763</v>
      </c>
      <c r="V29" s="2" t="str">
        <f aca="false">IF(S29&lt;=5,"Late night (0-5)",IF(S29&lt;=11,"Morning (6-11)",IF(S29&lt;=17,"Afternoon (12-17)","Evening (18-23)")))</f>
        <v>Afternoon (12-17)</v>
      </c>
    </row>
    <row r="30" customFormat="false" ht="15" hidden="false" customHeight="false" outlineLevel="0" collapsed="false">
      <c r="A30" s="2" t="s">
        <v>120</v>
      </c>
      <c r="B30" s="2" t="s">
        <v>106</v>
      </c>
      <c r="C30" s="2" t="s">
        <v>91</v>
      </c>
      <c r="D30" s="3" t="n">
        <v>45728</v>
      </c>
      <c r="E30" s="2" t="s">
        <v>121</v>
      </c>
      <c r="F30" s="2" t="s">
        <v>32</v>
      </c>
      <c r="G30" s="2" t="n">
        <v>59477</v>
      </c>
      <c r="H30" s="2" t="n">
        <v>15</v>
      </c>
      <c r="I30" s="2" t="n">
        <v>174</v>
      </c>
      <c r="J30" s="2" t="n">
        <v>0</v>
      </c>
      <c r="K30" s="2" t="n">
        <v>69770</v>
      </c>
      <c r="L30" s="2" t="n">
        <v>59525</v>
      </c>
      <c r="M30" s="2" t="n">
        <v>2771</v>
      </c>
      <c r="N30" s="2" t="n">
        <v>161</v>
      </c>
      <c r="O30" s="2" t="n">
        <v>277</v>
      </c>
      <c r="P30" s="2" t="n">
        <v>781</v>
      </c>
      <c r="Q30" s="2" t="n">
        <v>1667</v>
      </c>
      <c r="R30" s="2" t="n">
        <v>478</v>
      </c>
      <c r="S30" s="2" t="n">
        <v>22</v>
      </c>
      <c r="T30" s="2" t="s">
        <v>66</v>
      </c>
      <c r="U30" s="4" t="n">
        <f aca="false">(M30+N30+O30+P30)/L30</f>
        <v>0.0670306593868123</v>
      </c>
      <c r="V30" s="2" t="str">
        <f aca="false">IF(S30&lt;=5,"Late night (0-5)",IF(S30&lt;=11,"Morning (6-11)",IF(S30&lt;=17,"Afternoon (12-17)","Evening (18-23)")))</f>
        <v>Evening (18-23)</v>
      </c>
    </row>
    <row r="31" customFormat="false" ht="15" hidden="false" customHeight="false" outlineLevel="0" collapsed="false">
      <c r="A31" s="2" t="s">
        <v>122</v>
      </c>
      <c r="B31" s="2" t="s">
        <v>123</v>
      </c>
      <c r="C31" s="2" t="s">
        <v>24</v>
      </c>
      <c r="D31" s="3" t="n">
        <v>45833</v>
      </c>
      <c r="E31" s="2" t="s">
        <v>124</v>
      </c>
      <c r="F31" s="2" t="s">
        <v>38</v>
      </c>
      <c r="G31" s="2" t="n">
        <v>41391</v>
      </c>
      <c r="H31" s="2" t="n">
        <v>22</v>
      </c>
      <c r="I31" s="2" t="n">
        <v>60</v>
      </c>
      <c r="J31" s="2" t="n">
        <v>1</v>
      </c>
      <c r="K31" s="2" t="n">
        <v>24845</v>
      </c>
      <c r="L31" s="2" t="n">
        <v>17134</v>
      </c>
      <c r="M31" s="2" t="n">
        <v>540</v>
      </c>
      <c r="N31" s="2" t="n">
        <v>21</v>
      </c>
      <c r="O31" s="2" t="n">
        <v>78</v>
      </c>
      <c r="P31" s="2" t="n">
        <v>41</v>
      </c>
      <c r="Q31" s="2" t="n">
        <v>112</v>
      </c>
      <c r="R31" s="2" t="n">
        <v>23</v>
      </c>
      <c r="S31" s="2" t="n">
        <v>12</v>
      </c>
      <c r="T31" s="2" t="s">
        <v>66</v>
      </c>
      <c r="U31" s="4" t="n">
        <f aca="false">(M31+N31+O31+P31)/L31</f>
        <v>0.0396871717053811</v>
      </c>
      <c r="V31" s="2" t="str">
        <f aca="false">IF(S31&lt;=5,"Late night (0-5)",IF(S31&lt;=11,"Morning (6-11)",IF(S31&lt;=17,"Afternoon (12-17)","Evening (18-23)")))</f>
        <v>Afternoon (12-17)</v>
      </c>
    </row>
    <row r="32" customFormat="false" ht="15" hidden="false" customHeight="false" outlineLevel="0" collapsed="false">
      <c r="A32" s="2" t="s">
        <v>125</v>
      </c>
      <c r="B32" s="2" t="s">
        <v>126</v>
      </c>
      <c r="C32" s="2" t="s">
        <v>36</v>
      </c>
      <c r="D32" s="3" t="n">
        <v>45778</v>
      </c>
      <c r="E32" s="2" t="s">
        <v>127</v>
      </c>
      <c r="F32" s="2" t="s">
        <v>32</v>
      </c>
      <c r="G32" s="2" t="n">
        <v>28784</v>
      </c>
      <c r="H32" s="2" t="n">
        <v>12</v>
      </c>
      <c r="I32" s="2" t="n">
        <v>350</v>
      </c>
      <c r="J32" s="2" t="n">
        <v>1</v>
      </c>
      <c r="K32" s="2" t="n">
        <v>66674</v>
      </c>
      <c r="L32" s="2" t="n">
        <v>46810</v>
      </c>
      <c r="M32" s="2" t="n">
        <v>4815</v>
      </c>
      <c r="N32" s="2" t="n">
        <v>143</v>
      </c>
      <c r="O32" s="2" t="n">
        <v>441</v>
      </c>
      <c r="P32" s="2" t="n">
        <v>958</v>
      </c>
      <c r="Q32" s="2" t="n">
        <v>549</v>
      </c>
      <c r="R32" s="2" t="n">
        <v>52</v>
      </c>
      <c r="S32" s="2" t="n">
        <v>20</v>
      </c>
      <c r="T32" s="2" t="s">
        <v>79</v>
      </c>
      <c r="U32" s="4" t="n">
        <f aca="false">(M32+N32+O32+P32)/L32</f>
        <v>0.13580431531724</v>
      </c>
      <c r="V32" s="2" t="str">
        <f aca="false">IF(S32&lt;=5,"Late night (0-5)",IF(S32&lt;=11,"Morning (6-11)",IF(S32&lt;=17,"Afternoon (12-17)","Evening (18-23)")))</f>
        <v>Evening (18-23)</v>
      </c>
    </row>
    <row r="33" customFormat="false" ht="15" hidden="false" customHeight="false" outlineLevel="0" collapsed="false">
      <c r="A33" s="2" t="s">
        <v>128</v>
      </c>
      <c r="B33" s="2" t="s">
        <v>129</v>
      </c>
      <c r="C33" s="2" t="s">
        <v>54</v>
      </c>
      <c r="D33" s="3" t="n">
        <v>45968</v>
      </c>
      <c r="E33" s="2" t="s">
        <v>130</v>
      </c>
      <c r="F33" s="2" t="s">
        <v>38</v>
      </c>
      <c r="G33" s="2" t="n">
        <v>10312</v>
      </c>
      <c r="H33" s="2" t="n">
        <v>16</v>
      </c>
      <c r="I33" s="2" t="n">
        <v>253</v>
      </c>
      <c r="J33" s="2" t="n">
        <v>1</v>
      </c>
      <c r="K33" s="2" t="n">
        <v>5339</v>
      </c>
      <c r="L33" s="2" t="n">
        <v>3037</v>
      </c>
      <c r="M33" s="2" t="n">
        <v>261</v>
      </c>
      <c r="N33" s="2" t="n">
        <v>13</v>
      </c>
      <c r="O33" s="2" t="n">
        <v>36</v>
      </c>
      <c r="P33" s="2" t="n">
        <v>43</v>
      </c>
      <c r="Q33" s="2" t="n">
        <v>47</v>
      </c>
      <c r="R33" s="2" t="n">
        <v>3</v>
      </c>
      <c r="S33" s="2" t="n">
        <v>4</v>
      </c>
      <c r="T33" s="2" t="s">
        <v>96</v>
      </c>
      <c r="U33" s="4" t="n">
        <f aca="false">(M33+N33+O33+P33)/L33</f>
        <v>0.116233124794205</v>
      </c>
      <c r="V33" s="2" t="str">
        <f aca="false">IF(S33&lt;=5,"Late night (0-5)",IF(S33&lt;=11,"Morning (6-11)",IF(S33&lt;=17,"Afternoon (12-17)","Evening (18-23)")))</f>
        <v>Late night (0-5)</v>
      </c>
    </row>
    <row r="34" customFormat="false" ht="15" hidden="false" customHeight="false" outlineLevel="0" collapsed="false">
      <c r="A34" s="2" t="s">
        <v>131</v>
      </c>
      <c r="B34" s="2" t="s">
        <v>132</v>
      </c>
      <c r="C34" s="2" t="s">
        <v>36</v>
      </c>
      <c r="D34" s="3" t="n">
        <v>45983</v>
      </c>
      <c r="E34" s="2" t="s">
        <v>133</v>
      </c>
      <c r="F34" s="2" t="s">
        <v>38</v>
      </c>
      <c r="G34" s="2" t="n">
        <v>83053</v>
      </c>
      <c r="H34" s="2" t="n">
        <v>8</v>
      </c>
      <c r="I34" s="2" t="n">
        <v>213</v>
      </c>
      <c r="J34" s="2" t="n">
        <v>0</v>
      </c>
      <c r="K34" s="2" t="n">
        <v>112260</v>
      </c>
      <c r="L34" s="2" t="n">
        <v>66712</v>
      </c>
      <c r="M34" s="2" t="n">
        <v>3172</v>
      </c>
      <c r="N34" s="2" t="n">
        <v>96</v>
      </c>
      <c r="O34" s="2" t="n">
        <v>487</v>
      </c>
      <c r="P34" s="2" t="n">
        <v>829</v>
      </c>
      <c r="Q34" s="2" t="n">
        <v>1706</v>
      </c>
      <c r="R34" s="2" t="n">
        <v>359</v>
      </c>
      <c r="S34" s="2" t="n">
        <v>18</v>
      </c>
      <c r="T34" s="2" t="s">
        <v>62</v>
      </c>
      <c r="U34" s="4" t="n">
        <f aca="false">(M34+N34+O34+P34)/L34</f>
        <v>0.0687132749730184</v>
      </c>
      <c r="V34" s="2" t="str">
        <f aca="false">IF(S34&lt;=5,"Late night (0-5)",IF(S34&lt;=11,"Morning (6-11)",IF(S34&lt;=17,"Afternoon (12-17)","Evening (18-23)")))</f>
        <v>Evening (18-23)</v>
      </c>
    </row>
    <row r="35" customFormat="false" ht="15" hidden="false" customHeight="false" outlineLevel="0" collapsed="false">
      <c r="A35" s="2" t="s">
        <v>134</v>
      </c>
      <c r="B35" s="2" t="s">
        <v>135</v>
      </c>
      <c r="C35" s="2" t="s">
        <v>36</v>
      </c>
      <c r="D35" s="3" t="n">
        <v>45818</v>
      </c>
      <c r="E35" s="2" t="s">
        <v>136</v>
      </c>
      <c r="F35" s="2" t="s">
        <v>32</v>
      </c>
      <c r="G35" s="2" t="n">
        <v>45812</v>
      </c>
      <c r="H35" s="2" t="n">
        <v>17</v>
      </c>
      <c r="I35" s="2" t="n">
        <v>140</v>
      </c>
      <c r="J35" s="2" t="n">
        <v>1</v>
      </c>
      <c r="K35" s="2" t="n">
        <v>29797</v>
      </c>
      <c r="L35" s="2" t="n">
        <v>21953</v>
      </c>
      <c r="M35" s="2" t="n">
        <v>1332</v>
      </c>
      <c r="N35" s="2" t="n">
        <v>36</v>
      </c>
      <c r="O35" s="2" t="n">
        <v>284</v>
      </c>
      <c r="P35" s="2" t="n">
        <v>186</v>
      </c>
      <c r="Q35" s="2" t="n">
        <v>561</v>
      </c>
      <c r="R35" s="2" t="n">
        <v>116</v>
      </c>
      <c r="S35" s="2" t="n">
        <v>0</v>
      </c>
      <c r="T35" s="2" t="s">
        <v>51</v>
      </c>
      <c r="U35" s="4" t="n">
        <f aca="false">(M35+N35+O35+P35)/L35</f>
        <v>0.0837243201384777</v>
      </c>
      <c r="V35" s="2" t="str">
        <f aca="false">IF(S35&lt;=5,"Late night (0-5)",IF(S35&lt;=11,"Morning (6-11)",IF(S35&lt;=17,"Afternoon (12-17)","Evening (18-23)")))</f>
        <v>Late night (0-5)</v>
      </c>
    </row>
    <row r="36" customFormat="false" ht="15" hidden="false" customHeight="false" outlineLevel="0" collapsed="false">
      <c r="A36" s="2" t="s">
        <v>137</v>
      </c>
      <c r="B36" s="2" t="s">
        <v>138</v>
      </c>
      <c r="C36" s="2" t="s">
        <v>41</v>
      </c>
      <c r="D36" s="3" t="n">
        <v>45950</v>
      </c>
      <c r="E36" s="2" t="s">
        <v>139</v>
      </c>
      <c r="F36" s="2" t="s">
        <v>38</v>
      </c>
      <c r="G36" s="2" t="n">
        <v>18712</v>
      </c>
      <c r="H36" s="2" t="n">
        <v>9</v>
      </c>
      <c r="I36" s="2" t="n">
        <v>140</v>
      </c>
      <c r="J36" s="2" t="n">
        <v>0</v>
      </c>
      <c r="K36" s="2" t="n">
        <v>23191</v>
      </c>
      <c r="L36" s="2" t="n">
        <v>15302</v>
      </c>
      <c r="M36" s="2" t="n">
        <v>482</v>
      </c>
      <c r="N36" s="2" t="n">
        <v>10</v>
      </c>
      <c r="O36" s="2" t="n">
        <v>74</v>
      </c>
      <c r="P36" s="2" t="n">
        <v>49</v>
      </c>
      <c r="Q36" s="2" t="n">
        <v>327</v>
      </c>
      <c r="R36" s="2" t="n">
        <v>77</v>
      </c>
      <c r="S36" s="2" t="n">
        <v>17</v>
      </c>
      <c r="T36" s="2" t="s">
        <v>33</v>
      </c>
      <c r="U36" s="4" t="n">
        <f aca="false">(M36+N36+O36+P36)/L36</f>
        <v>0.0401908247287936</v>
      </c>
      <c r="V36" s="2" t="str">
        <f aca="false">IF(S36&lt;=5,"Late night (0-5)",IF(S36&lt;=11,"Morning (6-11)",IF(S36&lt;=17,"Afternoon (12-17)","Evening (18-23)")))</f>
        <v>Afternoon (12-17)</v>
      </c>
    </row>
    <row r="37" customFormat="false" ht="15" hidden="false" customHeight="false" outlineLevel="0" collapsed="false">
      <c r="A37" s="2" t="s">
        <v>140</v>
      </c>
      <c r="B37" s="2" t="s">
        <v>141</v>
      </c>
      <c r="C37" s="2" t="s">
        <v>48</v>
      </c>
      <c r="D37" s="3" t="n">
        <v>45850</v>
      </c>
      <c r="E37" s="2" t="s">
        <v>142</v>
      </c>
      <c r="F37" s="2" t="s">
        <v>38</v>
      </c>
      <c r="G37" s="2" t="n">
        <v>16119</v>
      </c>
      <c r="H37" s="2" t="n">
        <v>9</v>
      </c>
      <c r="I37" s="2" t="n">
        <v>244</v>
      </c>
      <c r="J37" s="2" t="n">
        <v>1</v>
      </c>
      <c r="K37" s="2" t="n">
        <v>22181</v>
      </c>
      <c r="L37" s="2" t="n">
        <v>12597</v>
      </c>
      <c r="M37" s="2" t="n">
        <v>411</v>
      </c>
      <c r="N37" s="2" t="n">
        <v>24</v>
      </c>
      <c r="O37" s="2" t="n">
        <v>34</v>
      </c>
      <c r="P37" s="2" t="n">
        <v>64</v>
      </c>
      <c r="Q37" s="2" t="n">
        <v>326</v>
      </c>
      <c r="R37" s="2" t="n">
        <v>50</v>
      </c>
      <c r="S37" s="2" t="n">
        <v>22</v>
      </c>
      <c r="T37" s="2" t="s">
        <v>62</v>
      </c>
      <c r="U37" s="4" t="n">
        <f aca="false">(M37+N37+O37+P37)/L37</f>
        <v>0.042311661506708</v>
      </c>
      <c r="V37" s="2" t="str">
        <f aca="false">IF(S37&lt;=5,"Late night (0-5)",IF(S37&lt;=11,"Morning (6-11)",IF(S37&lt;=17,"Afternoon (12-17)","Evening (18-23)")))</f>
        <v>Evening (18-23)</v>
      </c>
    </row>
    <row r="38" customFormat="false" ht="15" hidden="false" customHeight="false" outlineLevel="0" collapsed="false">
      <c r="A38" s="2" t="s">
        <v>143</v>
      </c>
      <c r="B38" s="2" t="s">
        <v>135</v>
      </c>
      <c r="C38" s="2" t="s">
        <v>36</v>
      </c>
      <c r="D38" s="3" t="n">
        <v>45948</v>
      </c>
      <c r="E38" s="2" t="s">
        <v>144</v>
      </c>
      <c r="F38" s="2" t="s">
        <v>32</v>
      </c>
      <c r="G38" s="2" t="n">
        <v>45812</v>
      </c>
      <c r="H38" s="2" t="n">
        <v>19</v>
      </c>
      <c r="I38" s="2" t="n">
        <v>51</v>
      </c>
      <c r="J38" s="2" t="n">
        <v>0</v>
      </c>
      <c r="K38" s="2" t="n">
        <v>55872</v>
      </c>
      <c r="L38" s="2" t="n">
        <v>44896</v>
      </c>
      <c r="M38" s="2" t="n">
        <v>4287</v>
      </c>
      <c r="N38" s="2" t="n">
        <v>109</v>
      </c>
      <c r="O38" s="2" t="n">
        <v>753</v>
      </c>
      <c r="P38" s="2" t="n">
        <v>772</v>
      </c>
      <c r="Q38" s="2" t="n">
        <v>868</v>
      </c>
      <c r="R38" s="2" t="n">
        <v>235</v>
      </c>
      <c r="S38" s="2" t="n">
        <v>6</v>
      </c>
      <c r="T38" s="2" t="s">
        <v>62</v>
      </c>
      <c r="U38" s="4" t="n">
        <f aca="false">(M38+N38+O38+P38)/L38</f>
        <v>0.131882573057733</v>
      </c>
      <c r="V38" s="2" t="str">
        <f aca="false">IF(S38&lt;=5,"Late night (0-5)",IF(S38&lt;=11,"Morning (6-11)",IF(S38&lt;=17,"Afternoon (12-17)","Evening (18-23)")))</f>
        <v>Morning (6-11)</v>
      </c>
    </row>
    <row r="39" customFormat="false" ht="15" hidden="false" customHeight="false" outlineLevel="0" collapsed="false">
      <c r="A39" s="2" t="s">
        <v>145</v>
      </c>
      <c r="B39" s="2" t="s">
        <v>106</v>
      </c>
      <c r="C39" s="2" t="s">
        <v>91</v>
      </c>
      <c r="D39" s="3" t="n">
        <v>45864</v>
      </c>
      <c r="E39" s="2" t="s">
        <v>146</v>
      </c>
      <c r="F39" s="2" t="s">
        <v>26</v>
      </c>
      <c r="G39" s="2" t="n">
        <v>59477</v>
      </c>
      <c r="H39" s="2" t="n">
        <v>20</v>
      </c>
      <c r="I39" s="2" t="n">
        <v>105</v>
      </c>
      <c r="J39" s="2" t="n">
        <v>0</v>
      </c>
      <c r="K39" s="2" t="n">
        <v>39926</v>
      </c>
      <c r="L39" s="2" t="n">
        <v>23386</v>
      </c>
      <c r="M39" s="2" t="n">
        <v>943</v>
      </c>
      <c r="N39" s="2" t="n">
        <v>64</v>
      </c>
      <c r="O39" s="2" t="n">
        <v>100</v>
      </c>
      <c r="P39" s="2" t="n">
        <v>207</v>
      </c>
      <c r="Q39" s="2" t="n">
        <v>328</v>
      </c>
      <c r="R39" s="2" t="n">
        <v>48</v>
      </c>
      <c r="S39" s="2" t="n">
        <v>12</v>
      </c>
      <c r="T39" s="2" t="s">
        <v>62</v>
      </c>
      <c r="U39" s="4" t="n">
        <f aca="false">(M39+N39+O39+P39)/L39</f>
        <v>0.0561874625844522</v>
      </c>
      <c r="V39" s="2" t="str">
        <f aca="false">IF(S39&lt;=5,"Late night (0-5)",IF(S39&lt;=11,"Morning (6-11)",IF(S39&lt;=17,"Afternoon (12-17)","Evening (18-23)")))</f>
        <v>Afternoon (12-17)</v>
      </c>
    </row>
    <row r="40" customFormat="false" ht="15" hidden="false" customHeight="false" outlineLevel="0" collapsed="false">
      <c r="A40" s="2" t="s">
        <v>147</v>
      </c>
      <c r="B40" s="2" t="s">
        <v>148</v>
      </c>
      <c r="C40" s="2" t="s">
        <v>48</v>
      </c>
      <c r="D40" s="3" t="n">
        <v>45750</v>
      </c>
      <c r="E40" s="2" t="s">
        <v>149</v>
      </c>
      <c r="F40" s="2" t="s">
        <v>38</v>
      </c>
      <c r="G40" s="2" t="n">
        <v>46311</v>
      </c>
      <c r="H40" s="2" t="n">
        <v>13</v>
      </c>
      <c r="I40" s="2" t="n">
        <v>206</v>
      </c>
      <c r="J40" s="2" t="n">
        <v>0</v>
      </c>
      <c r="K40" s="2" t="n">
        <v>52182</v>
      </c>
      <c r="L40" s="2" t="n">
        <v>33015</v>
      </c>
      <c r="M40" s="2" t="n">
        <v>2561</v>
      </c>
      <c r="N40" s="2" t="n">
        <v>66</v>
      </c>
      <c r="O40" s="2" t="n">
        <v>476</v>
      </c>
      <c r="P40" s="2" t="n">
        <v>147</v>
      </c>
      <c r="Q40" s="2" t="n">
        <v>733</v>
      </c>
      <c r="R40" s="2" t="n">
        <v>107</v>
      </c>
      <c r="S40" s="2" t="n">
        <v>19</v>
      </c>
      <c r="T40" s="2" t="s">
        <v>79</v>
      </c>
      <c r="U40" s="4" t="n">
        <f aca="false">(M40+N40+O40+P40)/L40</f>
        <v>0.0984401029834924</v>
      </c>
      <c r="V40" s="2" t="str">
        <f aca="false">IF(S40&lt;=5,"Late night (0-5)",IF(S40&lt;=11,"Morning (6-11)",IF(S40&lt;=17,"Afternoon (12-17)","Evening (18-23)")))</f>
        <v>Evening (18-23)</v>
      </c>
    </row>
    <row r="41" customFormat="false" ht="15" hidden="false" customHeight="false" outlineLevel="0" collapsed="false">
      <c r="A41" s="2" t="s">
        <v>150</v>
      </c>
      <c r="B41" s="2" t="s">
        <v>151</v>
      </c>
      <c r="C41" s="2" t="s">
        <v>36</v>
      </c>
      <c r="D41" s="3" t="n">
        <v>45745</v>
      </c>
      <c r="E41" s="2" t="s">
        <v>152</v>
      </c>
      <c r="F41" s="2" t="s">
        <v>38</v>
      </c>
      <c r="G41" s="2" t="n">
        <v>19247</v>
      </c>
      <c r="H41" s="2" t="n">
        <v>19</v>
      </c>
      <c r="I41" s="2" t="n">
        <v>255</v>
      </c>
      <c r="J41" s="2" t="n">
        <v>0</v>
      </c>
      <c r="K41" s="2" t="n">
        <v>6556</v>
      </c>
      <c r="L41" s="2" t="n">
        <v>4541</v>
      </c>
      <c r="M41" s="2" t="n">
        <v>379</v>
      </c>
      <c r="N41" s="2" t="n">
        <v>10</v>
      </c>
      <c r="O41" s="2" t="n">
        <v>68</v>
      </c>
      <c r="P41" s="2" t="n">
        <v>28</v>
      </c>
      <c r="Q41" s="2" t="n">
        <v>40</v>
      </c>
      <c r="R41" s="2" t="n">
        <v>7</v>
      </c>
      <c r="S41" s="2" t="n">
        <v>3</v>
      </c>
      <c r="T41" s="2" t="s">
        <v>62</v>
      </c>
      <c r="U41" s="4" t="n">
        <f aca="false">(M41+N41+O41+P41)/L41</f>
        <v>0.106804668575204</v>
      </c>
      <c r="V41" s="2" t="str">
        <f aca="false">IF(S41&lt;=5,"Late night (0-5)",IF(S41&lt;=11,"Morning (6-11)",IF(S41&lt;=17,"Afternoon (12-17)","Evening (18-23)")))</f>
        <v>Late night (0-5)</v>
      </c>
    </row>
    <row r="42" customFormat="false" ht="15" hidden="false" customHeight="false" outlineLevel="0" collapsed="false">
      <c r="A42" s="2" t="s">
        <v>153</v>
      </c>
      <c r="B42" s="2" t="s">
        <v>154</v>
      </c>
      <c r="C42" s="2" t="s">
        <v>41</v>
      </c>
      <c r="D42" s="3" t="n">
        <v>45748</v>
      </c>
      <c r="E42" s="2" t="s">
        <v>155</v>
      </c>
      <c r="F42" s="2" t="s">
        <v>32</v>
      </c>
      <c r="G42" s="2" t="n">
        <v>33644</v>
      </c>
      <c r="H42" s="2" t="n">
        <v>24</v>
      </c>
      <c r="I42" s="2" t="n">
        <v>142</v>
      </c>
      <c r="J42" s="2" t="n">
        <v>1</v>
      </c>
      <c r="K42" s="2" t="n">
        <v>73896</v>
      </c>
      <c r="L42" s="2" t="n">
        <v>47156</v>
      </c>
      <c r="M42" s="2" t="n">
        <v>3648</v>
      </c>
      <c r="N42" s="2" t="n">
        <v>215</v>
      </c>
      <c r="O42" s="2" t="n">
        <v>595</v>
      </c>
      <c r="P42" s="2" t="n">
        <v>425</v>
      </c>
      <c r="Q42" s="2" t="n">
        <v>804</v>
      </c>
      <c r="R42" s="2" t="n">
        <v>116</v>
      </c>
      <c r="S42" s="2" t="n">
        <v>16</v>
      </c>
      <c r="T42" s="2" t="s">
        <v>51</v>
      </c>
      <c r="U42" s="4" t="n">
        <f aca="false">(M42+N42+O42+P42)/L42</f>
        <v>0.103549919416405</v>
      </c>
      <c r="V42" s="2" t="str">
        <f aca="false">IF(S42&lt;=5,"Late night (0-5)",IF(S42&lt;=11,"Morning (6-11)",IF(S42&lt;=17,"Afternoon (12-17)","Evening (18-23)")))</f>
        <v>Afternoon (12-17)</v>
      </c>
    </row>
    <row r="43" customFormat="false" ht="15" hidden="false" customHeight="false" outlineLevel="0" collapsed="false">
      <c r="A43" s="2" t="s">
        <v>156</v>
      </c>
      <c r="B43" s="2" t="s">
        <v>94</v>
      </c>
      <c r="C43" s="2" t="s">
        <v>30</v>
      </c>
      <c r="D43" s="3" t="n">
        <v>45674</v>
      </c>
      <c r="E43" s="2" t="s">
        <v>157</v>
      </c>
      <c r="F43" s="2" t="s">
        <v>32</v>
      </c>
      <c r="G43" s="2" t="n">
        <v>58559</v>
      </c>
      <c r="H43" s="2" t="n">
        <v>15</v>
      </c>
      <c r="I43" s="2" t="n">
        <v>161</v>
      </c>
      <c r="J43" s="2" t="n">
        <v>1</v>
      </c>
      <c r="K43" s="2" t="n">
        <v>99717</v>
      </c>
      <c r="L43" s="2" t="n">
        <v>65720</v>
      </c>
      <c r="M43" s="2" t="n">
        <v>5349</v>
      </c>
      <c r="N43" s="2" t="n">
        <v>338</v>
      </c>
      <c r="O43" s="2" t="n">
        <v>1032</v>
      </c>
      <c r="P43" s="2" t="n">
        <v>500</v>
      </c>
      <c r="Q43" s="2" t="n">
        <v>1846</v>
      </c>
      <c r="R43" s="2" t="n">
        <v>169</v>
      </c>
      <c r="S43" s="2" t="n">
        <v>11</v>
      </c>
      <c r="T43" s="2" t="s">
        <v>96</v>
      </c>
      <c r="U43" s="4" t="n">
        <f aca="false">(M43+N43+O43+P43)/L43</f>
        <v>0.109844796104687</v>
      </c>
      <c r="V43" s="2" t="str">
        <f aca="false">IF(S43&lt;=5,"Late night (0-5)",IF(S43&lt;=11,"Morning (6-11)",IF(S43&lt;=17,"Afternoon (12-17)","Evening (18-23)")))</f>
        <v>Morning (6-11)</v>
      </c>
    </row>
    <row r="44" customFormat="false" ht="15" hidden="false" customHeight="false" outlineLevel="0" collapsed="false">
      <c r="A44" s="2" t="s">
        <v>158</v>
      </c>
      <c r="B44" s="2" t="s">
        <v>148</v>
      </c>
      <c r="C44" s="2" t="s">
        <v>48</v>
      </c>
      <c r="D44" s="3" t="n">
        <v>45788</v>
      </c>
      <c r="E44" s="2" t="s">
        <v>159</v>
      </c>
      <c r="F44" s="2" t="s">
        <v>50</v>
      </c>
      <c r="G44" s="2" t="n">
        <v>46311</v>
      </c>
      <c r="H44" s="2" t="n">
        <v>6</v>
      </c>
      <c r="I44" s="2" t="n">
        <v>68</v>
      </c>
      <c r="J44" s="2" t="n">
        <v>1</v>
      </c>
      <c r="K44" s="2" t="n">
        <v>86000</v>
      </c>
      <c r="L44" s="2" t="n">
        <v>54226</v>
      </c>
      <c r="M44" s="2" t="n">
        <v>2204</v>
      </c>
      <c r="N44" s="2" t="n">
        <v>172</v>
      </c>
      <c r="O44" s="2" t="n">
        <v>424</v>
      </c>
      <c r="P44" s="2" t="n">
        <v>233</v>
      </c>
      <c r="Q44" s="2" t="n">
        <v>1148</v>
      </c>
      <c r="R44" s="2" t="n">
        <v>249</v>
      </c>
      <c r="S44" s="2" t="n">
        <v>19</v>
      </c>
      <c r="T44" s="2" t="s">
        <v>27</v>
      </c>
      <c r="U44" s="4" t="n">
        <f aca="false">(M44+N44+O44+P44)/L44</f>
        <v>0.0559325784678936</v>
      </c>
      <c r="V44" s="2" t="str">
        <f aca="false">IF(S44&lt;=5,"Late night (0-5)",IF(S44&lt;=11,"Morning (6-11)",IF(S44&lt;=17,"Afternoon (12-17)","Evening (18-23)")))</f>
        <v>Evening (18-23)</v>
      </c>
    </row>
    <row r="45" customFormat="false" ht="15" hidden="false" customHeight="false" outlineLevel="0" collapsed="false">
      <c r="A45" s="2" t="s">
        <v>160</v>
      </c>
      <c r="B45" s="2" t="s">
        <v>83</v>
      </c>
      <c r="C45" s="2" t="s">
        <v>84</v>
      </c>
      <c r="D45" s="3" t="n">
        <v>45826</v>
      </c>
      <c r="E45" s="2" t="s">
        <v>161</v>
      </c>
      <c r="F45" s="2" t="s">
        <v>26</v>
      </c>
      <c r="G45" s="2" t="n">
        <v>17918</v>
      </c>
      <c r="H45" s="2" t="n">
        <v>9</v>
      </c>
      <c r="I45" s="2" t="n">
        <v>234</v>
      </c>
      <c r="J45" s="2" t="n">
        <v>0</v>
      </c>
      <c r="K45" s="2" t="n">
        <v>9802</v>
      </c>
      <c r="L45" s="2" t="n">
        <v>8178</v>
      </c>
      <c r="M45" s="2" t="n">
        <v>442</v>
      </c>
      <c r="N45" s="2" t="n">
        <v>34</v>
      </c>
      <c r="O45" s="2" t="n">
        <v>29</v>
      </c>
      <c r="P45" s="2" t="n">
        <v>57</v>
      </c>
      <c r="Q45" s="2" t="n">
        <v>233</v>
      </c>
      <c r="R45" s="2" t="n">
        <v>66</v>
      </c>
      <c r="S45" s="2" t="n">
        <v>4</v>
      </c>
      <c r="T45" s="2" t="s">
        <v>66</v>
      </c>
      <c r="U45" s="4" t="n">
        <f aca="false">(M45+N45+O45+P45)/L45</f>
        <v>0.0687209586696014</v>
      </c>
      <c r="V45" s="2" t="str">
        <f aca="false">IF(S45&lt;=5,"Late night (0-5)",IF(S45&lt;=11,"Morning (6-11)",IF(S45&lt;=17,"Afternoon (12-17)","Evening (18-23)")))</f>
        <v>Late night (0-5)</v>
      </c>
    </row>
    <row r="46" customFormat="false" ht="15" hidden="false" customHeight="false" outlineLevel="0" collapsed="false">
      <c r="A46" s="2" t="s">
        <v>162</v>
      </c>
      <c r="B46" s="2" t="s">
        <v>151</v>
      </c>
      <c r="C46" s="2" t="s">
        <v>36</v>
      </c>
      <c r="D46" s="3" t="n">
        <v>45765</v>
      </c>
      <c r="E46" s="2" t="s">
        <v>149</v>
      </c>
      <c r="F46" s="2" t="s">
        <v>32</v>
      </c>
      <c r="G46" s="2" t="n">
        <v>19247</v>
      </c>
      <c r="H46" s="2" t="n">
        <v>1</v>
      </c>
      <c r="I46" s="2" t="n">
        <v>206</v>
      </c>
      <c r="J46" s="2" t="n">
        <v>1</v>
      </c>
      <c r="K46" s="2" t="n">
        <v>21259</v>
      </c>
      <c r="L46" s="2" t="n">
        <v>12362</v>
      </c>
      <c r="M46" s="2" t="n">
        <v>1206</v>
      </c>
      <c r="N46" s="2" t="n">
        <v>48</v>
      </c>
      <c r="O46" s="2" t="n">
        <v>283</v>
      </c>
      <c r="P46" s="2" t="n">
        <v>228</v>
      </c>
      <c r="Q46" s="2" t="n">
        <v>244</v>
      </c>
      <c r="R46" s="2" t="n">
        <v>41</v>
      </c>
      <c r="S46" s="2" t="n">
        <v>19</v>
      </c>
      <c r="T46" s="2" t="s">
        <v>96</v>
      </c>
      <c r="U46" s="4" t="n">
        <f aca="false">(M46+N46+O46+P46)/L46</f>
        <v>0.142776249797767</v>
      </c>
      <c r="V46" s="2" t="str">
        <f aca="false">IF(S46&lt;=5,"Late night (0-5)",IF(S46&lt;=11,"Morning (6-11)",IF(S46&lt;=17,"Afternoon (12-17)","Evening (18-23)")))</f>
        <v>Evening (18-23)</v>
      </c>
    </row>
    <row r="47" customFormat="false" ht="15" hidden="false" customHeight="false" outlineLevel="0" collapsed="false">
      <c r="A47" s="2" t="s">
        <v>163</v>
      </c>
      <c r="B47" s="2" t="s">
        <v>164</v>
      </c>
      <c r="C47" s="2" t="s">
        <v>36</v>
      </c>
      <c r="D47" s="3" t="n">
        <v>45660</v>
      </c>
      <c r="E47" s="2" t="s">
        <v>165</v>
      </c>
      <c r="F47" s="2" t="s">
        <v>32</v>
      </c>
      <c r="G47" s="2" t="n">
        <v>44230</v>
      </c>
      <c r="H47" s="2" t="n">
        <v>10</v>
      </c>
      <c r="I47" s="2" t="n">
        <v>294</v>
      </c>
      <c r="J47" s="2" t="n">
        <v>0</v>
      </c>
      <c r="K47" s="2" t="n">
        <v>48152</v>
      </c>
      <c r="L47" s="2" t="n">
        <v>38499</v>
      </c>
      <c r="M47" s="2" t="n">
        <v>3987</v>
      </c>
      <c r="N47" s="2" t="n">
        <v>232</v>
      </c>
      <c r="O47" s="2" t="n">
        <v>1094</v>
      </c>
      <c r="P47" s="2" t="n">
        <v>308</v>
      </c>
      <c r="Q47" s="2" t="n">
        <v>791</v>
      </c>
      <c r="R47" s="2" t="n">
        <v>207</v>
      </c>
      <c r="S47" s="2" t="n">
        <v>9</v>
      </c>
      <c r="T47" s="2" t="s">
        <v>96</v>
      </c>
      <c r="U47" s="4" t="n">
        <f aca="false">(M47+N47+O47+P47)/L47</f>
        <v>0.146003792306294</v>
      </c>
      <c r="V47" s="2" t="str">
        <f aca="false">IF(S47&lt;=5,"Late night (0-5)",IF(S47&lt;=11,"Morning (6-11)",IF(S47&lt;=17,"Afternoon (12-17)","Evening (18-23)")))</f>
        <v>Morning (6-11)</v>
      </c>
    </row>
    <row r="48" customFormat="false" ht="15" hidden="false" customHeight="false" outlineLevel="0" collapsed="false">
      <c r="A48" s="2" t="s">
        <v>166</v>
      </c>
      <c r="B48" s="2" t="s">
        <v>123</v>
      </c>
      <c r="C48" s="2" t="s">
        <v>24</v>
      </c>
      <c r="D48" s="3" t="n">
        <v>45805</v>
      </c>
      <c r="E48" s="2" t="s">
        <v>167</v>
      </c>
      <c r="F48" s="2" t="s">
        <v>32</v>
      </c>
      <c r="G48" s="2" t="n">
        <v>41391</v>
      </c>
      <c r="H48" s="2" t="n">
        <v>12</v>
      </c>
      <c r="I48" s="2" t="n">
        <v>90</v>
      </c>
      <c r="J48" s="2" t="n">
        <v>0</v>
      </c>
      <c r="K48" s="2" t="n">
        <v>35954</v>
      </c>
      <c r="L48" s="2" t="n">
        <v>23978</v>
      </c>
      <c r="M48" s="2" t="n">
        <v>2492</v>
      </c>
      <c r="N48" s="2" t="n">
        <v>125</v>
      </c>
      <c r="O48" s="2" t="n">
        <v>725</v>
      </c>
      <c r="P48" s="2" t="n">
        <v>688</v>
      </c>
      <c r="Q48" s="2" t="n">
        <v>594</v>
      </c>
      <c r="R48" s="2" t="n">
        <v>119</v>
      </c>
      <c r="S48" s="2" t="n">
        <v>0</v>
      </c>
      <c r="T48" s="2" t="s">
        <v>66</v>
      </c>
      <c r="U48" s="4" t="n">
        <f aca="false">(M48+N48+O48+P48)/L48</f>
        <v>0.168070731503879</v>
      </c>
      <c r="V48" s="2" t="str">
        <f aca="false">IF(S48&lt;=5,"Late night (0-5)",IF(S48&lt;=11,"Morning (6-11)",IF(S48&lt;=17,"Afternoon (12-17)","Evening (18-23)")))</f>
        <v>Late night (0-5)</v>
      </c>
    </row>
    <row r="49" customFormat="false" ht="15" hidden="false" customHeight="false" outlineLevel="0" collapsed="false">
      <c r="A49" s="2" t="s">
        <v>168</v>
      </c>
      <c r="B49" s="2" t="s">
        <v>126</v>
      </c>
      <c r="C49" s="2" t="s">
        <v>36</v>
      </c>
      <c r="D49" s="3" t="n">
        <v>45815</v>
      </c>
      <c r="E49" s="2" t="s">
        <v>169</v>
      </c>
      <c r="F49" s="2" t="s">
        <v>26</v>
      </c>
      <c r="G49" s="2" t="n">
        <v>28784</v>
      </c>
      <c r="H49" s="2" t="n">
        <v>11</v>
      </c>
      <c r="I49" s="2" t="n">
        <v>182</v>
      </c>
      <c r="J49" s="2" t="n">
        <v>0</v>
      </c>
      <c r="K49" s="2" t="n">
        <v>32449</v>
      </c>
      <c r="L49" s="2" t="n">
        <v>27873</v>
      </c>
      <c r="M49" s="2" t="n">
        <v>1846</v>
      </c>
      <c r="N49" s="2" t="n">
        <v>92</v>
      </c>
      <c r="O49" s="2" t="n">
        <v>79</v>
      </c>
      <c r="P49" s="2" t="n">
        <v>686</v>
      </c>
      <c r="Q49" s="2" t="n">
        <v>337</v>
      </c>
      <c r="R49" s="2" t="n">
        <v>97</v>
      </c>
      <c r="S49" s="2" t="n">
        <v>11</v>
      </c>
      <c r="T49" s="2" t="s">
        <v>62</v>
      </c>
      <c r="U49" s="4" t="n">
        <f aca="false">(M49+N49+O49+P49)/L49</f>
        <v>0.0969755677537402</v>
      </c>
      <c r="V49" s="2" t="str">
        <f aca="false">IF(S49&lt;=5,"Late night (0-5)",IF(S49&lt;=11,"Morning (6-11)",IF(S49&lt;=17,"Afternoon (12-17)","Evening (18-23)")))</f>
        <v>Morning (6-11)</v>
      </c>
    </row>
    <row r="50" customFormat="false" ht="15" hidden="false" customHeight="false" outlineLevel="0" collapsed="false">
      <c r="A50" s="2" t="s">
        <v>170</v>
      </c>
      <c r="B50" s="2" t="s">
        <v>94</v>
      </c>
      <c r="C50" s="2" t="s">
        <v>30</v>
      </c>
      <c r="D50" s="3" t="n">
        <v>45697</v>
      </c>
      <c r="E50" s="2" t="s">
        <v>171</v>
      </c>
      <c r="F50" s="2" t="s">
        <v>26</v>
      </c>
      <c r="G50" s="2" t="n">
        <v>58559</v>
      </c>
      <c r="H50" s="2" t="n">
        <v>4</v>
      </c>
      <c r="I50" s="2" t="n">
        <v>237</v>
      </c>
      <c r="J50" s="2" t="n">
        <v>1</v>
      </c>
      <c r="K50" s="2" t="n">
        <v>72060</v>
      </c>
      <c r="L50" s="2" t="n">
        <v>63331</v>
      </c>
      <c r="M50" s="2" t="n">
        <v>5532</v>
      </c>
      <c r="N50" s="2" t="n">
        <v>436</v>
      </c>
      <c r="O50" s="2" t="n">
        <v>861</v>
      </c>
      <c r="P50" s="2" t="n">
        <v>1287</v>
      </c>
      <c r="Q50" s="2" t="n">
        <v>664</v>
      </c>
      <c r="R50" s="2" t="n">
        <v>168</v>
      </c>
      <c r="S50" s="2" t="n">
        <v>7</v>
      </c>
      <c r="T50" s="2" t="s">
        <v>27</v>
      </c>
      <c r="U50" s="4" t="n">
        <f aca="false">(M50+N50+O50+P50)/L50</f>
        <v>0.128152089813835</v>
      </c>
      <c r="V50" s="2" t="str">
        <f aca="false">IF(S50&lt;=5,"Late night (0-5)",IF(S50&lt;=11,"Morning (6-11)",IF(S50&lt;=17,"Afternoon (12-17)","Evening (18-23)")))</f>
        <v>Morning (6-11)</v>
      </c>
    </row>
    <row r="51" customFormat="false" ht="15" hidden="false" customHeight="false" outlineLevel="0" collapsed="false">
      <c r="A51" s="2" t="s">
        <v>172</v>
      </c>
      <c r="B51" s="2" t="s">
        <v>64</v>
      </c>
      <c r="C51" s="2" t="s">
        <v>36</v>
      </c>
      <c r="D51" s="3" t="n">
        <v>45785</v>
      </c>
      <c r="E51" s="2" t="s">
        <v>173</v>
      </c>
      <c r="F51" s="2" t="s">
        <v>38</v>
      </c>
      <c r="G51" s="2" t="n">
        <v>43781</v>
      </c>
      <c r="H51" s="2" t="n">
        <v>11</v>
      </c>
      <c r="I51" s="2" t="n">
        <v>96</v>
      </c>
      <c r="J51" s="2" t="n">
        <v>0</v>
      </c>
      <c r="K51" s="2" t="n">
        <v>71931</v>
      </c>
      <c r="L51" s="2" t="n">
        <v>40331</v>
      </c>
      <c r="M51" s="2" t="n">
        <v>3166</v>
      </c>
      <c r="N51" s="2" t="n">
        <v>86</v>
      </c>
      <c r="O51" s="2" t="n">
        <v>604</v>
      </c>
      <c r="P51" s="2" t="n">
        <v>803</v>
      </c>
      <c r="Q51" s="2" t="n">
        <v>415</v>
      </c>
      <c r="R51" s="2" t="n">
        <v>37</v>
      </c>
      <c r="S51" s="2" t="n">
        <v>0</v>
      </c>
      <c r="T51" s="2" t="s">
        <v>79</v>
      </c>
      <c r="U51" s="4" t="n">
        <f aca="false">(M51+N51+O51+P51)/L51</f>
        <v>0.115519079616176</v>
      </c>
      <c r="V51" s="2" t="str">
        <f aca="false">IF(S51&lt;=5,"Late night (0-5)",IF(S51&lt;=11,"Morning (6-11)",IF(S51&lt;=17,"Afternoon (12-17)","Evening (18-23)")))</f>
        <v>Late night (0-5)</v>
      </c>
    </row>
    <row r="52" customFormat="false" ht="15" hidden="false" customHeight="false" outlineLevel="0" collapsed="false">
      <c r="A52" s="2" t="s">
        <v>174</v>
      </c>
      <c r="B52" s="2" t="s">
        <v>40</v>
      </c>
      <c r="C52" s="2" t="s">
        <v>41</v>
      </c>
      <c r="D52" s="3" t="n">
        <v>45692</v>
      </c>
      <c r="E52" s="2" t="s">
        <v>175</v>
      </c>
      <c r="F52" s="2" t="s">
        <v>32</v>
      </c>
      <c r="G52" s="2" t="n">
        <v>23051</v>
      </c>
      <c r="H52" s="2" t="n">
        <v>10</v>
      </c>
      <c r="I52" s="2" t="n">
        <v>147</v>
      </c>
      <c r="J52" s="2" t="n">
        <v>1</v>
      </c>
      <c r="K52" s="2" t="n">
        <v>63895</v>
      </c>
      <c r="L52" s="2" t="n">
        <v>45571</v>
      </c>
      <c r="M52" s="2" t="n">
        <v>3011</v>
      </c>
      <c r="N52" s="2" t="n">
        <v>130</v>
      </c>
      <c r="O52" s="2" t="n">
        <v>875</v>
      </c>
      <c r="P52" s="2" t="n">
        <v>238</v>
      </c>
      <c r="Q52" s="2" t="n">
        <v>1221</v>
      </c>
      <c r="R52" s="2" t="n">
        <v>160</v>
      </c>
      <c r="S52" s="2" t="n">
        <v>18</v>
      </c>
      <c r="T52" s="2" t="s">
        <v>51</v>
      </c>
      <c r="U52" s="4" t="n">
        <f aca="false">(M52+N52+O52+P52)/L52</f>
        <v>0.0933488402712251</v>
      </c>
      <c r="V52" s="2" t="str">
        <f aca="false">IF(S52&lt;=5,"Late night (0-5)",IF(S52&lt;=11,"Morning (6-11)",IF(S52&lt;=17,"Afternoon (12-17)","Evening (18-23)")))</f>
        <v>Evening (18-23)</v>
      </c>
    </row>
    <row r="53" customFormat="false" ht="15" hidden="false" customHeight="false" outlineLevel="0" collapsed="false">
      <c r="A53" s="2" t="s">
        <v>176</v>
      </c>
      <c r="B53" s="2" t="s">
        <v>35</v>
      </c>
      <c r="C53" s="2" t="s">
        <v>36</v>
      </c>
      <c r="D53" s="3" t="n">
        <v>45708</v>
      </c>
      <c r="E53" s="2" t="s">
        <v>177</v>
      </c>
      <c r="F53" s="2" t="s">
        <v>50</v>
      </c>
      <c r="G53" s="2" t="n">
        <v>33933</v>
      </c>
      <c r="H53" s="2" t="n">
        <v>12</v>
      </c>
      <c r="I53" s="2" t="n">
        <v>94</v>
      </c>
      <c r="J53" s="2" t="n">
        <v>1</v>
      </c>
      <c r="K53" s="2" t="n">
        <v>68772</v>
      </c>
      <c r="L53" s="2" t="n">
        <v>40969</v>
      </c>
      <c r="M53" s="2" t="n">
        <v>3640</v>
      </c>
      <c r="N53" s="2" t="n">
        <v>258</v>
      </c>
      <c r="O53" s="2" t="n">
        <v>500</v>
      </c>
      <c r="P53" s="2" t="n">
        <v>311</v>
      </c>
      <c r="Q53" s="2" t="n">
        <v>373</v>
      </c>
      <c r="R53" s="2" t="n">
        <v>62</v>
      </c>
      <c r="S53" s="2" t="n">
        <v>23</v>
      </c>
      <c r="T53" s="2" t="s">
        <v>79</v>
      </c>
      <c r="U53" s="4" t="n">
        <f aca="false">(M53+N53+O53+P53)/L53</f>
        <v>0.114940564817301</v>
      </c>
      <c r="V53" s="2" t="str">
        <f aca="false">IF(S53&lt;=5,"Late night (0-5)",IF(S53&lt;=11,"Morning (6-11)",IF(S53&lt;=17,"Afternoon (12-17)","Evening (18-23)")))</f>
        <v>Evening (18-23)</v>
      </c>
    </row>
    <row r="54" customFormat="false" ht="15" hidden="false" customHeight="false" outlineLevel="0" collapsed="false">
      <c r="A54" s="2" t="s">
        <v>178</v>
      </c>
      <c r="B54" s="2" t="s">
        <v>90</v>
      </c>
      <c r="C54" s="2" t="s">
        <v>91</v>
      </c>
      <c r="D54" s="3" t="n">
        <v>45721</v>
      </c>
      <c r="E54" s="2" t="s">
        <v>179</v>
      </c>
      <c r="F54" s="2" t="s">
        <v>38</v>
      </c>
      <c r="G54" s="2" t="n">
        <v>54788</v>
      </c>
      <c r="H54" s="2" t="n">
        <v>14</v>
      </c>
      <c r="I54" s="2" t="n">
        <v>108</v>
      </c>
      <c r="J54" s="2" t="n">
        <v>0</v>
      </c>
      <c r="K54" s="2" t="n">
        <v>8448</v>
      </c>
      <c r="L54" s="2" t="n">
        <v>6293</v>
      </c>
      <c r="M54" s="2" t="n">
        <v>301</v>
      </c>
      <c r="N54" s="2" t="n">
        <v>16</v>
      </c>
      <c r="O54" s="2" t="n">
        <v>31</v>
      </c>
      <c r="P54" s="2" t="n">
        <v>50</v>
      </c>
      <c r="Q54" s="2" t="n">
        <v>42</v>
      </c>
      <c r="R54" s="2" t="n">
        <v>3</v>
      </c>
      <c r="S54" s="2" t="n">
        <v>3</v>
      </c>
      <c r="T54" s="2" t="s">
        <v>66</v>
      </c>
      <c r="U54" s="4" t="n">
        <f aca="false">(M54+N54+O54+P54)/L54</f>
        <v>0.0632448752582234</v>
      </c>
      <c r="V54" s="2" t="str">
        <f aca="false">IF(S54&lt;=5,"Late night (0-5)",IF(S54&lt;=11,"Morning (6-11)",IF(S54&lt;=17,"Afternoon (12-17)","Evening (18-23)")))</f>
        <v>Late night (0-5)</v>
      </c>
    </row>
    <row r="55" customFormat="false" ht="15" hidden="false" customHeight="false" outlineLevel="0" collapsed="false">
      <c r="A55" s="2" t="s">
        <v>180</v>
      </c>
      <c r="B55" s="2" t="s">
        <v>181</v>
      </c>
      <c r="C55" s="2" t="s">
        <v>91</v>
      </c>
      <c r="D55" s="3" t="n">
        <v>45671</v>
      </c>
      <c r="E55" s="2" t="s">
        <v>182</v>
      </c>
      <c r="F55" s="2" t="s">
        <v>26</v>
      </c>
      <c r="G55" s="2" t="n">
        <v>31658</v>
      </c>
      <c r="H55" s="2" t="n">
        <v>13</v>
      </c>
      <c r="I55" s="2" t="n">
        <v>134</v>
      </c>
      <c r="J55" s="2" t="n">
        <v>1</v>
      </c>
      <c r="K55" s="2" t="n">
        <v>17629</v>
      </c>
      <c r="L55" s="2" t="n">
        <v>11443</v>
      </c>
      <c r="M55" s="2" t="n">
        <v>923</v>
      </c>
      <c r="N55" s="2" t="n">
        <v>49</v>
      </c>
      <c r="O55" s="2" t="n">
        <v>60</v>
      </c>
      <c r="P55" s="2" t="n">
        <v>304</v>
      </c>
      <c r="Q55" s="2" t="n">
        <v>248</v>
      </c>
      <c r="R55" s="2" t="n">
        <v>47</v>
      </c>
      <c r="S55" s="2" t="n">
        <v>4</v>
      </c>
      <c r="T55" s="2" t="s">
        <v>51</v>
      </c>
      <c r="U55" s="4" t="n">
        <f aca="false">(M55+N55+O55+P55)/L55</f>
        <v>0.116752599842699</v>
      </c>
      <c r="V55" s="2" t="str">
        <f aca="false">IF(S55&lt;=5,"Late night (0-5)",IF(S55&lt;=11,"Morning (6-11)",IF(S55&lt;=17,"Afternoon (12-17)","Evening (18-23)")))</f>
        <v>Late night (0-5)</v>
      </c>
    </row>
    <row r="56" customFormat="false" ht="15" hidden="false" customHeight="false" outlineLevel="0" collapsed="false">
      <c r="A56" s="2" t="s">
        <v>183</v>
      </c>
      <c r="B56" s="2" t="s">
        <v>148</v>
      </c>
      <c r="C56" s="2" t="s">
        <v>48</v>
      </c>
      <c r="D56" s="3" t="n">
        <v>45665</v>
      </c>
      <c r="E56" s="2" t="s">
        <v>184</v>
      </c>
      <c r="F56" s="2" t="s">
        <v>32</v>
      </c>
      <c r="G56" s="2" t="n">
        <v>46311</v>
      </c>
      <c r="H56" s="2" t="n">
        <v>13</v>
      </c>
      <c r="I56" s="2" t="n">
        <v>82</v>
      </c>
      <c r="J56" s="2" t="n">
        <v>1</v>
      </c>
      <c r="K56" s="2" t="n">
        <v>37382</v>
      </c>
      <c r="L56" s="2" t="n">
        <v>30912</v>
      </c>
      <c r="M56" s="2" t="n">
        <v>1544</v>
      </c>
      <c r="N56" s="2" t="n">
        <v>112</v>
      </c>
      <c r="O56" s="2" t="n">
        <v>127</v>
      </c>
      <c r="P56" s="2" t="n">
        <v>84</v>
      </c>
      <c r="Q56" s="2" t="n">
        <v>541</v>
      </c>
      <c r="R56" s="2" t="n">
        <v>143</v>
      </c>
      <c r="S56" s="2" t="n">
        <v>17</v>
      </c>
      <c r="T56" s="2" t="s">
        <v>66</v>
      </c>
      <c r="U56" s="4" t="n">
        <f aca="false">(M56+N56+O56+P56)/L56</f>
        <v>0.0603972567287785</v>
      </c>
      <c r="V56" s="2" t="str">
        <f aca="false">IF(S56&lt;=5,"Late night (0-5)",IF(S56&lt;=11,"Morning (6-11)",IF(S56&lt;=17,"Afternoon (12-17)","Evening (18-23)")))</f>
        <v>Afternoon (12-17)</v>
      </c>
    </row>
    <row r="57" customFormat="false" ht="15" hidden="false" customHeight="false" outlineLevel="0" collapsed="false">
      <c r="A57" s="2" t="s">
        <v>185</v>
      </c>
      <c r="B57" s="2" t="s">
        <v>164</v>
      </c>
      <c r="C57" s="2" t="s">
        <v>36</v>
      </c>
      <c r="D57" s="3" t="n">
        <v>45768</v>
      </c>
      <c r="E57" s="2" t="s">
        <v>186</v>
      </c>
      <c r="F57" s="2" t="s">
        <v>38</v>
      </c>
      <c r="G57" s="2" t="n">
        <v>44230</v>
      </c>
      <c r="H57" s="2" t="n">
        <v>13</v>
      </c>
      <c r="I57" s="2" t="n">
        <v>10</v>
      </c>
      <c r="J57" s="2" t="n">
        <v>0</v>
      </c>
      <c r="K57" s="2" t="n">
        <v>33876</v>
      </c>
      <c r="L57" s="2" t="n">
        <v>19355</v>
      </c>
      <c r="M57" s="2" t="n">
        <v>734</v>
      </c>
      <c r="N57" s="2" t="n">
        <v>48</v>
      </c>
      <c r="O57" s="2" t="n">
        <v>51</v>
      </c>
      <c r="P57" s="2" t="n">
        <v>99</v>
      </c>
      <c r="Q57" s="2" t="n">
        <v>531</v>
      </c>
      <c r="R57" s="2" t="n">
        <v>81</v>
      </c>
      <c r="S57" s="2" t="n">
        <v>13</v>
      </c>
      <c r="T57" s="2" t="s">
        <v>33</v>
      </c>
      <c r="U57" s="4" t="n">
        <f aca="false">(M57+N57+O57+P57)/L57</f>
        <v>0.0481529320588995</v>
      </c>
      <c r="V57" s="2" t="str">
        <f aca="false">IF(S57&lt;=5,"Late night (0-5)",IF(S57&lt;=11,"Morning (6-11)",IF(S57&lt;=17,"Afternoon (12-17)","Evening (18-23)")))</f>
        <v>Afternoon (12-17)</v>
      </c>
    </row>
    <row r="58" customFormat="false" ht="15" hidden="false" customHeight="false" outlineLevel="0" collapsed="false">
      <c r="A58" s="2" t="s">
        <v>187</v>
      </c>
      <c r="B58" s="2" t="s">
        <v>188</v>
      </c>
      <c r="C58" s="2" t="s">
        <v>30</v>
      </c>
      <c r="D58" s="3" t="n">
        <v>45957</v>
      </c>
      <c r="E58" s="2" t="s">
        <v>189</v>
      </c>
      <c r="F58" s="2" t="s">
        <v>38</v>
      </c>
      <c r="G58" s="2" t="n">
        <v>38900</v>
      </c>
      <c r="H58" s="2" t="n">
        <v>6</v>
      </c>
      <c r="I58" s="2" t="n">
        <v>196</v>
      </c>
      <c r="J58" s="2" t="n">
        <v>0</v>
      </c>
      <c r="K58" s="2" t="n">
        <v>36841</v>
      </c>
      <c r="L58" s="2" t="n">
        <v>26146</v>
      </c>
      <c r="M58" s="2" t="n">
        <v>1785</v>
      </c>
      <c r="N58" s="2" t="n">
        <v>86</v>
      </c>
      <c r="O58" s="2" t="n">
        <v>289</v>
      </c>
      <c r="P58" s="2" t="n">
        <v>91</v>
      </c>
      <c r="Q58" s="2" t="n">
        <v>271</v>
      </c>
      <c r="R58" s="2" t="n">
        <v>33</v>
      </c>
      <c r="S58" s="2" t="n">
        <v>23</v>
      </c>
      <c r="T58" s="2" t="s">
        <v>33</v>
      </c>
      <c r="U58" s="4" t="n">
        <f aca="false">(M58+N58+O58+P58)/L58</f>
        <v>0.0860934751013539</v>
      </c>
      <c r="V58" s="2" t="str">
        <f aca="false">IF(S58&lt;=5,"Late night (0-5)",IF(S58&lt;=11,"Morning (6-11)",IF(S58&lt;=17,"Afternoon (12-17)","Evening (18-23)")))</f>
        <v>Evening (18-23)</v>
      </c>
    </row>
    <row r="59" customFormat="false" ht="15" hidden="false" customHeight="false" outlineLevel="0" collapsed="false">
      <c r="A59" s="2" t="s">
        <v>190</v>
      </c>
      <c r="B59" s="2" t="s">
        <v>126</v>
      </c>
      <c r="C59" s="2" t="s">
        <v>36</v>
      </c>
      <c r="D59" s="3" t="n">
        <v>45816</v>
      </c>
      <c r="E59" s="2" t="s">
        <v>191</v>
      </c>
      <c r="F59" s="2" t="s">
        <v>38</v>
      </c>
      <c r="G59" s="2" t="n">
        <v>28784</v>
      </c>
      <c r="H59" s="2" t="n">
        <v>15</v>
      </c>
      <c r="I59" s="2" t="n">
        <v>285</v>
      </c>
      <c r="J59" s="2" t="n">
        <v>0</v>
      </c>
      <c r="K59" s="2" t="n">
        <v>20429</v>
      </c>
      <c r="L59" s="2" t="n">
        <v>13460</v>
      </c>
      <c r="M59" s="2" t="n">
        <v>1043</v>
      </c>
      <c r="N59" s="2" t="n">
        <v>41</v>
      </c>
      <c r="O59" s="2" t="n">
        <v>137</v>
      </c>
      <c r="P59" s="2" t="n">
        <v>146</v>
      </c>
      <c r="Q59" s="2" t="n">
        <v>87</v>
      </c>
      <c r="R59" s="2" t="n">
        <v>4</v>
      </c>
      <c r="S59" s="2" t="n">
        <v>8</v>
      </c>
      <c r="T59" s="2" t="s">
        <v>27</v>
      </c>
      <c r="U59" s="4" t="n">
        <f aca="false">(M59+N59+O59+P59)/L59</f>
        <v>0.101560178306092</v>
      </c>
      <c r="V59" s="2" t="str">
        <f aca="false">IF(S59&lt;=5,"Late night (0-5)",IF(S59&lt;=11,"Morning (6-11)",IF(S59&lt;=17,"Afternoon (12-17)","Evening (18-23)")))</f>
        <v>Morning (6-11)</v>
      </c>
    </row>
    <row r="60" customFormat="false" ht="15" hidden="false" customHeight="false" outlineLevel="0" collapsed="false">
      <c r="A60" s="2" t="s">
        <v>192</v>
      </c>
      <c r="B60" s="2" t="s">
        <v>193</v>
      </c>
      <c r="C60" s="2" t="s">
        <v>36</v>
      </c>
      <c r="D60" s="3" t="n">
        <v>45927</v>
      </c>
      <c r="E60" s="2" t="s">
        <v>194</v>
      </c>
      <c r="F60" s="2" t="s">
        <v>38</v>
      </c>
      <c r="G60" s="2" t="n">
        <v>26454</v>
      </c>
      <c r="H60" s="2" t="n">
        <v>9</v>
      </c>
      <c r="I60" s="2" t="n">
        <v>92</v>
      </c>
      <c r="J60" s="2" t="n">
        <v>1</v>
      </c>
      <c r="K60" s="2" t="n">
        <v>21358</v>
      </c>
      <c r="L60" s="2" t="n">
        <v>12696</v>
      </c>
      <c r="M60" s="2" t="n">
        <v>687</v>
      </c>
      <c r="N60" s="2" t="n">
        <v>17</v>
      </c>
      <c r="O60" s="2" t="n">
        <v>64</v>
      </c>
      <c r="P60" s="2" t="n">
        <v>94</v>
      </c>
      <c r="Q60" s="2" t="n">
        <v>267</v>
      </c>
      <c r="R60" s="2" t="n">
        <v>56</v>
      </c>
      <c r="S60" s="2" t="n">
        <v>21</v>
      </c>
      <c r="T60" s="2" t="s">
        <v>62</v>
      </c>
      <c r="U60" s="4" t="n">
        <f aca="false">(M60+N60+O60+P60)/L60</f>
        <v>0.067895400126024</v>
      </c>
      <c r="V60" s="2" t="str">
        <f aca="false">IF(S60&lt;=5,"Late night (0-5)",IF(S60&lt;=11,"Morning (6-11)",IF(S60&lt;=17,"Afternoon (12-17)","Evening (18-23)")))</f>
        <v>Evening (18-23)</v>
      </c>
    </row>
    <row r="61" customFormat="false" ht="15" hidden="false" customHeight="false" outlineLevel="0" collapsed="false">
      <c r="A61" s="2" t="s">
        <v>195</v>
      </c>
      <c r="B61" s="2" t="s">
        <v>188</v>
      </c>
      <c r="C61" s="2" t="s">
        <v>30</v>
      </c>
      <c r="D61" s="3" t="n">
        <v>45858</v>
      </c>
      <c r="E61" s="2" t="s">
        <v>196</v>
      </c>
      <c r="F61" s="2" t="s">
        <v>32</v>
      </c>
      <c r="G61" s="2" t="n">
        <v>38900</v>
      </c>
      <c r="H61" s="2" t="n">
        <v>17</v>
      </c>
      <c r="I61" s="2" t="n">
        <v>189</v>
      </c>
      <c r="J61" s="2" t="n">
        <v>0</v>
      </c>
      <c r="K61" s="2" t="n">
        <v>59155</v>
      </c>
      <c r="L61" s="2" t="n">
        <v>37043</v>
      </c>
      <c r="M61" s="2" t="n">
        <v>3229</v>
      </c>
      <c r="N61" s="2" t="n">
        <v>229</v>
      </c>
      <c r="O61" s="2" t="n">
        <v>152</v>
      </c>
      <c r="P61" s="2" t="n">
        <v>299</v>
      </c>
      <c r="Q61" s="2" t="n">
        <v>621</v>
      </c>
      <c r="R61" s="2" t="n">
        <v>163</v>
      </c>
      <c r="S61" s="2" t="n">
        <v>2</v>
      </c>
      <c r="T61" s="2" t="s">
        <v>27</v>
      </c>
      <c r="U61" s="4" t="n">
        <f aca="false">(M61+N61+O61+P61)/L61</f>
        <v>0.10552601031234</v>
      </c>
      <c r="V61" s="2" t="str">
        <f aca="false">IF(S61&lt;=5,"Late night (0-5)",IF(S61&lt;=11,"Morning (6-11)",IF(S61&lt;=17,"Afternoon (12-17)","Evening (18-23)")))</f>
        <v>Late night (0-5)</v>
      </c>
    </row>
    <row r="62" customFormat="false" ht="15" hidden="false" customHeight="false" outlineLevel="0" collapsed="false">
      <c r="A62" s="2" t="s">
        <v>197</v>
      </c>
      <c r="B62" s="2" t="s">
        <v>129</v>
      </c>
      <c r="C62" s="2" t="s">
        <v>54</v>
      </c>
      <c r="D62" s="3" t="n">
        <v>45929</v>
      </c>
      <c r="E62" s="2" t="s">
        <v>198</v>
      </c>
      <c r="F62" s="2" t="s">
        <v>38</v>
      </c>
      <c r="G62" s="2" t="n">
        <v>10312</v>
      </c>
      <c r="H62" s="2" t="n">
        <v>19</v>
      </c>
      <c r="I62" s="2" t="n">
        <v>232</v>
      </c>
      <c r="J62" s="2" t="n">
        <v>0</v>
      </c>
      <c r="K62" s="2" t="n">
        <v>12668</v>
      </c>
      <c r="L62" s="2" t="n">
        <v>8660</v>
      </c>
      <c r="M62" s="2" t="n">
        <v>362</v>
      </c>
      <c r="N62" s="2" t="n">
        <v>25</v>
      </c>
      <c r="O62" s="2" t="n">
        <v>70</v>
      </c>
      <c r="P62" s="2" t="n">
        <v>60</v>
      </c>
      <c r="Q62" s="2" t="n">
        <v>245</v>
      </c>
      <c r="R62" s="2" t="n">
        <v>73</v>
      </c>
      <c r="S62" s="2" t="n">
        <v>1</v>
      </c>
      <c r="T62" s="2" t="s">
        <v>33</v>
      </c>
      <c r="U62" s="4" t="n">
        <f aca="false">(M62+N62+O62+P62)/L62</f>
        <v>0.0596997690531178</v>
      </c>
      <c r="V62" s="2" t="str">
        <f aca="false">IF(S62&lt;=5,"Late night (0-5)",IF(S62&lt;=11,"Morning (6-11)",IF(S62&lt;=17,"Afternoon (12-17)","Evening (18-23)")))</f>
        <v>Late night (0-5)</v>
      </c>
    </row>
    <row r="63" customFormat="false" ht="15" hidden="false" customHeight="false" outlineLevel="0" collapsed="false">
      <c r="A63" s="2" t="s">
        <v>199</v>
      </c>
      <c r="B63" s="2" t="s">
        <v>114</v>
      </c>
      <c r="C63" s="2" t="s">
        <v>84</v>
      </c>
      <c r="D63" s="3" t="n">
        <v>45734</v>
      </c>
      <c r="E63" s="2" t="s">
        <v>200</v>
      </c>
      <c r="F63" s="2" t="s">
        <v>26</v>
      </c>
      <c r="G63" s="2" t="n">
        <v>64307</v>
      </c>
      <c r="H63" s="2" t="n">
        <v>14</v>
      </c>
      <c r="I63" s="2" t="n">
        <v>160</v>
      </c>
      <c r="J63" s="2" t="n">
        <v>1</v>
      </c>
      <c r="K63" s="2" t="n">
        <v>85489</v>
      </c>
      <c r="L63" s="2" t="n">
        <v>52163</v>
      </c>
      <c r="M63" s="2" t="n">
        <v>4670</v>
      </c>
      <c r="N63" s="2" t="n">
        <v>96</v>
      </c>
      <c r="O63" s="2" t="n">
        <v>350</v>
      </c>
      <c r="P63" s="2" t="n">
        <v>1086</v>
      </c>
      <c r="Q63" s="2" t="n">
        <v>551</v>
      </c>
      <c r="R63" s="2" t="n">
        <v>31</v>
      </c>
      <c r="S63" s="2" t="n">
        <v>18</v>
      </c>
      <c r="T63" s="2" t="s">
        <v>51</v>
      </c>
      <c r="U63" s="4" t="n">
        <f aca="false">(M63+N63+O63+P63)/L63</f>
        <v>0.11889653585875</v>
      </c>
      <c r="V63" s="2" t="str">
        <f aca="false">IF(S63&lt;=5,"Late night (0-5)",IF(S63&lt;=11,"Morning (6-11)",IF(S63&lt;=17,"Afternoon (12-17)","Evening (18-23)")))</f>
        <v>Evening (18-23)</v>
      </c>
    </row>
    <row r="64" customFormat="false" ht="15" hidden="false" customHeight="false" outlineLevel="0" collapsed="false">
      <c r="A64" s="2" t="s">
        <v>201</v>
      </c>
      <c r="B64" s="2" t="s">
        <v>47</v>
      </c>
      <c r="C64" s="2" t="s">
        <v>48</v>
      </c>
      <c r="D64" s="3" t="n">
        <v>45675</v>
      </c>
      <c r="E64" s="2" t="s">
        <v>202</v>
      </c>
      <c r="F64" s="2" t="s">
        <v>38</v>
      </c>
      <c r="G64" s="2" t="n">
        <v>19609</v>
      </c>
      <c r="H64" s="2" t="n">
        <v>4</v>
      </c>
      <c r="I64" s="2" t="n">
        <v>192</v>
      </c>
      <c r="J64" s="2" t="n">
        <v>0</v>
      </c>
      <c r="K64" s="2" t="n">
        <v>9694</v>
      </c>
      <c r="L64" s="2" t="n">
        <v>6382</v>
      </c>
      <c r="M64" s="2" t="n">
        <v>302</v>
      </c>
      <c r="N64" s="2" t="n">
        <v>9</v>
      </c>
      <c r="O64" s="2" t="n">
        <v>44</v>
      </c>
      <c r="P64" s="2" t="n">
        <v>73</v>
      </c>
      <c r="Q64" s="2" t="n">
        <v>177</v>
      </c>
      <c r="R64" s="2" t="n">
        <v>48</v>
      </c>
      <c r="S64" s="2" t="n">
        <v>17</v>
      </c>
      <c r="T64" s="2" t="s">
        <v>62</v>
      </c>
      <c r="U64" s="4" t="n">
        <f aca="false">(M64+N64+O64+P64)/L64</f>
        <v>0.0670636164211846</v>
      </c>
      <c r="V64" s="2" t="str">
        <f aca="false">IF(S64&lt;=5,"Late night (0-5)",IF(S64&lt;=11,"Morning (6-11)",IF(S64&lt;=17,"Afternoon (12-17)","Evening (18-23)")))</f>
        <v>Afternoon (12-17)</v>
      </c>
    </row>
    <row r="65" customFormat="false" ht="15" hidden="false" customHeight="false" outlineLevel="0" collapsed="false">
      <c r="A65" s="2" t="s">
        <v>203</v>
      </c>
      <c r="B65" s="2" t="s">
        <v>35</v>
      </c>
      <c r="C65" s="2" t="s">
        <v>36</v>
      </c>
      <c r="D65" s="3" t="n">
        <v>45926</v>
      </c>
      <c r="E65" s="2" t="s">
        <v>204</v>
      </c>
      <c r="F65" s="2" t="s">
        <v>26</v>
      </c>
      <c r="G65" s="2" t="n">
        <v>33933</v>
      </c>
      <c r="H65" s="2" t="n">
        <v>16</v>
      </c>
      <c r="I65" s="2" t="n">
        <v>101</v>
      </c>
      <c r="J65" s="2" t="n">
        <v>1</v>
      </c>
      <c r="K65" s="2" t="n">
        <v>25164</v>
      </c>
      <c r="L65" s="2" t="n">
        <v>14617</v>
      </c>
      <c r="M65" s="2" t="n">
        <v>658</v>
      </c>
      <c r="N65" s="2" t="n">
        <v>38</v>
      </c>
      <c r="O65" s="2" t="n">
        <v>56</v>
      </c>
      <c r="P65" s="2" t="n">
        <v>265</v>
      </c>
      <c r="Q65" s="2" t="n">
        <v>142</v>
      </c>
      <c r="R65" s="2" t="n">
        <v>32</v>
      </c>
      <c r="S65" s="2" t="n">
        <v>4</v>
      </c>
      <c r="T65" s="2" t="s">
        <v>96</v>
      </c>
      <c r="U65" s="4" t="n">
        <f aca="false">(M65+N65+O65+P65)/L65</f>
        <v>0.0695765204898406</v>
      </c>
      <c r="V65" s="2" t="str">
        <f aca="false">IF(S65&lt;=5,"Late night (0-5)",IF(S65&lt;=11,"Morning (6-11)",IF(S65&lt;=17,"Afternoon (12-17)","Evening (18-23)")))</f>
        <v>Late night (0-5)</v>
      </c>
    </row>
    <row r="66" customFormat="false" ht="15" hidden="false" customHeight="false" outlineLevel="0" collapsed="false">
      <c r="A66" s="2" t="s">
        <v>205</v>
      </c>
      <c r="B66" s="2" t="s">
        <v>206</v>
      </c>
      <c r="C66" s="2" t="s">
        <v>48</v>
      </c>
      <c r="D66" s="3" t="n">
        <v>45879</v>
      </c>
      <c r="E66" s="2" t="s">
        <v>207</v>
      </c>
      <c r="F66" s="2" t="s">
        <v>38</v>
      </c>
      <c r="G66" s="2" t="n">
        <v>42937</v>
      </c>
      <c r="H66" s="2" t="n">
        <v>13</v>
      </c>
      <c r="I66" s="2" t="n">
        <v>10</v>
      </c>
      <c r="J66" s="2" t="n">
        <v>0</v>
      </c>
      <c r="K66" s="2" t="n">
        <v>14296</v>
      </c>
      <c r="L66" s="2" t="n">
        <v>11609</v>
      </c>
      <c r="M66" s="2" t="n">
        <v>946</v>
      </c>
      <c r="N66" s="2" t="n">
        <v>21</v>
      </c>
      <c r="O66" s="2" t="n">
        <v>124</v>
      </c>
      <c r="P66" s="2" t="n">
        <v>279</v>
      </c>
      <c r="Q66" s="2" t="n">
        <v>212</v>
      </c>
      <c r="R66" s="2" t="n">
        <v>53</v>
      </c>
      <c r="S66" s="2" t="n">
        <v>4</v>
      </c>
      <c r="T66" s="2" t="s">
        <v>27</v>
      </c>
      <c r="U66" s="4" t="n">
        <f aca="false">(M66+N66+O66+P66)/L66</f>
        <v>0.118011887328797</v>
      </c>
      <c r="V66" s="2" t="str">
        <f aca="false">IF(S66&lt;=5,"Late night (0-5)",IF(S66&lt;=11,"Morning (6-11)",IF(S66&lt;=17,"Afternoon (12-17)","Evening (18-23)")))</f>
        <v>Late night (0-5)</v>
      </c>
    </row>
    <row r="67" customFormat="false" ht="15" hidden="false" customHeight="false" outlineLevel="0" collapsed="false">
      <c r="A67" s="2" t="s">
        <v>208</v>
      </c>
      <c r="B67" s="2" t="s">
        <v>106</v>
      </c>
      <c r="C67" s="2" t="s">
        <v>91</v>
      </c>
      <c r="D67" s="3" t="n">
        <v>45914</v>
      </c>
      <c r="E67" s="2" t="s">
        <v>209</v>
      </c>
      <c r="F67" s="2" t="s">
        <v>32</v>
      </c>
      <c r="G67" s="2" t="n">
        <v>59477</v>
      </c>
      <c r="H67" s="2" t="n">
        <v>16</v>
      </c>
      <c r="I67" s="2" t="n">
        <v>139</v>
      </c>
      <c r="J67" s="2" t="n">
        <v>1</v>
      </c>
      <c r="K67" s="2" t="n">
        <v>118552</v>
      </c>
      <c r="L67" s="2" t="n">
        <v>74400</v>
      </c>
      <c r="M67" s="2" t="n">
        <v>6676</v>
      </c>
      <c r="N67" s="2" t="n">
        <v>517</v>
      </c>
      <c r="O67" s="2" t="n">
        <v>501</v>
      </c>
      <c r="P67" s="2" t="n">
        <v>854</v>
      </c>
      <c r="Q67" s="2" t="n">
        <v>515</v>
      </c>
      <c r="R67" s="2" t="n">
        <v>104</v>
      </c>
      <c r="S67" s="2" t="n">
        <v>0</v>
      </c>
      <c r="T67" s="2" t="s">
        <v>27</v>
      </c>
      <c r="U67" s="4" t="n">
        <f aca="false">(M67+N67+O67+P67)/L67</f>
        <v>0.11489247311828</v>
      </c>
      <c r="V67" s="2" t="str">
        <f aca="false">IF(S67&lt;=5,"Late night (0-5)",IF(S67&lt;=11,"Morning (6-11)",IF(S67&lt;=17,"Afternoon (12-17)","Evening (18-23)")))</f>
        <v>Late night (0-5)</v>
      </c>
    </row>
    <row r="68" customFormat="false" ht="15" hidden="false" customHeight="false" outlineLevel="0" collapsed="false">
      <c r="A68" s="2" t="s">
        <v>210</v>
      </c>
      <c r="B68" s="2" t="s">
        <v>141</v>
      </c>
      <c r="C68" s="2" t="s">
        <v>48</v>
      </c>
      <c r="D68" s="3" t="n">
        <v>45782</v>
      </c>
      <c r="E68" s="2" t="s">
        <v>211</v>
      </c>
      <c r="F68" s="2" t="s">
        <v>50</v>
      </c>
      <c r="G68" s="2" t="n">
        <v>16119</v>
      </c>
      <c r="H68" s="2" t="n">
        <v>7</v>
      </c>
      <c r="I68" s="2" t="n">
        <v>100</v>
      </c>
      <c r="J68" s="2" t="n">
        <v>1</v>
      </c>
      <c r="K68" s="2" t="n">
        <v>25100</v>
      </c>
      <c r="L68" s="2" t="n">
        <v>14346</v>
      </c>
      <c r="M68" s="2" t="n">
        <v>1022</v>
      </c>
      <c r="N68" s="2" t="n">
        <v>27</v>
      </c>
      <c r="O68" s="2" t="n">
        <v>87</v>
      </c>
      <c r="P68" s="2" t="n">
        <v>72</v>
      </c>
      <c r="Q68" s="2" t="n">
        <v>287</v>
      </c>
      <c r="R68" s="2" t="n">
        <v>85</v>
      </c>
      <c r="S68" s="2" t="n">
        <v>19</v>
      </c>
      <c r="T68" s="2" t="s">
        <v>33</v>
      </c>
      <c r="U68" s="4" t="n">
        <f aca="false">(M68+N68+O68+P68)/L68</f>
        <v>0.0842046563502022</v>
      </c>
      <c r="V68" s="2" t="str">
        <f aca="false">IF(S68&lt;=5,"Late night (0-5)",IF(S68&lt;=11,"Morning (6-11)",IF(S68&lt;=17,"Afternoon (12-17)","Evening (18-23)")))</f>
        <v>Evening (18-23)</v>
      </c>
    </row>
    <row r="69" customFormat="false" ht="15" hidden="false" customHeight="false" outlineLevel="0" collapsed="false">
      <c r="A69" s="2" t="s">
        <v>212</v>
      </c>
      <c r="B69" s="2" t="s">
        <v>154</v>
      </c>
      <c r="C69" s="2" t="s">
        <v>41</v>
      </c>
      <c r="D69" s="3" t="n">
        <v>45696</v>
      </c>
      <c r="E69" s="2" t="s">
        <v>109</v>
      </c>
      <c r="F69" s="2" t="s">
        <v>26</v>
      </c>
      <c r="G69" s="2" t="n">
        <v>33644</v>
      </c>
      <c r="H69" s="2" t="n">
        <v>24</v>
      </c>
      <c r="I69" s="2" t="n">
        <v>319</v>
      </c>
      <c r="J69" s="2" t="n">
        <v>0</v>
      </c>
      <c r="K69" s="2" t="n">
        <v>69021</v>
      </c>
      <c r="L69" s="2" t="n">
        <v>54748</v>
      </c>
      <c r="M69" s="2" t="n">
        <v>2616</v>
      </c>
      <c r="N69" s="2" t="n">
        <v>175</v>
      </c>
      <c r="O69" s="2" t="n">
        <v>303</v>
      </c>
      <c r="P69" s="2" t="n">
        <v>705</v>
      </c>
      <c r="Q69" s="2" t="n">
        <v>1021</v>
      </c>
      <c r="R69" s="2" t="n">
        <v>290</v>
      </c>
      <c r="S69" s="2" t="n">
        <v>9</v>
      </c>
      <c r="T69" s="2" t="s">
        <v>62</v>
      </c>
      <c r="U69" s="4" t="n">
        <f aca="false">(M69+N69+O69+P69)/L69</f>
        <v>0.069390662672609</v>
      </c>
      <c r="V69" s="2" t="str">
        <f aca="false">IF(S69&lt;=5,"Late night (0-5)",IF(S69&lt;=11,"Morning (6-11)",IF(S69&lt;=17,"Afternoon (12-17)","Evening (18-23)")))</f>
        <v>Morning (6-11)</v>
      </c>
    </row>
    <row r="70" customFormat="false" ht="15" hidden="false" customHeight="false" outlineLevel="0" collapsed="false">
      <c r="A70" s="2" t="s">
        <v>213</v>
      </c>
      <c r="B70" s="2" t="s">
        <v>151</v>
      </c>
      <c r="C70" s="2" t="s">
        <v>36</v>
      </c>
      <c r="D70" s="3" t="n">
        <v>45870</v>
      </c>
      <c r="E70" s="2" t="s">
        <v>214</v>
      </c>
      <c r="F70" s="2" t="s">
        <v>32</v>
      </c>
      <c r="G70" s="2" t="n">
        <v>19247</v>
      </c>
      <c r="H70" s="2" t="n">
        <v>7</v>
      </c>
      <c r="I70" s="2" t="n">
        <v>251</v>
      </c>
      <c r="J70" s="2" t="n">
        <v>1</v>
      </c>
      <c r="K70" s="2" t="n">
        <v>11147</v>
      </c>
      <c r="L70" s="2" t="n">
        <v>6536</v>
      </c>
      <c r="M70" s="2" t="n">
        <v>348</v>
      </c>
      <c r="N70" s="2" t="n">
        <v>21</v>
      </c>
      <c r="O70" s="2" t="n">
        <v>16</v>
      </c>
      <c r="P70" s="2" t="n">
        <v>80</v>
      </c>
      <c r="Q70" s="2" t="n">
        <v>108</v>
      </c>
      <c r="R70" s="2" t="n">
        <v>26</v>
      </c>
      <c r="S70" s="2" t="n">
        <v>1</v>
      </c>
      <c r="T70" s="2" t="s">
        <v>96</v>
      </c>
      <c r="U70" s="4" t="n">
        <f aca="false">(M70+N70+O70+P70)/L70</f>
        <v>0.0711444308445532</v>
      </c>
      <c r="V70" s="2" t="str">
        <f aca="false">IF(S70&lt;=5,"Late night (0-5)",IF(S70&lt;=11,"Morning (6-11)",IF(S70&lt;=17,"Afternoon (12-17)","Evening (18-23)")))</f>
        <v>Late night (0-5)</v>
      </c>
    </row>
    <row r="71" customFormat="false" ht="15" hidden="false" customHeight="false" outlineLevel="0" collapsed="false">
      <c r="A71" s="2" t="s">
        <v>215</v>
      </c>
      <c r="B71" s="2" t="s">
        <v>94</v>
      </c>
      <c r="C71" s="2" t="s">
        <v>30</v>
      </c>
      <c r="D71" s="3" t="n">
        <v>45950</v>
      </c>
      <c r="E71" s="2" t="s">
        <v>216</v>
      </c>
      <c r="F71" s="2" t="s">
        <v>32</v>
      </c>
      <c r="G71" s="2" t="n">
        <v>58559</v>
      </c>
      <c r="H71" s="2" t="n">
        <v>15</v>
      </c>
      <c r="I71" s="2" t="n">
        <v>174</v>
      </c>
      <c r="J71" s="2" t="n">
        <v>1</v>
      </c>
      <c r="K71" s="2" t="n">
        <v>108820</v>
      </c>
      <c r="L71" s="2" t="n">
        <v>73554</v>
      </c>
      <c r="M71" s="2" t="n">
        <v>2720</v>
      </c>
      <c r="N71" s="2" t="n">
        <v>210</v>
      </c>
      <c r="O71" s="2" t="n">
        <v>521</v>
      </c>
      <c r="P71" s="2" t="n">
        <v>536</v>
      </c>
      <c r="Q71" s="2" t="n">
        <v>756</v>
      </c>
      <c r="R71" s="2" t="n">
        <v>182</v>
      </c>
      <c r="S71" s="2" t="n">
        <v>7</v>
      </c>
      <c r="T71" s="2" t="s">
        <v>33</v>
      </c>
      <c r="U71" s="4" t="n">
        <f aca="false">(M71+N71+O71+P71)/L71</f>
        <v>0.0542050738233135</v>
      </c>
      <c r="V71" s="2" t="str">
        <f aca="false">IF(S71&lt;=5,"Late night (0-5)",IF(S71&lt;=11,"Morning (6-11)",IF(S71&lt;=17,"Afternoon (12-17)","Evening (18-23)")))</f>
        <v>Morning (6-11)</v>
      </c>
    </row>
    <row r="72" customFormat="false" ht="15" hidden="false" customHeight="false" outlineLevel="0" collapsed="false">
      <c r="A72" s="2" t="s">
        <v>217</v>
      </c>
      <c r="B72" s="2" t="s">
        <v>68</v>
      </c>
      <c r="C72" s="2" t="s">
        <v>54</v>
      </c>
      <c r="D72" s="3" t="n">
        <v>45859</v>
      </c>
      <c r="E72" s="2" t="s">
        <v>218</v>
      </c>
      <c r="F72" s="2" t="s">
        <v>38</v>
      </c>
      <c r="G72" s="2" t="n">
        <v>35922</v>
      </c>
      <c r="H72" s="2" t="n">
        <v>10</v>
      </c>
      <c r="I72" s="2" t="n">
        <v>125</v>
      </c>
      <c r="J72" s="2" t="n">
        <v>1</v>
      </c>
      <c r="K72" s="2" t="n">
        <v>34568</v>
      </c>
      <c r="L72" s="2" t="n">
        <v>26296</v>
      </c>
      <c r="M72" s="2" t="n">
        <v>2302</v>
      </c>
      <c r="N72" s="2" t="n">
        <v>150</v>
      </c>
      <c r="O72" s="2" t="n">
        <v>163</v>
      </c>
      <c r="P72" s="2" t="n">
        <v>678</v>
      </c>
      <c r="Q72" s="2" t="n">
        <v>459</v>
      </c>
      <c r="R72" s="2" t="n">
        <v>82</v>
      </c>
      <c r="S72" s="2" t="n">
        <v>23</v>
      </c>
      <c r="T72" s="2" t="s">
        <v>33</v>
      </c>
      <c r="U72" s="4" t="n">
        <f aca="false">(M72+N72+O72+P72)/L72</f>
        <v>0.125228171585032</v>
      </c>
      <c r="V72" s="2" t="str">
        <f aca="false">IF(S72&lt;=5,"Late night (0-5)",IF(S72&lt;=11,"Morning (6-11)",IF(S72&lt;=17,"Afternoon (12-17)","Evening (18-23)")))</f>
        <v>Evening (18-23)</v>
      </c>
    </row>
    <row r="73" customFormat="false" ht="15" hidden="false" customHeight="false" outlineLevel="0" collapsed="false">
      <c r="A73" s="2" t="s">
        <v>219</v>
      </c>
      <c r="B73" s="2" t="s">
        <v>220</v>
      </c>
      <c r="C73" s="2" t="s">
        <v>48</v>
      </c>
      <c r="D73" s="3" t="n">
        <v>45801</v>
      </c>
      <c r="E73" s="2" t="s">
        <v>221</v>
      </c>
      <c r="F73" s="2" t="s">
        <v>38</v>
      </c>
      <c r="G73" s="2" t="n">
        <v>18917</v>
      </c>
      <c r="H73" s="2" t="n">
        <v>12</v>
      </c>
      <c r="I73" s="2" t="n">
        <v>266</v>
      </c>
      <c r="J73" s="2" t="n">
        <v>1</v>
      </c>
      <c r="K73" s="2" t="n">
        <v>35452</v>
      </c>
      <c r="L73" s="2" t="n">
        <v>30018</v>
      </c>
      <c r="M73" s="2" t="n">
        <v>2291</v>
      </c>
      <c r="N73" s="2" t="n">
        <v>52</v>
      </c>
      <c r="O73" s="2" t="n">
        <v>420</v>
      </c>
      <c r="P73" s="2" t="n">
        <v>126</v>
      </c>
      <c r="Q73" s="2" t="n">
        <v>602</v>
      </c>
      <c r="R73" s="2" t="n">
        <v>71</v>
      </c>
      <c r="S73" s="2" t="n">
        <v>20</v>
      </c>
      <c r="T73" s="2" t="s">
        <v>62</v>
      </c>
      <c r="U73" s="4" t="n">
        <f aca="false">(M73+N73+O73+P73)/L73</f>
        <v>0.0962422546472117</v>
      </c>
      <c r="V73" s="2" t="str">
        <f aca="false">IF(S73&lt;=5,"Late night (0-5)",IF(S73&lt;=11,"Morning (6-11)",IF(S73&lt;=17,"Afternoon (12-17)","Evening (18-23)")))</f>
        <v>Evening (18-23)</v>
      </c>
    </row>
    <row r="74" customFormat="false" ht="15" hidden="false" customHeight="false" outlineLevel="0" collapsed="false">
      <c r="A74" s="2" t="s">
        <v>222</v>
      </c>
      <c r="B74" s="2" t="s">
        <v>98</v>
      </c>
      <c r="C74" s="2" t="s">
        <v>54</v>
      </c>
      <c r="D74" s="3" t="n">
        <v>45865</v>
      </c>
      <c r="E74" s="2" t="s">
        <v>223</v>
      </c>
      <c r="F74" s="2" t="s">
        <v>32</v>
      </c>
      <c r="G74" s="2" t="n">
        <v>18366</v>
      </c>
      <c r="H74" s="2" t="n">
        <v>21</v>
      </c>
      <c r="I74" s="2" t="n">
        <v>243</v>
      </c>
      <c r="J74" s="2" t="n">
        <v>0</v>
      </c>
      <c r="K74" s="2" t="n">
        <v>90188</v>
      </c>
      <c r="L74" s="2" t="n">
        <v>51462</v>
      </c>
      <c r="M74" s="2" t="n">
        <v>2224</v>
      </c>
      <c r="N74" s="2" t="n">
        <v>74</v>
      </c>
      <c r="O74" s="2" t="n">
        <v>322</v>
      </c>
      <c r="P74" s="2" t="n">
        <v>275</v>
      </c>
      <c r="Q74" s="2" t="n">
        <v>782</v>
      </c>
      <c r="R74" s="2" t="n">
        <v>47</v>
      </c>
      <c r="S74" s="2" t="n">
        <v>18</v>
      </c>
      <c r="T74" s="2" t="s">
        <v>27</v>
      </c>
      <c r="U74" s="4" t="n">
        <f aca="false">(M74+N74+O74+P74)/L74</f>
        <v>0.0562551008511134</v>
      </c>
      <c r="V74" s="2" t="str">
        <f aca="false">IF(S74&lt;=5,"Late night (0-5)",IF(S74&lt;=11,"Morning (6-11)",IF(S74&lt;=17,"Afternoon (12-17)","Evening (18-23)")))</f>
        <v>Evening (18-23)</v>
      </c>
    </row>
    <row r="75" customFormat="false" ht="15" hidden="false" customHeight="false" outlineLevel="0" collapsed="false">
      <c r="A75" s="2" t="s">
        <v>224</v>
      </c>
      <c r="B75" s="2" t="s">
        <v>35</v>
      </c>
      <c r="C75" s="2" t="s">
        <v>36</v>
      </c>
      <c r="D75" s="3" t="n">
        <v>45671</v>
      </c>
      <c r="E75" s="2" t="s">
        <v>225</v>
      </c>
      <c r="F75" s="2" t="s">
        <v>26</v>
      </c>
      <c r="G75" s="2" t="n">
        <v>33933</v>
      </c>
      <c r="H75" s="2" t="n">
        <v>21</v>
      </c>
      <c r="I75" s="2" t="n">
        <v>216</v>
      </c>
      <c r="J75" s="2" t="n">
        <v>0</v>
      </c>
      <c r="K75" s="2" t="n">
        <v>40805</v>
      </c>
      <c r="L75" s="2" t="n">
        <v>25963</v>
      </c>
      <c r="M75" s="2" t="n">
        <v>1070</v>
      </c>
      <c r="N75" s="2" t="n">
        <v>21</v>
      </c>
      <c r="O75" s="2" t="n">
        <v>208</v>
      </c>
      <c r="P75" s="2" t="n">
        <v>85</v>
      </c>
      <c r="Q75" s="2" t="n">
        <v>351</v>
      </c>
      <c r="R75" s="2" t="n">
        <v>73</v>
      </c>
      <c r="S75" s="2" t="n">
        <v>8</v>
      </c>
      <c r="T75" s="2" t="s">
        <v>51</v>
      </c>
      <c r="U75" s="4" t="n">
        <f aca="false">(M75+N75+O75+P75)/L75</f>
        <v>0.0533066286638678</v>
      </c>
      <c r="V75" s="2" t="str">
        <f aca="false">IF(S75&lt;=5,"Late night (0-5)",IF(S75&lt;=11,"Morning (6-11)",IF(S75&lt;=17,"Afternoon (12-17)","Evening (18-23)")))</f>
        <v>Morning (6-11)</v>
      </c>
    </row>
    <row r="76" customFormat="false" ht="15" hidden="false" customHeight="false" outlineLevel="0" collapsed="false">
      <c r="A76" s="2" t="s">
        <v>226</v>
      </c>
      <c r="B76" s="2" t="s">
        <v>227</v>
      </c>
      <c r="C76" s="2" t="s">
        <v>54</v>
      </c>
      <c r="D76" s="3" t="n">
        <v>45690</v>
      </c>
      <c r="E76" s="2" t="s">
        <v>228</v>
      </c>
      <c r="F76" s="2" t="s">
        <v>38</v>
      </c>
      <c r="G76" s="2" t="n">
        <v>11796</v>
      </c>
      <c r="H76" s="2" t="n">
        <v>24</v>
      </c>
      <c r="I76" s="2" t="n">
        <v>207</v>
      </c>
      <c r="J76" s="2" t="n">
        <v>0</v>
      </c>
      <c r="K76" s="2" t="n">
        <v>21717</v>
      </c>
      <c r="L76" s="2" t="n">
        <v>14568</v>
      </c>
      <c r="M76" s="2" t="n">
        <v>1019</v>
      </c>
      <c r="N76" s="2" t="n">
        <v>37</v>
      </c>
      <c r="O76" s="2" t="n">
        <v>199</v>
      </c>
      <c r="P76" s="2" t="n">
        <v>109</v>
      </c>
      <c r="Q76" s="2" t="n">
        <v>404</v>
      </c>
      <c r="R76" s="2" t="n">
        <v>63</v>
      </c>
      <c r="S76" s="2" t="n">
        <v>18</v>
      </c>
      <c r="T76" s="2" t="s">
        <v>27</v>
      </c>
      <c r="U76" s="4" t="n">
        <f aca="false">(M76+N76+O76+P76)/L76</f>
        <v>0.0936298736957716</v>
      </c>
      <c r="V76" s="2" t="str">
        <f aca="false">IF(S76&lt;=5,"Late night (0-5)",IF(S76&lt;=11,"Morning (6-11)",IF(S76&lt;=17,"Afternoon (12-17)","Evening (18-23)")))</f>
        <v>Evening (18-23)</v>
      </c>
    </row>
    <row r="77" customFormat="false" ht="15" hidden="false" customHeight="false" outlineLevel="0" collapsed="false">
      <c r="A77" s="2" t="s">
        <v>229</v>
      </c>
      <c r="B77" s="2" t="s">
        <v>188</v>
      </c>
      <c r="C77" s="2" t="s">
        <v>30</v>
      </c>
      <c r="D77" s="3" t="n">
        <v>45899</v>
      </c>
      <c r="E77" s="2" t="s">
        <v>230</v>
      </c>
      <c r="F77" s="2" t="s">
        <v>38</v>
      </c>
      <c r="G77" s="2" t="n">
        <v>38900</v>
      </c>
      <c r="H77" s="2" t="n">
        <v>15</v>
      </c>
      <c r="I77" s="2" t="n">
        <v>130</v>
      </c>
      <c r="J77" s="2" t="n">
        <v>1</v>
      </c>
      <c r="K77" s="2" t="n">
        <v>32967</v>
      </c>
      <c r="L77" s="2" t="n">
        <v>29358</v>
      </c>
      <c r="M77" s="2" t="n">
        <v>2076</v>
      </c>
      <c r="N77" s="2" t="n">
        <v>100</v>
      </c>
      <c r="O77" s="2" t="n">
        <v>88</v>
      </c>
      <c r="P77" s="2" t="n">
        <v>461</v>
      </c>
      <c r="Q77" s="2" t="n">
        <v>501</v>
      </c>
      <c r="R77" s="2" t="n">
        <v>132</v>
      </c>
      <c r="S77" s="2" t="n">
        <v>23</v>
      </c>
      <c r="T77" s="2" t="s">
        <v>62</v>
      </c>
      <c r="U77" s="4" t="n">
        <f aca="false">(M77+N77+O77+P77)/L77</f>
        <v>0.0928196743647387</v>
      </c>
      <c r="V77" s="2" t="str">
        <f aca="false">IF(S77&lt;=5,"Late night (0-5)",IF(S77&lt;=11,"Morning (6-11)",IF(S77&lt;=17,"Afternoon (12-17)","Evening (18-23)")))</f>
        <v>Evening (18-23)</v>
      </c>
    </row>
    <row r="78" customFormat="false" ht="15" hidden="false" customHeight="false" outlineLevel="0" collapsed="false">
      <c r="A78" s="2" t="s">
        <v>231</v>
      </c>
      <c r="B78" s="2" t="s">
        <v>23</v>
      </c>
      <c r="C78" s="2" t="s">
        <v>24</v>
      </c>
      <c r="D78" s="3" t="n">
        <v>45996</v>
      </c>
      <c r="E78" s="2" t="s">
        <v>232</v>
      </c>
      <c r="F78" s="2" t="s">
        <v>26</v>
      </c>
      <c r="G78" s="2" t="n">
        <v>63447</v>
      </c>
      <c r="H78" s="2" t="n">
        <v>2</v>
      </c>
      <c r="I78" s="2" t="n">
        <v>199</v>
      </c>
      <c r="J78" s="2" t="n">
        <v>1</v>
      </c>
      <c r="K78" s="2" t="n">
        <v>184623</v>
      </c>
      <c r="L78" s="2" t="n">
        <v>106285</v>
      </c>
      <c r="M78" s="2" t="n">
        <v>4342</v>
      </c>
      <c r="N78" s="2" t="n">
        <v>189</v>
      </c>
      <c r="O78" s="2" t="n">
        <v>607</v>
      </c>
      <c r="P78" s="2" t="n">
        <v>941</v>
      </c>
      <c r="Q78" s="2" t="n">
        <v>995</v>
      </c>
      <c r="R78" s="2" t="n">
        <v>56</v>
      </c>
      <c r="S78" s="2" t="n">
        <v>12</v>
      </c>
      <c r="T78" s="2" t="s">
        <v>96</v>
      </c>
      <c r="U78" s="4" t="n">
        <f aca="false">(M78+N78+O78+P78)/L78</f>
        <v>0.0571952768499788</v>
      </c>
      <c r="V78" s="2" t="str">
        <f aca="false">IF(S78&lt;=5,"Late night (0-5)",IF(S78&lt;=11,"Morning (6-11)",IF(S78&lt;=17,"Afternoon (12-17)","Evening (18-23)")))</f>
        <v>Afternoon (12-17)</v>
      </c>
    </row>
    <row r="79" customFormat="false" ht="15" hidden="false" customHeight="false" outlineLevel="0" collapsed="false">
      <c r="A79" s="2" t="s">
        <v>233</v>
      </c>
      <c r="B79" s="2" t="s">
        <v>193</v>
      </c>
      <c r="C79" s="2" t="s">
        <v>36</v>
      </c>
      <c r="D79" s="3" t="n">
        <v>45943</v>
      </c>
      <c r="E79" s="2" t="s">
        <v>234</v>
      </c>
      <c r="F79" s="2" t="s">
        <v>26</v>
      </c>
      <c r="G79" s="2" t="n">
        <v>26454</v>
      </c>
      <c r="H79" s="2" t="n">
        <v>23</v>
      </c>
      <c r="I79" s="2" t="n">
        <v>222</v>
      </c>
      <c r="J79" s="2" t="n">
        <v>0</v>
      </c>
      <c r="K79" s="2" t="n">
        <v>34864</v>
      </c>
      <c r="L79" s="2" t="n">
        <v>19708</v>
      </c>
      <c r="M79" s="2" t="n">
        <v>1227</v>
      </c>
      <c r="N79" s="2" t="n">
        <v>78</v>
      </c>
      <c r="O79" s="2" t="n">
        <v>205</v>
      </c>
      <c r="P79" s="2" t="n">
        <v>134</v>
      </c>
      <c r="Q79" s="2" t="n">
        <v>420</v>
      </c>
      <c r="R79" s="2" t="n">
        <v>71</v>
      </c>
      <c r="S79" s="2" t="n">
        <v>15</v>
      </c>
      <c r="T79" s="2" t="s">
        <v>33</v>
      </c>
      <c r="U79" s="4" t="n">
        <f aca="false">(M79+N79+O79+P79)/L79</f>
        <v>0.0834179013598539</v>
      </c>
      <c r="V79" s="2" t="str">
        <f aca="false">IF(S79&lt;=5,"Late night (0-5)",IF(S79&lt;=11,"Morning (6-11)",IF(S79&lt;=17,"Afternoon (12-17)","Evening (18-23)")))</f>
        <v>Afternoon (12-17)</v>
      </c>
    </row>
    <row r="80" customFormat="false" ht="15" hidden="false" customHeight="false" outlineLevel="0" collapsed="false">
      <c r="A80" s="2" t="s">
        <v>235</v>
      </c>
      <c r="B80" s="2" t="s">
        <v>29</v>
      </c>
      <c r="C80" s="2" t="s">
        <v>30</v>
      </c>
      <c r="D80" s="3" t="n">
        <v>45823</v>
      </c>
      <c r="E80" s="2" t="s">
        <v>236</v>
      </c>
      <c r="F80" s="2" t="s">
        <v>32</v>
      </c>
      <c r="G80" s="2" t="n">
        <v>11612</v>
      </c>
      <c r="H80" s="2" t="n">
        <v>11</v>
      </c>
      <c r="I80" s="2" t="n">
        <v>147</v>
      </c>
      <c r="J80" s="2" t="n">
        <v>0</v>
      </c>
      <c r="K80" s="2" t="n">
        <v>36910</v>
      </c>
      <c r="L80" s="2" t="n">
        <v>21638</v>
      </c>
      <c r="M80" s="2" t="n">
        <v>1024</v>
      </c>
      <c r="N80" s="2" t="n">
        <v>57</v>
      </c>
      <c r="O80" s="2" t="n">
        <v>250</v>
      </c>
      <c r="P80" s="2" t="n">
        <v>183</v>
      </c>
      <c r="Q80" s="2" t="n">
        <v>178</v>
      </c>
      <c r="R80" s="2" t="n">
        <v>13</v>
      </c>
      <c r="S80" s="2" t="n">
        <v>23</v>
      </c>
      <c r="T80" s="2" t="s">
        <v>27</v>
      </c>
      <c r="U80" s="4" t="n">
        <f aca="false">(M80+N80+O80+P80)/L80</f>
        <v>0.0699694981051853</v>
      </c>
      <c r="V80" s="2" t="str">
        <f aca="false">IF(S80&lt;=5,"Late night (0-5)",IF(S80&lt;=11,"Morning (6-11)",IF(S80&lt;=17,"Afternoon (12-17)","Evening (18-23)")))</f>
        <v>Evening (18-23)</v>
      </c>
    </row>
    <row r="81" customFormat="false" ht="15" hidden="false" customHeight="false" outlineLevel="0" collapsed="false">
      <c r="A81" s="2" t="s">
        <v>237</v>
      </c>
      <c r="B81" s="2" t="s">
        <v>129</v>
      </c>
      <c r="C81" s="2" t="s">
        <v>54</v>
      </c>
      <c r="D81" s="3" t="n">
        <v>45859</v>
      </c>
      <c r="E81" s="2" t="s">
        <v>238</v>
      </c>
      <c r="F81" s="2" t="s">
        <v>32</v>
      </c>
      <c r="G81" s="2" t="n">
        <v>10312</v>
      </c>
      <c r="H81" s="2" t="n">
        <v>15</v>
      </c>
      <c r="I81" s="2" t="n">
        <v>155</v>
      </c>
      <c r="J81" s="2" t="n">
        <v>0</v>
      </c>
      <c r="K81" s="2" t="n">
        <v>7576</v>
      </c>
      <c r="L81" s="2" t="n">
        <v>5985</v>
      </c>
      <c r="M81" s="2" t="n">
        <v>291</v>
      </c>
      <c r="N81" s="2" t="n">
        <v>7</v>
      </c>
      <c r="O81" s="2" t="n">
        <v>18</v>
      </c>
      <c r="P81" s="2" t="n">
        <v>51</v>
      </c>
      <c r="Q81" s="2" t="n">
        <v>155</v>
      </c>
      <c r="R81" s="2" t="n">
        <v>12</v>
      </c>
      <c r="S81" s="2" t="n">
        <v>4</v>
      </c>
      <c r="T81" s="2" t="s">
        <v>33</v>
      </c>
      <c r="U81" s="4" t="n">
        <f aca="false">(M81+N81+O81+P81)/L81</f>
        <v>0.0613199665831245</v>
      </c>
      <c r="V81" s="2" t="str">
        <f aca="false">IF(S81&lt;=5,"Late night (0-5)",IF(S81&lt;=11,"Morning (6-11)",IF(S81&lt;=17,"Afternoon (12-17)","Evening (18-23)")))</f>
        <v>Late night (0-5)</v>
      </c>
    </row>
    <row r="82" customFormat="false" ht="15" hidden="false" customHeight="false" outlineLevel="0" collapsed="false">
      <c r="A82" s="2" t="s">
        <v>239</v>
      </c>
      <c r="B82" s="2" t="s">
        <v>240</v>
      </c>
      <c r="C82" s="2" t="s">
        <v>41</v>
      </c>
      <c r="D82" s="3" t="n">
        <v>45877</v>
      </c>
      <c r="E82" s="2" t="s">
        <v>241</v>
      </c>
      <c r="F82" s="2" t="s">
        <v>38</v>
      </c>
      <c r="G82" s="2" t="n">
        <v>83197</v>
      </c>
      <c r="H82" s="2" t="n">
        <v>17</v>
      </c>
      <c r="I82" s="2" t="n">
        <v>117</v>
      </c>
      <c r="J82" s="2" t="n">
        <v>1</v>
      </c>
      <c r="K82" s="2" t="n">
        <v>61822</v>
      </c>
      <c r="L82" s="2" t="n">
        <v>38811</v>
      </c>
      <c r="M82" s="2" t="n">
        <v>1848</v>
      </c>
      <c r="N82" s="2" t="n">
        <v>104</v>
      </c>
      <c r="O82" s="2" t="n">
        <v>178</v>
      </c>
      <c r="P82" s="2" t="n">
        <v>246</v>
      </c>
      <c r="Q82" s="2" t="n">
        <v>1060</v>
      </c>
      <c r="R82" s="2" t="n">
        <v>90</v>
      </c>
      <c r="S82" s="2" t="n">
        <v>6</v>
      </c>
      <c r="T82" s="2" t="s">
        <v>96</v>
      </c>
      <c r="U82" s="4" t="n">
        <f aca="false">(M82+N82+O82+P82)/L82</f>
        <v>0.0612197572853057</v>
      </c>
      <c r="V82" s="2" t="str">
        <f aca="false">IF(S82&lt;=5,"Late night (0-5)",IF(S82&lt;=11,"Morning (6-11)",IF(S82&lt;=17,"Afternoon (12-17)","Evening (18-23)")))</f>
        <v>Morning (6-11)</v>
      </c>
    </row>
    <row r="83" customFormat="false" ht="15" hidden="false" customHeight="false" outlineLevel="0" collapsed="false">
      <c r="A83" s="2" t="s">
        <v>242</v>
      </c>
      <c r="B83" s="2" t="s">
        <v>243</v>
      </c>
      <c r="C83" s="2" t="s">
        <v>91</v>
      </c>
      <c r="D83" s="3" t="n">
        <v>45900</v>
      </c>
      <c r="E83" s="2" t="s">
        <v>182</v>
      </c>
      <c r="F83" s="2" t="s">
        <v>26</v>
      </c>
      <c r="G83" s="2" t="n">
        <v>42046</v>
      </c>
      <c r="H83" s="2" t="n">
        <v>21</v>
      </c>
      <c r="I83" s="2" t="n">
        <v>189</v>
      </c>
      <c r="J83" s="2" t="n">
        <v>0</v>
      </c>
      <c r="K83" s="2" t="n">
        <v>11578</v>
      </c>
      <c r="L83" s="2" t="n">
        <v>10226</v>
      </c>
      <c r="M83" s="2" t="n">
        <v>590</v>
      </c>
      <c r="N83" s="2" t="n">
        <v>40</v>
      </c>
      <c r="O83" s="2" t="n">
        <v>90</v>
      </c>
      <c r="P83" s="2" t="n">
        <v>125</v>
      </c>
      <c r="Q83" s="2" t="n">
        <v>203</v>
      </c>
      <c r="R83" s="2" t="n">
        <v>32</v>
      </c>
      <c r="S83" s="2" t="n">
        <v>4</v>
      </c>
      <c r="T83" s="2" t="s">
        <v>27</v>
      </c>
      <c r="U83" s="4" t="n">
        <f aca="false">(M83+N83+O83+P83)/L83</f>
        <v>0.0826325053784471</v>
      </c>
      <c r="V83" s="2" t="str">
        <f aca="false">IF(S83&lt;=5,"Late night (0-5)",IF(S83&lt;=11,"Morning (6-11)",IF(S83&lt;=17,"Afternoon (12-17)","Evening (18-23)")))</f>
        <v>Late night (0-5)</v>
      </c>
    </row>
    <row r="84" customFormat="false" ht="15" hidden="false" customHeight="false" outlineLevel="0" collapsed="false">
      <c r="A84" s="2" t="s">
        <v>244</v>
      </c>
      <c r="B84" s="2" t="s">
        <v>193</v>
      </c>
      <c r="C84" s="2" t="s">
        <v>36</v>
      </c>
      <c r="D84" s="3" t="n">
        <v>46000</v>
      </c>
      <c r="E84" s="2" t="s">
        <v>245</v>
      </c>
      <c r="F84" s="2" t="s">
        <v>32</v>
      </c>
      <c r="G84" s="2" t="n">
        <v>26454</v>
      </c>
      <c r="H84" s="2" t="n">
        <v>20</v>
      </c>
      <c r="I84" s="2" t="n">
        <v>185</v>
      </c>
      <c r="J84" s="2" t="n">
        <v>0</v>
      </c>
      <c r="K84" s="2" t="n">
        <v>45950</v>
      </c>
      <c r="L84" s="2" t="n">
        <v>35778</v>
      </c>
      <c r="M84" s="2" t="n">
        <v>2366</v>
      </c>
      <c r="N84" s="2" t="n">
        <v>99</v>
      </c>
      <c r="O84" s="2" t="n">
        <v>421</v>
      </c>
      <c r="P84" s="2" t="n">
        <v>391</v>
      </c>
      <c r="Q84" s="2" t="n">
        <v>471</v>
      </c>
      <c r="R84" s="2" t="n">
        <v>59</v>
      </c>
      <c r="S84" s="2" t="n">
        <v>7</v>
      </c>
      <c r="T84" s="2" t="s">
        <v>51</v>
      </c>
      <c r="U84" s="4" t="n">
        <f aca="false">(M84+N84+O84+P84)/L84</f>
        <v>0.0915925988037341</v>
      </c>
      <c r="V84" s="2" t="str">
        <f aca="false">IF(S84&lt;=5,"Late night (0-5)",IF(S84&lt;=11,"Morning (6-11)",IF(S84&lt;=17,"Afternoon (12-17)","Evening (18-23)")))</f>
        <v>Morning (6-11)</v>
      </c>
    </row>
    <row r="85" customFormat="false" ht="15" hidden="false" customHeight="false" outlineLevel="0" collapsed="false">
      <c r="A85" s="2" t="s">
        <v>246</v>
      </c>
      <c r="B85" s="2" t="s">
        <v>247</v>
      </c>
      <c r="C85" s="2" t="s">
        <v>24</v>
      </c>
      <c r="D85" s="3" t="n">
        <v>45979</v>
      </c>
      <c r="E85" s="2" t="s">
        <v>248</v>
      </c>
      <c r="F85" s="2" t="s">
        <v>38</v>
      </c>
      <c r="G85" s="2" t="n">
        <v>70847</v>
      </c>
      <c r="H85" s="2" t="n">
        <v>21</v>
      </c>
      <c r="I85" s="2" t="n">
        <v>172</v>
      </c>
      <c r="J85" s="2" t="n">
        <v>0</v>
      </c>
      <c r="K85" s="2" t="n">
        <v>167896</v>
      </c>
      <c r="L85" s="2" t="n">
        <v>104688</v>
      </c>
      <c r="M85" s="2" t="n">
        <v>4257</v>
      </c>
      <c r="N85" s="2" t="n">
        <v>271</v>
      </c>
      <c r="O85" s="2" t="n">
        <v>820</v>
      </c>
      <c r="P85" s="2" t="n">
        <v>534</v>
      </c>
      <c r="Q85" s="2" t="n">
        <v>3104</v>
      </c>
      <c r="R85" s="2" t="n">
        <v>448</v>
      </c>
      <c r="S85" s="2" t="n">
        <v>19</v>
      </c>
      <c r="T85" s="2" t="s">
        <v>51</v>
      </c>
      <c r="U85" s="4" t="n">
        <f aca="false">(M85+N85+O85+P85)/L85</f>
        <v>0.0561860003056702</v>
      </c>
      <c r="V85" s="2" t="str">
        <f aca="false">IF(S85&lt;=5,"Late night (0-5)",IF(S85&lt;=11,"Morning (6-11)",IF(S85&lt;=17,"Afternoon (12-17)","Evening (18-23)")))</f>
        <v>Evening (18-23)</v>
      </c>
    </row>
    <row r="86" customFormat="false" ht="15" hidden="false" customHeight="false" outlineLevel="0" collapsed="false">
      <c r="A86" s="2" t="s">
        <v>249</v>
      </c>
      <c r="B86" s="2" t="s">
        <v>98</v>
      </c>
      <c r="C86" s="2" t="s">
        <v>54</v>
      </c>
      <c r="D86" s="3" t="n">
        <v>45995</v>
      </c>
      <c r="E86" s="2" t="s">
        <v>250</v>
      </c>
      <c r="F86" s="2" t="s">
        <v>38</v>
      </c>
      <c r="G86" s="2" t="n">
        <v>18366</v>
      </c>
      <c r="H86" s="2" t="n">
        <v>3</v>
      </c>
      <c r="I86" s="2" t="n">
        <v>334</v>
      </c>
      <c r="J86" s="2" t="n">
        <v>0</v>
      </c>
      <c r="K86" s="2" t="n">
        <v>21493</v>
      </c>
      <c r="L86" s="2" t="n">
        <v>14885</v>
      </c>
      <c r="M86" s="2" t="n">
        <v>1231</v>
      </c>
      <c r="N86" s="2" t="n">
        <v>74</v>
      </c>
      <c r="O86" s="2" t="n">
        <v>244</v>
      </c>
      <c r="P86" s="2" t="n">
        <v>302</v>
      </c>
      <c r="Q86" s="2" t="n">
        <v>313</v>
      </c>
      <c r="R86" s="2" t="n">
        <v>59</v>
      </c>
      <c r="S86" s="2" t="n">
        <v>7</v>
      </c>
      <c r="T86" s="2" t="s">
        <v>79</v>
      </c>
      <c r="U86" s="4" t="n">
        <f aca="false">(M86+N86+O86+P86)/L86</f>
        <v>0.12435337588176</v>
      </c>
      <c r="V86" s="2" t="str">
        <f aca="false">IF(S86&lt;=5,"Late night (0-5)",IF(S86&lt;=11,"Morning (6-11)",IF(S86&lt;=17,"Afternoon (12-17)","Evening (18-23)")))</f>
        <v>Morning (6-11)</v>
      </c>
    </row>
    <row r="87" customFormat="false" ht="15" hidden="false" customHeight="false" outlineLevel="0" collapsed="false">
      <c r="A87" s="2" t="s">
        <v>251</v>
      </c>
      <c r="B87" s="2" t="s">
        <v>94</v>
      </c>
      <c r="C87" s="2" t="s">
        <v>30</v>
      </c>
      <c r="D87" s="3" t="n">
        <v>45901</v>
      </c>
      <c r="E87" s="2" t="s">
        <v>252</v>
      </c>
      <c r="F87" s="2" t="s">
        <v>38</v>
      </c>
      <c r="G87" s="2" t="n">
        <v>58559</v>
      </c>
      <c r="H87" s="2" t="n">
        <v>21</v>
      </c>
      <c r="I87" s="2" t="n">
        <v>199</v>
      </c>
      <c r="J87" s="2" t="n">
        <v>1</v>
      </c>
      <c r="K87" s="2" t="n">
        <v>56841</v>
      </c>
      <c r="L87" s="2" t="n">
        <v>32635</v>
      </c>
      <c r="M87" s="2" t="n">
        <v>1983</v>
      </c>
      <c r="N87" s="2" t="n">
        <v>54</v>
      </c>
      <c r="O87" s="2" t="n">
        <v>389</v>
      </c>
      <c r="P87" s="2" t="n">
        <v>294</v>
      </c>
      <c r="Q87" s="2" t="n">
        <v>423</v>
      </c>
      <c r="R87" s="2" t="n">
        <v>33</v>
      </c>
      <c r="S87" s="2" t="n">
        <v>18</v>
      </c>
      <c r="T87" s="2" t="s">
        <v>33</v>
      </c>
      <c r="U87" s="4" t="n">
        <f aca="false">(M87+N87+O87+P87)/L87</f>
        <v>0.0833461008120116</v>
      </c>
      <c r="V87" s="2" t="str">
        <f aca="false">IF(S87&lt;=5,"Late night (0-5)",IF(S87&lt;=11,"Morning (6-11)",IF(S87&lt;=17,"Afternoon (12-17)","Evening (18-23)")))</f>
        <v>Evening (18-23)</v>
      </c>
    </row>
    <row r="88" customFormat="false" ht="15" hidden="false" customHeight="false" outlineLevel="0" collapsed="false">
      <c r="A88" s="2" t="s">
        <v>253</v>
      </c>
      <c r="B88" s="2" t="s">
        <v>193</v>
      </c>
      <c r="C88" s="2" t="s">
        <v>36</v>
      </c>
      <c r="D88" s="3" t="n">
        <v>45876</v>
      </c>
      <c r="E88" s="2" t="s">
        <v>254</v>
      </c>
      <c r="F88" s="2" t="s">
        <v>32</v>
      </c>
      <c r="G88" s="2" t="n">
        <v>26454</v>
      </c>
      <c r="H88" s="2" t="n">
        <v>9</v>
      </c>
      <c r="I88" s="2" t="n">
        <v>183</v>
      </c>
      <c r="J88" s="2" t="n">
        <v>0</v>
      </c>
      <c r="K88" s="2" t="n">
        <v>10394</v>
      </c>
      <c r="L88" s="2" t="n">
        <v>7083</v>
      </c>
      <c r="M88" s="2" t="n">
        <v>376</v>
      </c>
      <c r="N88" s="2" t="n">
        <v>22</v>
      </c>
      <c r="O88" s="2" t="n">
        <v>88</v>
      </c>
      <c r="P88" s="2" t="n">
        <v>98</v>
      </c>
      <c r="Q88" s="2" t="n">
        <v>211</v>
      </c>
      <c r="R88" s="2" t="n">
        <v>34</v>
      </c>
      <c r="S88" s="2" t="n">
        <v>10</v>
      </c>
      <c r="T88" s="2" t="s">
        <v>79</v>
      </c>
      <c r="U88" s="4" t="n">
        <f aca="false">(M88+N88+O88+P88)/L88</f>
        <v>0.0824509388677114</v>
      </c>
      <c r="V88" s="2" t="str">
        <f aca="false">IF(S88&lt;=5,"Late night (0-5)",IF(S88&lt;=11,"Morning (6-11)",IF(S88&lt;=17,"Afternoon (12-17)","Evening (18-23)")))</f>
        <v>Morning (6-11)</v>
      </c>
    </row>
    <row r="89" customFormat="false" ht="15" hidden="false" customHeight="false" outlineLevel="0" collapsed="false">
      <c r="A89" s="2" t="s">
        <v>255</v>
      </c>
      <c r="B89" s="2" t="s">
        <v>135</v>
      </c>
      <c r="C89" s="2" t="s">
        <v>36</v>
      </c>
      <c r="D89" s="3" t="n">
        <v>45880</v>
      </c>
      <c r="E89" s="2" t="s">
        <v>256</v>
      </c>
      <c r="F89" s="2" t="s">
        <v>32</v>
      </c>
      <c r="G89" s="2" t="n">
        <v>45812</v>
      </c>
      <c r="H89" s="2" t="n">
        <v>10</v>
      </c>
      <c r="I89" s="2" t="n">
        <v>197</v>
      </c>
      <c r="J89" s="2" t="n">
        <v>1</v>
      </c>
      <c r="K89" s="2" t="n">
        <v>51285</v>
      </c>
      <c r="L89" s="2" t="n">
        <v>45532</v>
      </c>
      <c r="M89" s="2" t="n">
        <v>1719</v>
      </c>
      <c r="N89" s="2" t="n">
        <v>52</v>
      </c>
      <c r="O89" s="2" t="n">
        <v>403</v>
      </c>
      <c r="P89" s="2" t="n">
        <v>92</v>
      </c>
      <c r="Q89" s="2" t="n">
        <v>574</v>
      </c>
      <c r="R89" s="2" t="n">
        <v>109</v>
      </c>
      <c r="S89" s="2" t="n">
        <v>16</v>
      </c>
      <c r="T89" s="2" t="s">
        <v>33</v>
      </c>
      <c r="U89" s="4" t="n">
        <f aca="false">(M89+N89+O89+P89)/L89</f>
        <v>0.0497671966968286</v>
      </c>
      <c r="V89" s="2" t="str">
        <f aca="false">IF(S89&lt;=5,"Late night (0-5)",IF(S89&lt;=11,"Morning (6-11)",IF(S89&lt;=17,"Afternoon (12-17)","Evening (18-23)")))</f>
        <v>Afternoon (12-17)</v>
      </c>
    </row>
    <row r="90" customFormat="false" ht="15" hidden="false" customHeight="false" outlineLevel="0" collapsed="false">
      <c r="A90" s="2" t="s">
        <v>257</v>
      </c>
      <c r="B90" s="2" t="s">
        <v>98</v>
      </c>
      <c r="C90" s="2" t="s">
        <v>54</v>
      </c>
      <c r="D90" s="3" t="n">
        <v>45724</v>
      </c>
      <c r="E90" s="2" t="s">
        <v>258</v>
      </c>
      <c r="F90" s="2" t="s">
        <v>32</v>
      </c>
      <c r="G90" s="2" t="n">
        <v>18366</v>
      </c>
      <c r="H90" s="2" t="n">
        <v>6</v>
      </c>
      <c r="I90" s="2" t="n">
        <v>44</v>
      </c>
      <c r="J90" s="2" t="n">
        <v>1</v>
      </c>
      <c r="K90" s="2" t="n">
        <v>29236</v>
      </c>
      <c r="L90" s="2" t="n">
        <v>18880</v>
      </c>
      <c r="M90" s="2" t="n">
        <v>1089</v>
      </c>
      <c r="N90" s="2" t="n">
        <v>59</v>
      </c>
      <c r="O90" s="2" t="n">
        <v>308</v>
      </c>
      <c r="P90" s="2" t="n">
        <v>133</v>
      </c>
      <c r="Q90" s="2" t="n">
        <v>336</v>
      </c>
      <c r="R90" s="2" t="n">
        <v>84</v>
      </c>
      <c r="S90" s="2" t="n">
        <v>0</v>
      </c>
      <c r="T90" s="2" t="s">
        <v>62</v>
      </c>
      <c r="U90" s="4" t="n">
        <f aca="false">(M90+N90+O90+P90)/L90</f>
        <v>0.0841631355932203</v>
      </c>
      <c r="V90" s="2" t="str">
        <f aca="false">IF(S90&lt;=5,"Late night (0-5)",IF(S90&lt;=11,"Morning (6-11)",IF(S90&lt;=17,"Afternoon (12-17)","Evening (18-23)")))</f>
        <v>Late night (0-5)</v>
      </c>
    </row>
    <row r="91" customFormat="false" ht="15" hidden="false" customHeight="false" outlineLevel="0" collapsed="false">
      <c r="A91" s="2" t="s">
        <v>259</v>
      </c>
      <c r="B91" s="2" t="s">
        <v>68</v>
      </c>
      <c r="C91" s="2" t="s">
        <v>54</v>
      </c>
      <c r="D91" s="3" t="n">
        <v>45815</v>
      </c>
      <c r="E91" s="2" t="s">
        <v>260</v>
      </c>
      <c r="F91" s="2" t="s">
        <v>38</v>
      </c>
      <c r="G91" s="2" t="n">
        <v>35922</v>
      </c>
      <c r="H91" s="2" t="n">
        <v>6</v>
      </c>
      <c r="I91" s="2" t="n">
        <v>115</v>
      </c>
      <c r="J91" s="2" t="n">
        <v>0</v>
      </c>
      <c r="K91" s="2" t="n">
        <v>39821</v>
      </c>
      <c r="L91" s="2" t="n">
        <v>23336</v>
      </c>
      <c r="M91" s="2" t="n">
        <v>1032</v>
      </c>
      <c r="N91" s="2" t="n">
        <v>57</v>
      </c>
      <c r="O91" s="2" t="n">
        <v>58</v>
      </c>
      <c r="P91" s="2" t="n">
        <v>298</v>
      </c>
      <c r="Q91" s="2" t="n">
        <v>263</v>
      </c>
      <c r="R91" s="2" t="n">
        <v>60</v>
      </c>
      <c r="S91" s="2" t="n">
        <v>10</v>
      </c>
      <c r="T91" s="2" t="s">
        <v>62</v>
      </c>
      <c r="U91" s="4" t="n">
        <f aca="false">(M91+N91+O91+P91)/L91</f>
        <v>0.0619214946863216</v>
      </c>
      <c r="V91" s="2" t="str">
        <f aca="false">IF(S91&lt;=5,"Late night (0-5)",IF(S91&lt;=11,"Morning (6-11)",IF(S91&lt;=17,"Afternoon (12-17)","Evening (18-23)")))</f>
        <v>Morning (6-11)</v>
      </c>
    </row>
    <row r="92" customFormat="false" ht="15" hidden="false" customHeight="false" outlineLevel="0" collapsed="false">
      <c r="A92" s="2" t="s">
        <v>261</v>
      </c>
      <c r="B92" s="2" t="s">
        <v>77</v>
      </c>
      <c r="C92" s="2" t="s">
        <v>30</v>
      </c>
      <c r="D92" s="3" t="n">
        <v>45890</v>
      </c>
      <c r="E92" s="2" t="s">
        <v>262</v>
      </c>
      <c r="F92" s="2" t="s">
        <v>26</v>
      </c>
      <c r="G92" s="2" t="n">
        <v>17548</v>
      </c>
      <c r="H92" s="2" t="n">
        <v>13</v>
      </c>
      <c r="I92" s="2" t="n">
        <v>235</v>
      </c>
      <c r="J92" s="2" t="n">
        <v>1</v>
      </c>
      <c r="K92" s="2" t="n">
        <v>29135</v>
      </c>
      <c r="L92" s="2" t="n">
        <v>20809</v>
      </c>
      <c r="M92" s="2" t="n">
        <v>1306</v>
      </c>
      <c r="N92" s="2" t="n">
        <v>43</v>
      </c>
      <c r="O92" s="2" t="n">
        <v>236</v>
      </c>
      <c r="P92" s="2" t="n">
        <v>456</v>
      </c>
      <c r="Q92" s="2" t="n">
        <v>360</v>
      </c>
      <c r="R92" s="2" t="n">
        <v>58</v>
      </c>
      <c r="S92" s="2" t="n">
        <v>0</v>
      </c>
      <c r="T92" s="2" t="s">
        <v>79</v>
      </c>
      <c r="U92" s="4" t="n">
        <f aca="false">(M92+N92+O92+P92)/L92</f>
        <v>0.0980825604305829</v>
      </c>
      <c r="V92" s="2" t="str">
        <f aca="false">IF(S92&lt;=5,"Late night (0-5)",IF(S92&lt;=11,"Morning (6-11)",IF(S92&lt;=17,"Afternoon (12-17)","Evening (18-23)")))</f>
        <v>Late night (0-5)</v>
      </c>
    </row>
    <row r="93" customFormat="false" ht="15" hidden="false" customHeight="false" outlineLevel="0" collapsed="false">
      <c r="A93" s="2" t="s">
        <v>263</v>
      </c>
      <c r="B93" s="2" t="s">
        <v>264</v>
      </c>
      <c r="C93" s="2" t="s">
        <v>36</v>
      </c>
      <c r="D93" s="3" t="n">
        <v>45881</v>
      </c>
      <c r="E93" s="2" t="s">
        <v>265</v>
      </c>
      <c r="F93" s="2" t="s">
        <v>38</v>
      </c>
      <c r="G93" s="2" t="n">
        <v>22362</v>
      </c>
      <c r="H93" s="2" t="n">
        <v>8</v>
      </c>
      <c r="I93" s="2" t="n">
        <v>98</v>
      </c>
      <c r="J93" s="2" t="n">
        <v>1</v>
      </c>
      <c r="K93" s="2" t="n">
        <v>23370</v>
      </c>
      <c r="L93" s="2" t="n">
        <v>14138</v>
      </c>
      <c r="M93" s="2" t="n">
        <v>622</v>
      </c>
      <c r="N93" s="2" t="n">
        <v>48</v>
      </c>
      <c r="O93" s="2" t="n">
        <v>81</v>
      </c>
      <c r="P93" s="2" t="n">
        <v>32</v>
      </c>
      <c r="Q93" s="2" t="n">
        <v>79</v>
      </c>
      <c r="R93" s="2" t="n">
        <v>21</v>
      </c>
      <c r="S93" s="2" t="n">
        <v>15</v>
      </c>
      <c r="T93" s="2" t="s">
        <v>51</v>
      </c>
      <c r="U93" s="4" t="n">
        <f aca="false">(M93+N93+O93+P93)/L93</f>
        <v>0.0553826566699675</v>
      </c>
      <c r="V93" s="2" t="str">
        <f aca="false">IF(S93&lt;=5,"Late night (0-5)",IF(S93&lt;=11,"Morning (6-11)",IF(S93&lt;=17,"Afternoon (12-17)","Evening (18-23)")))</f>
        <v>Afternoon (12-17)</v>
      </c>
    </row>
    <row r="94" customFormat="false" ht="15" hidden="false" customHeight="false" outlineLevel="0" collapsed="false">
      <c r="A94" s="2" t="s">
        <v>266</v>
      </c>
      <c r="B94" s="2" t="s">
        <v>94</v>
      </c>
      <c r="C94" s="2" t="s">
        <v>30</v>
      </c>
      <c r="D94" s="3" t="n">
        <v>45772</v>
      </c>
      <c r="E94" s="2" t="s">
        <v>267</v>
      </c>
      <c r="F94" s="2" t="s">
        <v>32</v>
      </c>
      <c r="G94" s="2" t="n">
        <v>58559</v>
      </c>
      <c r="H94" s="2" t="n">
        <v>13</v>
      </c>
      <c r="I94" s="2" t="n">
        <v>200</v>
      </c>
      <c r="J94" s="2" t="n">
        <v>0</v>
      </c>
      <c r="K94" s="2" t="n">
        <v>90998</v>
      </c>
      <c r="L94" s="2" t="n">
        <v>79708</v>
      </c>
      <c r="M94" s="2" t="n">
        <v>7043</v>
      </c>
      <c r="N94" s="2" t="n">
        <v>185</v>
      </c>
      <c r="O94" s="2" t="n">
        <v>751</v>
      </c>
      <c r="P94" s="2" t="n">
        <v>1230</v>
      </c>
      <c r="Q94" s="2" t="n">
        <v>725</v>
      </c>
      <c r="R94" s="2" t="n">
        <v>179</v>
      </c>
      <c r="S94" s="2" t="n">
        <v>18</v>
      </c>
      <c r="T94" s="2" t="s">
        <v>96</v>
      </c>
      <c r="U94" s="4" t="n">
        <f aca="false">(M94+N94+O94+P94)/L94</f>
        <v>0.115534199829377</v>
      </c>
      <c r="V94" s="2" t="str">
        <f aca="false">IF(S94&lt;=5,"Late night (0-5)",IF(S94&lt;=11,"Morning (6-11)",IF(S94&lt;=17,"Afternoon (12-17)","Evening (18-23)")))</f>
        <v>Evening (18-23)</v>
      </c>
    </row>
    <row r="95" customFormat="false" ht="15" hidden="false" customHeight="false" outlineLevel="0" collapsed="false">
      <c r="A95" s="2" t="s">
        <v>268</v>
      </c>
      <c r="B95" s="2" t="s">
        <v>106</v>
      </c>
      <c r="C95" s="2" t="s">
        <v>91</v>
      </c>
      <c r="D95" s="3" t="n">
        <v>45953</v>
      </c>
      <c r="E95" s="2" t="s">
        <v>269</v>
      </c>
      <c r="F95" s="2" t="s">
        <v>38</v>
      </c>
      <c r="G95" s="2" t="n">
        <v>59477</v>
      </c>
      <c r="H95" s="2" t="n">
        <v>8</v>
      </c>
      <c r="I95" s="2" t="n">
        <v>126</v>
      </c>
      <c r="J95" s="2" t="n">
        <v>1</v>
      </c>
      <c r="K95" s="2" t="n">
        <v>9254</v>
      </c>
      <c r="L95" s="2" t="n">
        <v>6174</v>
      </c>
      <c r="M95" s="2" t="n">
        <v>190</v>
      </c>
      <c r="N95" s="2" t="n">
        <v>9</v>
      </c>
      <c r="O95" s="2" t="n">
        <v>32</v>
      </c>
      <c r="P95" s="2" t="n">
        <v>53</v>
      </c>
      <c r="Q95" s="2" t="n">
        <v>83</v>
      </c>
      <c r="R95" s="2" t="n">
        <v>17</v>
      </c>
      <c r="S95" s="2" t="n">
        <v>1</v>
      </c>
      <c r="T95" s="2" t="s">
        <v>79</v>
      </c>
      <c r="U95" s="4" t="n">
        <f aca="false">(M95+N95+O95+P95)/L95</f>
        <v>0.0459993521218011</v>
      </c>
      <c r="V95" s="2" t="str">
        <f aca="false">IF(S95&lt;=5,"Late night (0-5)",IF(S95&lt;=11,"Morning (6-11)",IF(S95&lt;=17,"Afternoon (12-17)","Evening (18-23)")))</f>
        <v>Late night (0-5)</v>
      </c>
    </row>
    <row r="96" customFormat="false" ht="15" hidden="false" customHeight="false" outlineLevel="0" collapsed="false">
      <c r="A96" s="2" t="s">
        <v>270</v>
      </c>
      <c r="B96" s="2" t="s">
        <v>23</v>
      </c>
      <c r="C96" s="2" t="s">
        <v>24</v>
      </c>
      <c r="D96" s="3" t="n">
        <v>45730</v>
      </c>
      <c r="E96" s="2" t="s">
        <v>271</v>
      </c>
      <c r="F96" s="2" t="s">
        <v>32</v>
      </c>
      <c r="G96" s="2" t="n">
        <v>63447</v>
      </c>
      <c r="H96" s="2" t="n">
        <v>4</v>
      </c>
      <c r="I96" s="2" t="n">
        <v>249</v>
      </c>
      <c r="J96" s="2" t="n">
        <v>1</v>
      </c>
      <c r="K96" s="2" t="n">
        <v>175003</v>
      </c>
      <c r="L96" s="2" t="n">
        <v>107241</v>
      </c>
      <c r="M96" s="2" t="n">
        <v>11410</v>
      </c>
      <c r="N96" s="2" t="n">
        <v>566</v>
      </c>
      <c r="O96" s="2" t="n">
        <v>1261</v>
      </c>
      <c r="P96" s="2" t="n">
        <v>2828</v>
      </c>
      <c r="Q96" s="2" t="n">
        <v>1130</v>
      </c>
      <c r="R96" s="2" t="n">
        <v>199</v>
      </c>
      <c r="S96" s="2" t="n">
        <v>8</v>
      </c>
      <c r="T96" s="2" t="s">
        <v>96</v>
      </c>
      <c r="U96" s="4" t="n">
        <f aca="false">(M96+N96+O96+P96)/L96</f>
        <v>0.149802780652922</v>
      </c>
      <c r="V96" s="2" t="str">
        <f aca="false">IF(S96&lt;=5,"Late night (0-5)",IF(S96&lt;=11,"Morning (6-11)",IF(S96&lt;=17,"Afternoon (12-17)","Evening (18-23)")))</f>
        <v>Morning (6-11)</v>
      </c>
    </row>
    <row r="97" customFormat="false" ht="15" hidden="false" customHeight="false" outlineLevel="0" collapsed="false">
      <c r="A97" s="2" t="s">
        <v>272</v>
      </c>
      <c r="B97" s="2" t="s">
        <v>57</v>
      </c>
      <c r="C97" s="2" t="s">
        <v>24</v>
      </c>
      <c r="D97" s="3" t="n">
        <v>45794</v>
      </c>
      <c r="E97" s="2" t="s">
        <v>273</v>
      </c>
      <c r="F97" s="2" t="s">
        <v>32</v>
      </c>
      <c r="G97" s="2" t="n">
        <v>31021</v>
      </c>
      <c r="H97" s="2" t="n">
        <v>18</v>
      </c>
      <c r="I97" s="2" t="n">
        <v>134</v>
      </c>
      <c r="J97" s="2" t="n">
        <v>0</v>
      </c>
      <c r="K97" s="2" t="n">
        <v>157229</v>
      </c>
      <c r="L97" s="2" t="n">
        <v>89125</v>
      </c>
      <c r="M97" s="2" t="n">
        <v>9490</v>
      </c>
      <c r="N97" s="2" t="n">
        <v>698</v>
      </c>
      <c r="O97" s="2" t="n">
        <v>748</v>
      </c>
      <c r="P97" s="2" t="n">
        <v>2558</v>
      </c>
      <c r="Q97" s="2" t="n">
        <v>2314</v>
      </c>
      <c r="R97" s="2" t="n">
        <v>619</v>
      </c>
      <c r="S97" s="2" t="n">
        <v>8</v>
      </c>
      <c r="T97" s="2" t="s">
        <v>62</v>
      </c>
      <c r="U97" s="4" t="n">
        <f aca="false">(M97+N97+O97+P97)/L97</f>
        <v>0.151405329593268</v>
      </c>
      <c r="V97" s="2" t="str">
        <f aca="false">IF(S97&lt;=5,"Late night (0-5)",IF(S97&lt;=11,"Morning (6-11)",IF(S97&lt;=17,"Afternoon (12-17)","Evening (18-23)")))</f>
        <v>Morning (6-11)</v>
      </c>
    </row>
    <row r="98" customFormat="false" ht="15" hidden="false" customHeight="false" outlineLevel="0" collapsed="false">
      <c r="A98" s="2" t="s">
        <v>274</v>
      </c>
      <c r="B98" s="2" t="s">
        <v>103</v>
      </c>
      <c r="C98" s="2" t="s">
        <v>36</v>
      </c>
      <c r="D98" s="3" t="n">
        <v>45784</v>
      </c>
      <c r="E98" s="2" t="s">
        <v>275</v>
      </c>
      <c r="F98" s="2" t="s">
        <v>26</v>
      </c>
      <c r="G98" s="2" t="n">
        <v>56979</v>
      </c>
      <c r="H98" s="2" t="n">
        <v>9</v>
      </c>
      <c r="I98" s="2" t="n">
        <v>123</v>
      </c>
      <c r="J98" s="2" t="n">
        <v>0</v>
      </c>
      <c r="K98" s="2" t="n">
        <v>51328</v>
      </c>
      <c r="L98" s="2" t="n">
        <v>30354</v>
      </c>
      <c r="M98" s="2" t="n">
        <v>2541</v>
      </c>
      <c r="N98" s="2" t="n">
        <v>117</v>
      </c>
      <c r="O98" s="2" t="n">
        <v>407</v>
      </c>
      <c r="P98" s="2" t="n">
        <v>895</v>
      </c>
      <c r="Q98" s="2" t="n">
        <v>385</v>
      </c>
      <c r="R98" s="2" t="n">
        <v>108</v>
      </c>
      <c r="S98" s="2" t="n">
        <v>14</v>
      </c>
      <c r="T98" s="2" t="s">
        <v>66</v>
      </c>
      <c r="U98" s="4" t="n">
        <f aca="false">(M98+N98+O98+P98)/L98</f>
        <v>0.130460565329116</v>
      </c>
      <c r="V98" s="2" t="str">
        <f aca="false">IF(S98&lt;=5,"Late night (0-5)",IF(S98&lt;=11,"Morning (6-11)",IF(S98&lt;=17,"Afternoon (12-17)","Evening (18-23)")))</f>
        <v>Afternoon (12-17)</v>
      </c>
    </row>
    <row r="99" customFormat="false" ht="15" hidden="false" customHeight="false" outlineLevel="0" collapsed="false">
      <c r="A99" s="2" t="s">
        <v>276</v>
      </c>
      <c r="B99" s="2" t="s">
        <v>40</v>
      </c>
      <c r="C99" s="2" t="s">
        <v>41</v>
      </c>
      <c r="D99" s="3" t="n">
        <v>45806</v>
      </c>
      <c r="E99" s="2" t="s">
        <v>277</v>
      </c>
      <c r="F99" s="2" t="s">
        <v>50</v>
      </c>
      <c r="G99" s="2" t="n">
        <v>23051</v>
      </c>
      <c r="H99" s="2" t="n">
        <v>12</v>
      </c>
      <c r="I99" s="2" t="n">
        <v>319</v>
      </c>
      <c r="J99" s="2" t="n">
        <v>0</v>
      </c>
      <c r="K99" s="2" t="n">
        <v>20250</v>
      </c>
      <c r="L99" s="2" t="n">
        <v>16146</v>
      </c>
      <c r="M99" s="2" t="n">
        <v>850</v>
      </c>
      <c r="N99" s="2" t="n">
        <v>65</v>
      </c>
      <c r="O99" s="2" t="n">
        <v>137</v>
      </c>
      <c r="P99" s="2" t="n">
        <v>219</v>
      </c>
      <c r="Q99" s="2" t="n">
        <v>435</v>
      </c>
      <c r="R99" s="2" t="n">
        <v>40</v>
      </c>
      <c r="S99" s="2" t="n">
        <v>23</v>
      </c>
      <c r="T99" s="2" t="s">
        <v>79</v>
      </c>
      <c r="U99" s="4" t="n">
        <f aca="false">(M99+N99+O99+P99)/L99</f>
        <v>0.0787191874148396</v>
      </c>
      <c r="V99" s="2" t="str">
        <f aca="false">IF(S99&lt;=5,"Late night (0-5)",IF(S99&lt;=11,"Morning (6-11)",IF(S99&lt;=17,"Afternoon (12-17)","Evening (18-23)")))</f>
        <v>Evening (18-23)</v>
      </c>
    </row>
    <row r="100" customFormat="false" ht="15" hidden="false" customHeight="false" outlineLevel="0" collapsed="false">
      <c r="A100" s="2" t="s">
        <v>278</v>
      </c>
      <c r="B100" s="2" t="s">
        <v>188</v>
      </c>
      <c r="C100" s="2" t="s">
        <v>30</v>
      </c>
      <c r="D100" s="3" t="n">
        <v>45882</v>
      </c>
      <c r="E100" s="2" t="s">
        <v>279</v>
      </c>
      <c r="F100" s="2" t="s">
        <v>32</v>
      </c>
      <c r="G100" s="2" t="n">
        <v>38900</v>
      </c>
      <c r="H100" s="2" t="n">
        <v>13</v>
      </c>
      <c r="I100" s="2" t="n">
        <v>318</v>
      </c>
      <c r="J100" s="2" t="n">
        <v>0</v>
      </c>
      <c r="K100" s="2" t="n">
        <v>28223</v>
      </c>
      <c r="L100" s="2" t="n">
        <v>19761</v>
      </c>
      <c r="M100" s="2" t="n">
        <v>2098</v>
      </c>
      <c r="N100" s="2" t="n">
        <v>88</v>
      </c>
      <c r="O100" s="2" t="n">
        <v>311</v>
      </c>
      <c r="P100" s="2" t="n">
        <v>414</v>
      </c>
      <c r="Q100" s="2" t="n">
        <v>311</v>
      </c>
      <c r="R100" s="2" t="n">
        <v>58</v>
      </c>
      <c r="S100" s="2" t="n">
        <v>1</v>
      </c>
      <c r="T100" s="2" t="s">
        <v>66</v>
      </c>
      <c r="U100" s="4" t="n">
        <f aca="false">(M100+N100+O100+P100)/L100</f>
        <v>0.147310358787511</v>
      </c>
      <c r="V100" s="2" t="str">
        <f aca="false">IF(S100&lt;=5,"Late night (0-5)",IF(S100&lt;=11,"Morning (6-11)",IF(S100&lt;=17,"Afternoon (12-17)","Evening (18-23)")))</f>
        <v>Late night (0-5)</v>
      </c>
    </row>
    <row r="101" customFormat="false" ht="15" hidden="false" customHeight="false" outlineLevel="0" collapsed="false">
      <c r="A101" s="2" t="s">
        <v>280</v>
      </c>
      <c r="B101" s="2" t="s">
        <v>181</v>
      </c>
      <c r="C101" s="2" t="s">
        <v>91</v>
      </c>
      <c r="D101" s="3" t="n">
        <v>45804</v>
      </c>
      <c r="E101" s="2" t="s">
        <v>281</v>
      </c>
      <c r="F101" s="2" t="s">
        <v>32</v>
      </c>
      <c r="G101" s="2" t="n">
        <v>31658</v>
      </c>
      <c r="H101" s="2" t="n">
        <v>15</v>
      </c>
      <c r="I101" s="2" t="n">
        <v>170</v>
      </c>
      <c r="J101" s="2" t="n">
        <v>0</v>
      </c>
      <c r="K101" s="2" t="n">
        <v>25689</v>
      </c>
      <c r="L101" s="2" t="n">
        <v>20437</v>
      </c>
      <c r="M101" s="2" t="n">
        <v>1301</v>
      </c>
      <c r="N101" s="2" t="n">
        <v>99</v>
      </c>
      <c r="O101" s="2" t="n">
        <v>340</v>
      </c>
      <c r="P101" s="2" t="n">
        <v>205</v>
      </c>
      <c r="Q101" s="2" t="n">
        <v>602</v>
      </c>
      <c r="R101" s="2" t="n">
        <v>99</v>
      </c>
      <c r="S101" s="2" t="n">
        <v>0</v>
      </c>
      <c r="T101" s="2" t="s">
        <v>51</v>
      </c>
      <c r="U101" s="4" t="n">
        <f aca="false">(M101+N101+O101+P101)/L101</f>
        <v>0.095170524049518</v>
      </c>
      <c r="V101" s="2" t="str">
        <f aca="false">IF(S101&lt;=5,"Late night (0-5)",IF(S101&lt;=11,"Morning (6-11)",IF(S101&lt;=17,"Afternoon (12-17)","Evening (18-23)")))</f>
        <v>Late night (0-5)</v>
      </c>
    </row>
    <row r="102" customFormat="false" ht="15" hidden="false" customHeight="false" outlineLevel="0" collapsed="false">
      <c r="A102" s="2" t="s">
        <v>282</v>
      </c>
      <c r="B102" s="2" t="s">
        <v>83</v>
      </c>
      <c r="C102" s="2" t="s">
        <v>84</v>
      </c>
      <c r="D102" s="3" t="n">
        <v>45682</v>
      </c>
      <c r="E102" s="2" t="s">
        <v>31</v>
      </c>
      <c r="F102" s="2" t="s">
        <v>50</v>
      </c>
      <c r="G102" s="2" t="n">
        <v>17918</v>
      </c>
      <c r="H102" s="2" t="n">
        <v>7</v>
      </c>
      <c r="I102" s="2" t="n">
        <v>180</v>
      </c>
      <c r="J102" s="2" t="n">
        <v>0</v>
      </c>
      <c r="K102" s="2" t="n">
        <v>15757</v>
      </c>
      <c r="L102" s="2" t="n">
        <v>11561</v>
      </c>
      <c r="M102" s="2" t="n">
        <v>643</v>
      </c>
      <c r="N102" s="2" t="n">
        <v>49</v>
      </c>
      <c r="O102" s="2" t="n">
        <v>88</v>
      </c>
      <c r="P102" s="2" t="n">
        <v>75</v>
      </c>
      <c r="Q102" s="2" t="n">
        <v>243</v>
      </c>
      <c r="R102" s="2" t="n">
        <v>69</v>
      </c>
      <c r="S102" s="2" t="n">
        <v>12</v>
      </c>
      <c r="T102" s="2" t="s">
        <v>62</v>
      </c>
      <c r="U102" s="4" t="n">
        <f aca="false">(M102+N102+O102+P102)/L102</f>
        <v>0.0739555401781853</v>
      </c>
      <c r="V102" s="2" t="str">
        <f aca="false">IF(S102&lt;=5,"Late night (0-5)",IF(S102&lt;=11,"Morning (6-11)",IF(S102&lt;=17,"Afternoon (12-17)","Evening (18-23)")))</f>
        <v>Afternoon (12-17)</v>
      </c>
    </row>
    <row r="103" customFormat="false" ht="15" hidden="false" customHeight="false" outlineLevel="0" collapsed="false">
      <c r="A103" s="2" t="s">
        <v>283</v>
      </c>
      <c r="B103" s="2" t="s">
        <v>47</v>
      </c>
      <c r="C103" s="2" t="s">
        <v>48</v>
      </c>
      <c r="D103" s="3" t="n">
        <v>45908</v>
      </c>
      <c r="E103" s="2" t="s">
        <v>284</v>
      </c>
      <c r="F103" s="2" t="s">
        <v>32</v>
      </c>
      <c r="G103" s="2" t="n">
        <v>19609</v>
      </c>
      <c r="H103" s="2" t="n">
        <v>7</v>
      </c>
      <c r="I103" s="2" t="n">
        <v>98</v>
      </c>
      <c r="J103" s="2" t="n">
        <v>0</v>
      </c>
      <c r="K103" s="2" t="n">
        <v>19854</v>
      </c>
      <c r="L103" s="2" t="n">
        <v>12214</v>
      </c>
      <c r="M103" s="2" t="n">
        <v>1166</v>
      </c>
      <c r="N103" s="2" t="n">
        <v>76</v>
      </c>
      <c r="O103" s="2" t="n">
        <v>166</v>
      </c>
      <c r="P103" s="2" t="n">
        <v>245</v>
      </c>
      <c r="Q103" s="2" t="n">
        <v>322</v>
      </c>
      <c r="R103" s="2" t="n">
        <v>28</v>
      </c>
      <c r="S103" s="2" t="n">
        <v>23</v>
      </c>
      <c r="T103" s="2" t="s">
        <v>33</v>
      </c>
      <c r="U103" s="4" t="n">
        <f aca="false">(M103+N103+O103+P103)/L103</f>
        <v>0.135336499099394</v>
      </c>
      <c r="V103" s="2" t="str">
        <f aca="false">IF(S103&lt;=5,"Late night (0-5)",IF(S103&lt;=11,"Morning (6-11)",IF(S103&lt;=17,"Afternoon (12-17)","Evening (18-23)")))</f>
        <v>Evening (18-23)</v>
      </c>
    </row>
    <row r="104" customFormat="false" ht="15" hidden="false" customHeight="false" outlineLevel="0" collapsed="false">
      <c r="A104" s="2" t="s">
        <v>285</v>
      </c>
      <c r="B104" s="2" t="s">
        <v>220</v>
      </c>
      <c r="C104" s="2" t="s">
        <v>48</v>
      </c>
      <c r="D104" s="3" t="n">
        <v>46019</v>
      </c>
      <c r="E104" s="2" t="s">
        <v>284</v>
      </c>
      <c r="F104" s="2" t="s">
        <v>38</v>
      </c>
      <c r="G104" s="2" t="n">
        <v>18917</v>
      </c>
      <c r="H104" s="2" t="n">
        <v>15</v>
      </c>
      <c r="I104" s="2" t="n">
        <v>192</v>
      </c>
      <c r="J104" s="2" t="n">
        <v>0</v>
      </c>
      <c r="K104" s="2" t="n">
        <v>24627</v>
      </c>
      <c r="L104" s="2" t="n">
        <v>14359</v>
      </c>
      <c r="M104" s="2" t="n">
        <v>1028</v>
      </c>
      <c r="N104" s="2" t="n">
        <v>73</v>
      </c>
      <c r="O104" s="2" t="n">
        <v>93</v>
      </c>
      <c r="P104" s="2" t="n">
        <v>91</v>
      </c>
      <c r="Q104" s="2" t="n">
        <v>202</v>
      </c>
      <c r="R104" s="2" t="n">
        <v>51</v>
      </c>
      <c r="S104" s="2" t="n">
        <v>23</v>
      </c>
      <c r="T104" s="2" t="s">
        <v>27</v>
      </c>
      <c r="U104" s="4" t="n">
        <f aca="false">(M104+N104+O104+P104)/L104</f>
        <v>0.0894909116233721</v>
      </c>
      <c r="V104" s="2" t="str">
        <f aca="false">IF(S104&lt;=5,"Late night (0-5)",IF(S104&lt;=11,"Morning (6-11)",IF(S104&lt;=17,"Afternoon (12-17)","Evening (18-23)")))</f>
        <v>Evening (18-23)</v>
      </c>
    </row>
    <row r="105" customFormat="false" ht="15" hidden="false" customHeight="false" outlineLevel="0" collapsed="false">
      <c r="A105" s="2" t="s">
        <v>286</v>
      </c>
      <c r="B105" s="2" t="s">
        <v>126</v>
      </c>
      <c r="C105" s="2" t="s">
        <v>36</v>
      </c>
      <c r="D105" s="3" t="n">
        <v>45751</v>
      </c>
      <c r="E105" s="2" t="s">
        <v>287</v>
      </c>
      <c r="F105" s="2" t="s">
        <v>26</v>
      </c>
      <c r="G105" s="2" t="n">
        <v>28784</v>
      </c>
      <c r="H105" s="2" t="n">
        <v>8</v>
      </c>
      <c r="I105" s="2" t="n">
        <v>236</v>
      </c>
      <c r="J105" s="2" t="n">
        <v>0</v>
      </c>
      <c r="K105" s="2" t="n">
        <v>13434</v>
      </c>
      <c r="L105" s="2" t="n">
        <v>11011</v>
      </c>
      <c r="M105" s="2" t="n">
        <v>370</v>
      </c>
      <c r="N105" s="2" t="n">
        <v>21</v>
      </c>
      <c r="O105" s="2" t="n">
        <v>48</v>
      </c>
      <c r="P105" s="2" t="n">
        <v>149</v>
      </c>
      <c r="Q105" s="2" t="n">
        <v>304</v>
      </c>
      <c r="R105" s="2" t="n">
        <v>72</v>
      </c>
      <c r="S105" s="2" t="n">
        <v>23</v>
      </c>
      <c r="T105" s="2" t="s">
        <v>96</v>
      </c>
      <c r="U105" s="4" t="n">
        <f aca="false">(M105+N105+O105+P105)/L105</f>
        <v>0.0534011443102352</v>
      </c>
      <c r="V105" s="2" t="str">
        <f aca="false">IF(S105&lt;=5,"Late night (0-5)",IF(S105&lt;=11,"Morning (6-11)",IF(S105&lt;=17,"Afternoon (12-17)","Evening (18-23)")))</f>
        <v>Evening (18-23)</v>
      </c>
    </row>
    <row r="106" customFormat="false" ht="15" hidden="false" customHeight="false" outlineLevel="0" collapsed="false">
      <c r="A106" s="2" t="s">
        <v>288</v>
      </c>
      <c r="B106" s="2" t="s">
        <v>98</v>
      </c>
      <c r="C106" s="2" t="s">
        <v>54</v>
      </c>
      <c r="D106" s="3" t="n">
        <v>45941</v>
      </c>
      <c r="E106" s="2" t="s">
        <v>289</v>
      </c>
      <c r="F106" s="2" t="s">
        <v>32</v>
      </c>
      <c r="G106" s="2" t="n">
        <v>18366</v>
      </c>
      <c r="H106" s="2" t="n">
        <v>18</v>
      </c>
      <c r="I106" s="2" t="n">
        <v>128</v>
      </c>
      <c r="J106" s="2" t="n">
        <v>0</v>
      </c>
      <c r="K106" s="2" t="n">
        <v>24531</v>
      </c>
      <c r="L106" s="2" t="n">
        <v>17729</v>
      </c>
      <c r="M106" s="2" t="n">
        <v>1743</v>
      </c>
      <c r="N106" s="2" t="n">
        <v>108</v>
      </c>
      <c r="O106" s="2" t="n">
        <v>115</v>
      </c>
      <c r="P106" s="2" t="n">
        <v>156</v>
      </c>
      <c r="Q106" s="2" t="n">
        <v>262</v>
      </c>
      <c r="R106" s="2" t="n">
        <v>19</v>
      </c>
      <c r="S106" s="2" t="n">
        <v>12</v>
      </c>
      <c r="T106" s="2" t="s">
        <v>62</v>
      </c>
      <c r="U106" s="4" t="n">
        <f aca="false">(M106+N106+O106+P106)/L106</f>
        <v>0.119690901912121</v>
      </c>
      <c r="V106" s="2" t="str">
        <f aca="false">IF(S106&lt;=5,"Late night (0-5)",IF(S106&lt;=11,"Morning (6-11)",IF(S106&lt;=17,"Afternoon (12-17)","Evening (18-23)")))</f>
        <v>Afternoon (12-17)</v>
      </c>
    </row>
    <row r="107" customFormat="false" ht="15" hidden="false" customHeight="false" outlineLevel="0" collapsed="false">
      <c r="A107" s="2" t="s">
        <v>290</v>
      </c>
      <c r="B107" s="2" t="s">
        <v>151</v>
      </c>
      <c r="C107" s="2" t="s">
        <v>36</v>
      </c>
      <c r="D107" s="3" t="n">
        <v>46012</v>
      </c>
      <c r="E107" s="2" t="s">
        <v>291</v>
      </c>
      <c r="F107" s="2" t="s">
        <v>26</v>
      </c>
      <c r="G107" s="2" t="n">
        <v>19247</v>
      </c>
      <c r="H107" s="2" t="n">
        <v>20</v>
      </c>
      <c r="I107" s="2" t="n">
        <v>310</v>
      </c>
      <c r="J107" s="2" t="n">
        <v>0</v>
      </c>
      <c r="K107" s="2" t="n">
        <v>9761</v>
      </c>
      <c r="L107" s="2" t="n">
        <v>8069</v>
      </c>
      <c r="M107" s="2" t="n">
        <v>511</v>
      </c>
      <c r="N107" s="2" t="n">
        <v>13</v>
      </c>
      <c r="O107" s="2" t="n">
        <v>44</v>
      </c>
      <c r="P107" s="2" t="n">
        <v>102</v>
      </c>
      <c r="Q107" s="2" t="n">
        <v>218</v>
      </c>
      <c r="R107" s="2" t="n">
        <v>33</v>
      </c>
      <c r="S107" s="2" t="n">
        <v>4</v>
      </c>
      <c r="T107" s="2" t="s">
        <v>27</v>
      </c>
      <c r="U107" s="4" t="n">
        <f aca="false">(M107+N107+O107+P107)/L107</f>
        <v>0.0830338331887471</v>
      </c>
      <c r="V107" s="2" t="str">
        <f aca="false">IF(S107&lt;=5,"Late night (0-5)",IF(S107&lt;=11,"Morning (6-11)",IF(S107&lt;=17,"Afternoon (12-17)","Evening (18-23)")))</f>
        <v>Late night (0-5)</v>
      </c>
    </row>
    <row r="108" customFormat="false" ht="15" hidden="false" customHeight="false" outlineLevel="0" collapsed="false">
      <c r="A108" s="2" t="s">
        <v>292</v>
      </c>
      <c r="B108" s="2" t="s">
        <v>135</v>
      </c>
      <c r="C108" s="2" t="s">
        <v>36</v>
      </c>
      <c r="D108" s="3" t="n">
        <v>45742</v>
      </c>
      <c r="E108" s="2" t="s">
        <v>293</v>
      </c>
      <c r="F108" s="2" t="s">
        <v>32</v>
      </c>
      <c r="G108" s="2" t="n">
        <v>45812</v>
      </c>
      <c r="H108" s="2" t="n">
        <v>9</v>
      </c>
      <c r="I108" s="2" t="n">
        <v>232</v>
      </c>
      <c r="J108" s="2" t="n">
        <v>0</v>
      </c>
      <c r="K108" s="2" t="n">
        <v>89214</v>
      </c>
      <c r="L108" s="2" t="n">
        <v>70017</v>
      </c>
      <c r="M108" s="2" t="n">
        <v>5373</v>
      </c>
      <c r="N108" s="2" t="n">
        <v>263</v>
      </c>
      <c r="O108" s="2" t="n">
        <v>821</v>
      </c>
      <c r="P108" s="2" t="n">
        <v>1590</v>
      </c>
      <c r="Q108" s="2" t="n">
        <v>2093</v>
      </c>
      <c r="R108" s="2" t="n">
        <v>398</v>
      </c>
      <c r="S108" s="2" t="n">
        <v>10</v>
      </c>
      <c r="T108" s="2" t="s">
        <v>66</v>
      </c>
      <c r="U108" s="4" t="n">
        <f aca="false">(M108+N108+O108+P108)/L108</f>
        <v>0.114929231472357</v>
      </c>
      <c r="V108" s="2" t="str">
        <f aca="false">IF(S108&lt;=5,"Late night (0-5)",IF(S108&lt;=11,"Morning (6-11)",IF(S108&lt;=17,"Afternoon (12-17)","Evening (18-23)")))</f>
        <v>Morning (6-11)</v>
      </c>
    </row>
    <row r="109" customFormat="false" ht="15" hidden="false" customHeight="false" outlineLevel="0" collapsed="false">
      <c r="A109" s="2" t="s">
        <v>294</v>
      </c>
      <c r="B109" s="2" t="s">
        <v>243</v>
      </c>
      <c r="C109" s="2" t="s">
        <v>91</v>
      </c>
      <c r="D109" s="3" t="n">
        <v>45822</v>
      </c>
      <c r="E109" s="2" t="s">
        <v>295</v>
      </c>
      <c r="F109" s="2" t="s">
        <v>38</v>
      </c>
      <c r="G109" s="2" t="n">
        <v>42046</v>
      </c>
      <c r="H109" s="2" t="n">
        <v>9</v>
      </c>
      <c r="I109" s="2" t="n">
        <v>148</v>
      </c>
      <c r="J109" s="2" t="n">
        <v>1</v>
      </c>
      <c r="K109" s="2" t="n">
        <v>16397</v>
      </c>
      <c r="L109" s="2" t="n">
        <v>9173</v>
      </c>
      <c r="M109" s="2" t="n">
        <v>414</v>
      </c>
      <c r="N109" s="2" t="n">
        <v>27</v>
      </c>
      <c r="O109" s="2" t="n">
        <v>54</v>
      </c>
      <c r="P109" s="2" t="n">
        <v>48</v>
      </c>
      <c r="Q109" s="2" t="n">
        <v>113</v>
      </c>
      <c r="R109" s="2" t="n">
        <v>26</v>
      </c>
      <c r="S109" s="2" t="n">
        <v>4</v>
      </c>
      <c r="T109" s="2" t="s">
        <v>62</v>
      </c>
      <c r="U109" s="4" t="n">
        <f aca="false">(M109+N109+O109+P109)/L109</f>
        <v>0.0591954649514881</v>
      </c>
      <c r="V109" s="2" t="str">
        <f aca="false">IF(S109&lt;=5,"Late night (0-5)",IF(S109&lt;=11,"Morning (6-11)",IF(S109&lt;=17,"Afternoon (12-17)","Evening (18-23)")))</f>
        <v>Late night (0-5)</v>
      </c>
    </row>
    <row r="110" customFormat="false" ht="15" hidden="false" customHeight="false" outlineLevel="0" collapsed="false">
      <c r="A110" s="2" t="s">
        <v>296</v>
      </c>
      <c r="B110" s="2" t="s">
        <v>64</v>
      </c>
      <c r="C110" s="2" t="s">
        <v>36</v>
      </c>
      <c r="D110" s="3" t="n">
        <v>45989</v>
      </c>
      <c r="E110" s="2" t="s">
        <v>297</v>
      </c>
      <c r="F110" s="2" t="s">
        <v>38</v>
      </c>
      <c r="G110" s="2" t="n">
        <v>43781</v>
      </c>
      <c r="H110" s="2" t="n">
        <v>13</v>
      </c>
      <c r="I110" s="2" t="n">
        <v>135</v>
      </c>
      <c r="J110" s="2" t="n">
        <v>0</v>
      </c>
      <c r="K110" s="2" t="n">
        <v>10794</v>
      </c>
      <c r="L110" s="2" t="n">
        <v>8305</v>
      </c>
      <c r="M110" s="2" t="n">
        <v>541</v>
      </c>
      <c r="N110" s="2" t="n">
        <v>18</v>
      </c>
      <c r="O110" s="2" t="n">
        <v>61</v>
      </c>
      <c r="P110" s="2" t="n">
        <v>72</v>
      </c>
      <c r="Q110" s="2" t="n">
        <v>170</v>
      </c>
      <c r="R110" s="2" t="n">
        <v>40</v>
      </c>
      <c r="S110" s="2" t="n">
        <v>2</v>
      </c>
      <c r="T110" s="2" t="s">
        <v>96</v>
      </c>
      <c r="U110" s="4" t="n">
        <f aca="false">(M110+N110+O110+P110)/L110</f>
        <v>0.083323299217339</v>
      </c>
      <c r="V110" s="2" t="str">
        <f aca="false">IF(S110&lt;=5,"Late night (0-5)",IF(S110&lt;=11,"Morning (6-11)",IF(S110&lt;=17,"Afternoon (12-17)","Evening (18-23)")))</f>
        <v>Late night (0-5)</v>
      </c>
    </row>
    <row r="111" customFormat="false" ht="15" hidden="false" customHeight="false" outlineLevel="0" collapsed="false">
      <c r="A111" s="2" t="s">
        <v>298</v>
      </c>
      <c r="B111" s="2" t="s">
        <v>181</v>
      </c>
      <c r="C111" s="2" t="s">
        <v>91</v>
      </c>
      <c r="D111" s="3" t="n">
        <v>45818</v>
      </c>
      <c r="E111" s="2" t="s">
        <v>299</v>
      </c>
      <c r="F111" s="2" t="s">
        <v>38</v>
      </c>
      <c r="G111" s="2" t="n">
        <v>31658</v>
      </c>
      <c r="H111" s="2" t="n">
        <v>13</v>
      </c>
      <c r="I111" s="2" t="n">
        <v>38</v>
      </c>
      <c r="J111" s="2" t="n">
        <v>1</v>
      </c>
      <c r="K111" s="2" t="n">
        <v>12934</v>
      </c>
      <c r="L111" s="2" t="n">
        <v>10722</v>
      </c>
      <c r="M111" s="2" t="n">
        <v>851</v>
      </c>
      <c r="N111" s="2" t="n">
        <v>30</v>
      </c>
      <c r="O111" s="2" t="n">
        <v>103</v>
      </c>
      <c r="P111" s="2" t="n">
        <v>98</v>
      </c>
      <c r="Q111" s="2" t="n">
        <v>67</v>
      </c>
      <c r="R111" s="2" t="n">
        <v>12</v>
      </c>
      <c r="S111" s="2" t="n">
        <v>14</v>
      </c>
      <c r="T111" s="2" t="s">
        <v>51</v>
      </c>
      <c r="U111" s="4" t="n">
        <f aca="false">(M111+N111+O111+P111)/L111</f>
        <v>0.100914008580489</v>
      </c>
      <c r="V111" s="2" t="str">
        <f aca="false">IF(S111&lt;=5,"Late night (0-5)",IF(S111&lt;=11,"Morning (6-11)",IF(S111&lt;=17,"Afternoon (12-17)","Evening (18-23)")))</f>
        <v>Afternoon (12-17)</v>
      </c>
    </row>
    <row r="112" customFormat="false" ht="15" hidden="false" customHeight="false" outlineLevel="0" collapsed="false">
      <c r="A112" s="2" t="s">
        <v>300</v>
      </c>
      <c r="B112" s="2" t="s">
        <v>154</v>
      </c>
      <c r="C112" s="2" t="s">
        <v>41</v>
      </c>
      <c r="D112" s="3" t="n">
        <v>45937</v>
      </c>
      <c r="E112" s="2" t="s">
        <v>301</v>
      </c>
      <c r="F112" s="2" t="s">
        <v>38</v>
      </c>
      <c r="G112" s="2" t="n">
        <v>33644</v>
      </c>
      <c r="H112" s="2" t="n">
        <v>4</v>
      </c>
      <c r="I112" s="2" t="n">
        <v>319</v>
      </c>
      <c r="J112" s="2" t="n">
        <v>0</v>
      </c>
      <c r="K112" s="2" t="n">
        <v>20629</v>
      </c>
      <c r="L112" s="2" t="n">
        <v>13206</v>
      </c>
      <c r="M112" s="2" t="n">
        <v>552</v>
      </c>
      <c r="N112" s="2" t="n">
        <v>13</v>
      </c>
      <c r="O112" s="2" t="n">
        <v>38</v>
      </c>
      <c r="P112" s="2" t="n">
        <v>160</v>
      </c>
      <c r="Q112" s="2" t="n">
        <v>383</v>
      </c>
      <c r="R112" s="2" t="n">
        <v>55</v>
      </c>
      <c r="S112" s="2" t="n">
        <v>16</v>
      </c>
      <c r="T112" s="2" t="s">
        <v>51</v>
      </c>
      <c r="U112" s="4" t="n">
        <f aca="false">(M112+N112+O112+P112)/L112</f>
        <v>0.0577767681356959</v>
      </c>
      <c r="V112" s="2" t="str">
        <f aca="false">IF(S112&lt;=5,"Late night (0-5)",IF(S112&lt;=11,"Morning (6-11)",IF(S112&lt;=17,"Afternoon (12-17)","Evening (18-23)")))</f>
        <v>Afternoon (12-17)</v>
      </c>
    </row>
    <row r="113" customFormat="false" ht="15" hidden="false" customHeight="false" outlineLevel="0" collapsed="false">
      <c r="A113" s="2" t="s">
        <v>302</v>
      </c>
      <c r="B113" s="2" t="s">
        <v>247</v>
      </c>
      <c r="C113" s="2" t="s">
        <v>24</v>
      </c>
      <c r="D113" s="3" t="n">
        <v>45897</v>
      </c>
      <c r="E113" s="2" t="s">
        <v>303</v>
      </c>
      <c r="F113" s="2" t="s">
        <v>32</v>
      </c>
      <c r="G113" s="2" t="n">
        <v>70847</v>
      </c>
      <c r="H113" s="2" t="n">
        <v>10</v>
      </c>
      <c r="I113" s="2" t="n">
        <v>165</v>
      </c>
      <c r="J113" s="2" t="n">
        <v>0</v>
      </c>
      <c r="K113" s="2" t="n">
        <v>310995</v>
      </c>
      <c r="L113" s="2" t="n">
        <v>211708</v>
      </c>
      <c r="M113" s="2" t="n">
        <v>8372</v>
      </c>
      <c r="N113" s="2" t="n">
        <v>200</v>
      </c>
      <c r="O113" s="2" t="n">
        <v>1262</v>
      </c>
      <c r="P113" s="2" t="n">
        <v>1119</v>
      </c>
      <c r="Q113" s="2" t="n">
        <v>4317</v>
      </c>
      <c r="R113" s="2" t="n">
        <v>256</v>
      </c>
      <c r="S113" s="2" t="n">
        <v>19</v>
      </c>
      <c r="T113" s="2" t="s">
        <v>79</v>
      </c>
      <c r="U113" s="4" t="n">
        <f aca="false">(M113+N113+O113+P113)/L113</f>
        <v>0.0517363538458632</v>
      </c>
      <c r="V113" s="2" t="str">
        <f aca="false">IF(S113&lt;=5,"Late night (0-5)",IF(S113&lt;=11,"Morning (6-11)",IF(S113&lt;=17,"Afternoon (12-17)","Evening (18-23)")))</f>
        <v>Evening (18-23)</v>
      </c>
    </row>
    <row r="114" customFormat="false" ht="15" hidden="false" customHeight="false" outlineLevel="0" collapsed="false">
      <c r="A114" s="2" t="s">
        <v>304</v>
      </c>
      <c r="B114" s="2" t="s">
        <v>103</v>
      </c>
      <c r="C114" s="2" t="s">
        <v>36</v>
      </c>
      <c r="D114" s="3" t="n">
        <v>45695</v>
      </c>
      <c r="E114" s="2" t="s">
        <v>305</v>
      </c>
      <c r="F114" s="2" t="s">
        <v>38</v>
      </c>
      <c r="G114" s="2" t="n">
        <v>56979</v>
      </c>
      <c r="H114" s="2" t="n">
        <v>8</v>
      </c>
      <c r="I114" s="2" t="n">
        <v>116</v>
      </c>
      <c r="J114" s="2" t="n">
        <v>1</v>
      </c>
      <c r="K114" s="2" t="n">
        <v>55183</v>
      </c>
      <c r="L114" s="2" t="n">
        <v>35915</v>
      </c>
      <c r="M114" s="2" t="n">
        <v>2868</v>
      </c>
      <c r="N114" s="2" t="n">
        <v>61</v>
      </c>
      <c r="O114" s="2" t="n">
        <v>459</v>
      </c>
      <c r="P114" s="2" t="n">
        <v>491</v>
      </c>
      <c r="Q114" s="2" t="n">
        <v>776</v>
      </c>
      <c r="R114" s="2" t="n">
        <v>108</v>
      </c>
      <c r="S114" s="2" t="n">
        <v>14</v>
      </c>
      <c r="T114" s="2" t="s">
        <v>96</v>
      </c>
      <c r="U114" s="4" t="n">
        <f aca="false">(M114+N114+O114+P114)/L114</f>
        <v>0.108005011833496</v>
      </c>
      <c r="V114" s="2" t="str">
        <f aca="false">IF(S114&lt;=5,"Late night (0-5)",IF(S114&lt;=11,"Morning (6-11)",IF(S114&lt;=17,"Afternoon (12-17)","Evening (18-23)")))</f>
        <v>Afternoon (12-17)</v>
      </c>
    </row>
    <row r="115" customFormat="false" ht="15" hidden="false" customHeight="false" outlineLevel="0" collapsed="false">
      <c r="A115" s="2" t="s">
        <v>306</v>
      </c>
      <c r="B115" s="2" t="s">
        <v>307</v>
      </c>
      <c r="C115" s="2" t="s">
        <v>48</v>
      </c>
      <c r="D115" s="3" t="n">
        <v>45668</v>
      </c>
      <c r="E115" s="2" t="s">
        <v>308</v>
      </c>
      <c r="F115" s="2" t="s">
        <v>32</v>
      </c>
      <c r="G115" s="2" t="n">
        <v>91358</v>
      </c>
      <c r="H115" s="2" t="n">
        <v>18</v>
      </c>
      <c r="I115" s="2" t="n">
        <v>206</v>
      </c>
      <c r="J115" s="2" t="n">
        <v>0</v>
      </c>
      <c r="K115" s="2" t="n">
        <v>107836</v>
      </c>
      <c r="L115" s="2" t="n">
        <v>72058</v>
      </c>
      <c r="M115" s="2" t="n">
        <v>6956</v>
      </c>
      <c r="N115" s="2" t="n">
        <v>216</v>
      </c>
      <c r="O115" s="2" t="n">
        <v>623</v>
      </c>
      <c r="P115" s="2" t="n">
        <v>1079</v>
      </c>
      <c r="Q115" s="2" t="n">
        <v>1776</v>
      </c>
      <c r="R115" s="2" t="n">
        <v>114</v>
      </c>
      <c r="S115" s="2" t="n">
        <v>19</v>
      </c>
      <c r="T115" s="2" t="s">
        <v>62</v>
      </c>
      <c r="U115" s="4" t="n">
        <f aca="false">(M115+N115+O115+P115)/L115</f>
        <v>0.123150795192761</v>
      </c>
      <c r="V115" s="2" t="str">
        <f aca="false">IF(S115&lt;=5,"Late night (0-5)",IF(S115&lt;=11,"Morning (6-11)",IF(S115&lt;=17,"Afternoon (12-17)","Evening (18-23)")))</f>
        <v>Evening (18-23)</v>
      </c>
    </row>
    <row r="116" customFormat="false" ht="15" hidden="false" customHeight="false" outlineLevel="0" collapsed="false">
      <c r="A116" s="2" t="s">
        <v>309</v>
      </c>
      <c r="B116" s="2" t="s">
        <v>310</v>
      </c>
      <c r="C116" s="2" t="s">
        <v>91</v>
      </c>
      <c r="D116" s="3" t="n">
        <v>45852</v>
      </c>
      <c r="E116" s="2" t="s">
        <v>311</v>
      </c>
      <c r="F116" s="2" t="s">
        <v>26</v>
      </c>
      <c r="G116" s="2" t="n">
        <v>56571</v>
      </c>
      <c r="H116" s="2" t="n">
        <v>21</v>
      </c>
      <c r="I116" s="2" t="n">
        <v>302</v>
      </c>
      <c r="J116" s="2" t="n">
        <v>0</v>
      </c>
      <c r="K116" s="2" t="n">
        <v>24463</v>
      </c>
      <c r="L116" s="2" t="n">
        <v>22199</v>
      </c>
      <c r="M116" s="2" t="n">
        <v>1000</v>
      </c>
      <c r="N116" s="2" t="n">
        <v>77</v>
      </c>
      <c r="O116" s="2" t="n">
        <v>76</v>
      </c>
      <c r="P116" s="2" t="n">
        <v>333</v>
      </c>
      <c r="Q116" s="2" t="n">
        <v>393</v>
      </c>
      <c r="R116" s="2" t="n">
        <v>49</v>
      </c>
      <c r="S116" s="2" t="n">
        <v>18</v>
      </c>
      <c r="T116" s="2" t="s">
        <v>33</v>
      </c>
      <c r="U116" s="4" t="n">
        <f aca="false">(M116+N116+O116+P116)/L116</f>
        <v>0.0669399522501014</v>
      </c>
      <c r="V116" s="2" t="str">
        <f aca="false">IF(S116&lt;=5,"Late night (0-5)",IF(S116&lt;=11,"Morning (6-11)",IF(S116&lt;=17,"Afternoon (12-17)","Evening (18-23)")))</f>
        <v>Evening (18-23)</v>
      </c>
    </row>
    <row r="117" customFormat="false" ht="15" hidden="false" customHeight="false" outlineLevel="0" collapsed="false">
      <c r="A117" s="2" t="s">
        <v>312</v>
      </c>
      <c r="B117" s="2" t="s">
        <v>129</v>
      </c>
      <c r="C117" s="2" t="s">
        <v>54</v>
      </c>
      <c r="D117" s="3" t="n">
        <v>45722</v>
      </c>
      <c r="E117" s="2" t="s">
        <v>313</v>
      </c>
      <c r="F117" s="2" t="s">
        <v>38</v>
      </c>
      <c r="G117" s="2" t="n">
        <v>10312</v>
      </c>
      <c r="H117" s="2" t="n">
        <v>13</v>
      </c>
      <c r="I117" s="2" t="n">
        <v>111</v>
      </c>
      <c r="J117" s="2" t="n">
        <v>1</v>
      </c>
      <c r="K117" s="2" t="n">
        <v>12656</v>
      </c>
      <c r="L117" s="2" t="n">
        <v>7680</v>
      </c>
      <c r="M117" s="2" t="n">
        <v>327</v>
      </c>
      <c r="N117" s="2" t="n">
        <v>24</v>
      </c>
      <c r="O117" s="2" t="n">
        <v>57</v>
      </c>
      <c r="P117" s="2" t="n">
        <v>85</v>
      </c>
      <c r="Q117" s="2" t="n">
        <v>82</v>
      </c>
      <c r="R117" s="2" t="n">
        <v>5</v>
      </c>
      <c r="S117" s="2" t="n">
        <v>12</v>
      </c>
      <c r="T117" s="2" t="s">
        <v>79</v>
      </c>
      <c r="U117" s="4" t="n">
        <f aca="false">(M117+N117+O117+P117)/L117</f>
        <v>0.0641927083333333</v>
      </c>
      <c r="V117" s="2" t="str">
        <f aca="false">IF(S117&lt;=5,"Late night (0-5)",IF(S117&lt;=11,"Morning (6-11)",IF(S117&lt;=17,"Afternoon (12-17)","Evening (18-23)")))</f>
        <v>Afternoon (12-17)</v>
      </c>
    </row>
    <row r="118" customFormat="false" ht="15" hidden="false" customHeight="false" outlineLevel="0" collapsed="false">
      <c r="A118" s="2" t="s">
        <v>314</v>
      </c>
      <c r="B118" s="2" t="s">
        <v>126</v>
      </c>
      <c r="C118" s="2" t="s">
        <v>36</v>
      </c>
      <c r="D118" s="3" t="n">
        <v>45698</v>
      </c>
      <c r="E118" s="2" t="s">
        <v>315</v>
      </c>
      <c r="F118" s="2" t="s">
        <v>38</v>
      </c>
      <c r="G118" s="2" t="n">
        <v>28784</v>
      </c>
      <c r="H118" s="2" t="n">
        <v>5</v>
      </c>
      <c r="I118" s="2" t="n">
        <v>238</v>
      </c>
      <c r="J118" s="2" t="n">
        <v>1</v>
      </c>
      <c r="K118" s="2" t="n">
        <v>25164</v>
      </c>
      <c r="L118" s="2" t="n">
        <v>22082</v>
      </c>
      <c r="M118" s="2" t="n">
        <v>1030</v>
      </c>
      <c r="N118" s="2" t="n">
        <v>29</v>
      </c>
      <c r="O118" s="2" t="n">
        <v>95</v>
      </c>
      <c r="P118" s="2" t="n">
        <v>232</v>
      </c>
      <c r="Q118" s="2" t="n">
        <v>492</v>
      </c>
      <c r="R118" s="2" t="n">
        <v>63</v>
      </c>
      <c r="S118" s="2" t="n">
        <v>9</v>
      </c>
      <c r="T118" s="2" t="s">
        <v>33</v>
      </c>
      <c r="U118" s="4" t="n">
        <f aca="false">(M118+N118+O118+P118)/L118</f>
        <v>0.0627660537994747</v>
      </c>
      <c r="V118" s="2" t="str">
        <f aca="false">IF(S118&lt;=5,"Late night (0-5)",IF(S118&lt;=11,"Morning (6-11)",IF(S118&lt;=17,"Afternoon (12-17)","Evening (18-23)")))</f>
        <v>Morning (6-11)</v>
      </c>
    </row>
    <row r="119" customFormat="false" ht="15" hidden="false" customHeight="false" outlineLevel="0" collapsed="false">
      <c r="A119" s="2" t="s">
        <v>316</v>
      </c>
      <c r="B119" s="2" t="s">
        <v>188</v>
      </c>
      <c r="C119" s="2" t="s">
        <v>30</v>
      </c>
      <c r="D119" s="3" t="n">
        <v>45786</v>
      </c>
      <c r="E119" s="2" t="s">
        <v>317</v>
      </c>
      <c r="F119" s="2" t="s">
        <v>26</v>
      </c>
      <c r="G119" s="2" t="n">
        <v>38900</v>
      </c>
      <c r="H119" s="2" t="n">
        <v>5</v>
      </c>
      <c r="I119" s="2" t="n">
        <v>96</v>
      </c>
      <c r="J119" s="2" t="n">
        <v>0</v>
      </c>
      <c r="K119" s="2" t="n">
        <v>5453</v>
      </c>
      <c r="L119" s="2" t="n">
        <v>3463</v>
      </c>
      <c r="M119" s="2" t="n">
        <v>181</v>
      </c>
      <c r="N119" s="2" t="n">
        <v>4</v>
      </c>
      <c r="O119" s="2" t="n">
        <v>30</v>
      </c>
      <c r="P119" s="2" t="n">
        <v>15</v>
      </c>
      <c r="Q119" s="2" t="n">
        <v>75</v>
      </c>
      <c r="R119" s="2" t="n">
        <v>6</v>
      </c>
      <c r="S119" s="2" t="n">
        <v>1</v>
      </c>
      <c r="T119" s="2" t="s">
        <v>96</v>
      </c>
      <c r="U119" s="4" t="n">
        <f aca="false">(M119+N119+O119+P119)/L119</f>
        <v>0.0664164019636154</v>
      </c>
      <c r="V119" s="2" t="str">
        <f aca="false">IF(S119&lt;=5,"Late night (0-5)",IF(S119&lt;=11,"Morning (6-11)",IF(S119&lt;=17,"Afternoon (12-17)","Evening (18-23)")))</f>
        <v>Late night (0-5)</v>
      </c>
    </row>
    <row r="120" customFormat="false" ht="15" hidden="false" customHeight="false" outlineLevel="0" collapsed="false">
      <c r="A120" s="2" t="s">
        <v>318</v>
      </c>
      <c r="B120" s="2" t="s">
        <v>319</v>
      </c>
      <c r="C120" s="2" t="s">
        <v>84</v>
      </c>
      <c r="D120" s="3" t="n">
        <v>45860</v>
      </c>
      <c r="E120" s="2" t="s">
        <v>320</v>
      </c>
      <c r="F120" s="2" t="s">
        <v>38</v>
      </c>
      <c r="G120" s="2" t="n">
        <v>49810</v>
      </c>
      <c r="H120" s="2" t="n">
        <v>13</v>
      </c>
      <c r="I120" s="2" t="n">
        <v>106</v>
      </c>
      <c r="J120" s="2" t="n">
        <v>0</v>
      </c>
      <c r="K120" s="2" t="n">
        <v>45216</v>
      </c>
      <c r="L120" s="2" t="n">
        <v>37285</v>
      </c>
      <c r="M120" s="2" t="n">
        <v>2626</v>
      </c>
      <c r="N120" s="2" t="n">
        <v>61</v>
      </c>
      <c r="O120" s="2" t="n">
        <v>342</v>
      </c>
      <c r="P120" s="2" t="n">
        <v>580</v>
      </c>
      <c r="Q120" s="2" t="n">
        <v>734</v>
      </c>
      <c r="R120" s="2" t="n">
        <v>103</v>
      </c>
      <c r="S120" s="2" t="n">
        <v>12</v>
      </c>
      <c r="T120" s="2" t="s">
        <v>51</v>
      </c>
      <c r="U120" s="4" t="n">
        <f aca="false">(M120+N120+O120+P120)/L120</f>
        <v>0.0967949577578115</v>
      </c>
      <c r="V120" s="2" t="str">
        <f aca="false">IF(S120&lt;=5,"Late night (0-5)",IF(S120&lt;=11,"Morning (6-11)",IF(S120&lt;=17,"Afternoon (12-17)","Evening (18-23)")))</f>
        <v>Afternoon (12-17)</v>
      </c>
    </row>
    <row r="121" customFormat="false" ht="15" hidden="false" customHeight="false" outlineLevel="0" collapsed="false">
      <c r="A121" s="2" t="s">
        <v>321</v>
      </c>
      <c r="B121" s="2" t="s">
        <v>83</v>
      </c>
      <c r="C121" s="2" t="s">
        <v>84</v>
      </c>
      <c r="D121" s="3" t="n">
        <v>45860</v>
      </c>
      <c r="E121" s="2" t="s">
        <v>322</v>
      </c>
      <c r="F121" s="2" t="s">
        <v>38</v>
      </c>
      <c r="G121" s="2" t="n">
        <v>17918</v>
      </c>
      <c r="H121" s="2" t="n">
        <v>11</v>
      </c>
      <c r="I121" s="2" t="n">
        <v>210</v>
      </c>
      <c r="J121" s="2" t="n">
        <v>0</v>
      </c>
      <c r="K121" s="2" t="n">
        <v>30238</v>
      </c>
      <c r="L121" s="2" t="n">
        <v>17610</v>
      </c>
      <c r="M121" s="2" t="n">
        <v>1298</v>
      </c>
      <c r="N121" s="2" t="n">
        <v>88</v>
      </c>
      <c r="O121" s="2" t="n">
        <v>185</v>
      </c>
      <c r="P121" s="2" t="n">
        <v>339</v>
      </c>
      <c r="Q121" s="2" t="n">
        <v>525</v>
      </c>
      <c r="R121" s="2" t="n">
        <v>81</v>
      </c>
      <c r="S121" s="2" t="n">
        <v>5</v>
      </c>
      <c r="T121" s="2" t="s">
        <v>51</v>
      </c>
      <c r="U121" s="4" t="n">
        <f aca="false">(M121+N121+O121+P121)/L121</f>
        <v>0.108461101646792</v>
      </c>
      <c r="V121" s="2" t="str">
        <f aca="false">IF(S121&lt;=5,"Late night (0-5)",IF(S121&lt;=11,"Morning (6-11)",IF(S121&lt;=17,"Afternoon (12-17)","Evening (18-23)")))</f>
        <v>Late night (0-5)</v>
      </c>
    </row>
    <row r="122" customFormat="false" ht="15" hidden="false" customHeight="false" outlineLevel="0" collapsed="false">
      <c r="A122" s="2" t="s">
        <v>323</v>
      </c>
      <c r="B122" s="2" t="s">
        <v>324</v>
      </c>
      <c r="C122" s="2" t="s">
        <v>24</v>
      </c>
      <c r="D122" s="3" t="n">
        <v>46017</v>
      </c>
      <c r="E122" s="2" t="s">
        <v>325</v>
      </c>
      <c r="F122" s="2" t="s">
        <v>32</v>
      </c>
      <c r="G122" s="2" t="n">
        <v>3823</v>
      </c>
      <c r="H122" s="2" t="n">
        <v>11</v>
      </c>
      <c r="I122" s="2" t="n">
        <v>170</v>
      </c>
      <c r="J122" s="2" t="n">
        <v>0</v>
      </c>
      <c r="K122" s="2" t="n">
        <v>9547</v>
      </c>
      <c r="L122" s="2" t="n">
        <v>6254</v>
      </c>
      <c r="M122" s="2" t="n">
        <v>289</v>
      </c>
      <c r="N122" s="2" t="n">
        <v>14</v>
      </c>
      <c r="O122" s="2" t="n">
        <v>30</v>
      </c>
      <c r="P122" s="2" t="n">
        <v>18</v>
      </c>
      <c r="Q122" s="2" t="n">
        <v>43</v>
      </c>
      <c r="R122" s="2" t="n">
        <v>11</v>
      </c>
      <c r="S122" s="2" t="n">
        <v>7</v>
      </c>
      <c r="T122" s="2" t="s">
        <v>96</v>
      </c>
      <c r="U122" s="4" t="n">
        <f aca="false">(M122+N122+O122+P122)/L122</f>
        <v>0.0561240805884234</v>
      </c>
      <c r="V122" s="2" t="str">
        <f aca="false">IF(S122&lt;=5,"Late night (0-5)",IF(S122&lt;=11,"Morning (6-11)",IF(S122&lt;=17,"Afternoon (12-17)","Evening (18-23)")))</f>
        <v>Morning (6-11)</v>
      </c>
    </row>
    <row r="123" customFormat="false" ht="15" hidden="false" customHeight="false" outlineLevel="0" collapsed="false">
      <c r="A123" s="2" t="s">
        <v>326</v>
      </c>
      <c r="B123" s="2" t="s">
        <v>327</v>
      </c>
      <c r="C123" s="2" t="s">
        <v>91</v>
      </c>
      <c r="D123" s="3" t="n">
        <v>45768</v>
      </c>
      <c r="E123" s="2" t="s">
        <v>269</v>
      </c>
      <c r="F123" s="2" t="s">
        <v>32</v>
      </c>
      <c r="G123" s="2" t="n">
        <v>16943</v>
      </c>
      <c r="H123" s="2" t="n">
        <v>20</v>
      </c>
      <c r="I123" s="2" t="n">
        <v>166</v>
      </c>
      <c r="J123" s="2" t="n">
        <v>0</v>
      </c>
      <c r="K123" s="2" t="n">
        <v>7163</v>
      </c>
      <c r="L123" s="2" t="n">
        <v>5718</v>
      </c>
      <c r="M123" s="2" t="n">
        <v>275</v>
      </c>
      <c r="N123" s="2" t="n">
        <v>14</v>
      </c>
      <c r="O123" s="2" t="n">
        <v>18</v>
      </c>
      <c r="P123" s="2" t="n">
        <v>37</v>
      </c>
      <c r="Q123" s="2" t="n">
        <v>169</v>
      </c>
      <c r="R123" s="2" t="n">
        <v>42</v>
      </c>
      <c r="S123" s="2" t="n">
        <v>1</v>
      </c>
      <c r="T123" s="2" t="s">
        <v>33</v>
      </c>
      <c r="U123" s="4" t="n">
        <f aca="false">(M123+N123+O123+P123)/L123</f>
        <v>0.0601608954179783</v>
      </c>
      <c r="V123" s="2" t="str">
        <f aca="false">IF(S123&lt;=5,"Late night (0-5)",IF(S123&lt;=11,"Morning (6-11)",IF(S123&lt;=17,"Afternoon (12-17)","Evening (18-23)")))</f>
        <v>Late night (0-5)</v>
      </c>
    </row>
    <row r="124" customFormat="false" ht="15" hidden="false" customHeight="false" outlineLevel="0" collapsed="false">
      <c r="A124" s="2" t="s">
        <v>328</v>
      </c>
      <c r="B124" s="2" t="s">
        <v>319</v>
      </c>
      <c r="C124" s="2" t="s">
        <v>84</v>
      </c>
      <c r="D124" s="3" t="n">
        <v>45917</v>
      </c>
      <c r="E124" s="2" t="s">
        <v>329</v>
      </c>
      <c r="F124" s="2" t="s">
        <v>32</v>
      </c>
      <c r="G124" s="2" t="n">
        <v>49810</v>
      </c>
      <c r="H124" s="2" t="n">
        <v>10</v>
      </c>
      <c r="I124" s="2" t="n">
        <v>108</v>
      </c>
      <c r="J124" s="2" t="n">
        <v>0</v>
      </c>
      <c r="K124" s="2" t="n">
        <v>49594</v>
      </c>
      <c r="L124" s="2" t="n">
        <v>34694</v>
      </c>
      <c r="M124" s="2" t="n">
        <v>1450</v>
      </c>
      <c r="N124" s="2" t="n">
        <v>72</v>
      </c>
      <c r="O124" s="2" t="n">
        <v>75</v>
      </c>
      <c r="P124" s="2" t="n">
        <v>305</v>
      </c>
      <c r="Q124" s="2" t="n">
        <v>512</v>
      </c>
      <c r="R124" s="2" t="n">
        <v>50</v>
      </c>
      <c r="S124" s="2" t="n">
        <v>5</v>
      </c>
      <c r="T124" s="2" t="s">
        <v>66</v>
      </c>
      <c r="U124" s="4" t="n">
        <f aca="false">(M124+N124+O124+P124)/L124</f>
        <v>0.0548221594512019</v>
      </c>
      <c r="V124" s="2" t="str">
        <f aca="false">IF(S124&lt;=5,"Late night (0-5)",IF(S124&lt;=11,"Morning (6-11)",IF(S124&lt;=17,"Afternoon (12-17)","Evening (18-23)")))</f>
        <v>Late night (0-5)</v>
      </c>
    </row>
    <row r="125" customFormat="false" ht="15" hidden="false" customHeight="false" outlineLevel="0" collapsed="false">
      <c r="A125" s="2" t="s">
        <v>330</v>
      </c>
      <c r="B125" s="2" t="s">
        <v>94</v>
      </c>
      <c r="C125" s="2" t="s">
        <v>30</v>
      </c>
      <c r="D125" s="3" t="n">
        <v>45859</v>
      </c>
      <c r="E125" s="2" t="s">
        <v>331</v>
      </c>
      <c r="F125" s="2" t="s">
        <v>32</v>
      </c>
      <c r="G125" s="2" t="n">
        <v>58559</v>
      </c>
      <c r="H125" s="2" t="n">
        <v>14</v>
      </c>
      <c r="I125" s="2" t="n">
        <v>133</v>
      </c>
      <c r="J125" s="2" t="n">
        <v>0</v>
      </c>
      <c r="K125" s="2" t="n">
        <v>131753</v>
      </c>
      <c r="L125" s="2" t="n">
        <v>82207</v>
      </c>
      <c r="M125" s="2" t="n">
        <v>4400</v>
      </c>
      <c r="N125" s="2" t="n">
        <v>343</v>
      </c>
      <c r="O125" s="2" t="n">
        <v>626</v>
      </c>
      <c r="P125" s="2" t="n">
        <v>250</v>
      </c>
      <c r="Q125" s="2" t="n">
        <v>466</v>
      </c>
      <c r="R125" s="2" t="n">
        <v>87</v>
      </c>
      <c r="S125" s="2" t="n">
        <v>20</v>
      </c>
      <c r="T125" s="2" t="s">
        <v>33</v>
      </c>
      <c r="U125" s="4" t="n">
        <f aca="false">(M125+N125+O125+P125)/L125</f>
        <v>0.0683518435169754</v>
      </c>
      <c r="V125" s="2" t="str">
        <f aca="false">IF(S125&lt;=5,"Late night (0-5)",IF(S125&lt;=11,"Morning (6-11)",IF(S125&lt;=17,"Afternoon (12-17)","Evening (18-23)")))</f>
        <v>Evening (18-23)</v>
      </c>
    </row>
    <row r="126" customFormat="false" ht="15" hidden="false" customHeight="false" outlineLevel="0" collapsed="false">
      <c r="A126" s="2" t="s">
        <v>332</v>
      </c>
      <c r="B126" s="2" t="s">
        <v>35</v>
      </c>
      <c r="C126" s="2" t="s">
        <v>36</v>
      </c>
      <c r="D126" s="3" t="n">
        <v>45905</v>
      </c>
      <c r="E126" s="2" t="s">
        <v>37</v>
      </c>
      <c r="F126" s="2" t="s">
        <v>38</v>
      </c>
      <c r="G126" s="2" t="n">
        <v>33933</v>
      </c>
      <c r="H126" s="2" t="n">
        <v>3</v>
      </c>
      <c r="I126" s="2" t="n">
        <v>301</v>
      </c>
      <c r="J126" s="2" t="n">
        <v>1</v>
      </c>
      <c r="K126" s="2" t="n">
        <v>15092</v>
      </c>
      <c r="L126" s="2" t="n">
        <v>12281</v>
      </c>
      <c r="M126" s="2" t="n">
        <v>733</v>
      </c>
      <c r="N126" s="2" t="n">
        <v>21</v>
      </c>
      <c r="O126" s="2" t="n">
        <v>42</v>
      </c>
      <c r="P126" s="2" t="n">
        <v>148</v>
      </c>
      <c r="Q126" s="2" t="n">
        <v>142</v>
      </c>
      <c r="R126" s="2" t="n">
        <v>13</v>
      </c>
      <c r="S126" s="2" t="n">
        <v>8</v>
      </c>
      <c r="T126" s="2" t="s">
        <v>96</v>
      </c>
      <c r="U126" s="4" t="n">
        <f aca="false">(M126+N126+O126+P126)/L126</f>
        <v>0.0768667046657438</v>
      </c>
      <c r="V126" s="2" t="str">
        <f aca="false">IF(S126&lt;=5,"Late night (0-5)",IF(S126&lt;=11,"Morning (6-11)",IF(S126&lt;=17,"Afternoon (12-17)","Evening (18-23)")))</f>
        <v>Morning (6-11)</v>
      </c>
    </row>
    <row r="127" customFormat="false" ht="15" hidden="false" customHeight="false" outlineLevel="0" collapsed="false">
      <c r="A127" s="2" t="s">
        <v>333</v>
      </c>
      <c r="B127" s="2" t="s">
        <v>53</v>
      </c>
      <c r="C127" s="2" t="s">
        <v>54</v>
      </c>
      <c r="D127" s="3" t="n">
        <v>45819</v>
      </c>
      <c r="E127" s="2" t="s">
        <v>334</v>
      </c>
      <c r="F127" s="2" t="s">
        <v>32</v>
      </c>
      <c r="G127" s="2" t="n">
        <v>11318</v>
      </c>
      <c r="H127" s="2" t="n">
        <v>13</v>
      </c>
      <c r="I127" s="2" t="n">
        <v>314</v>
      </c>
      <c r="J127" s="2" t="n">
        <v>1</v>
      </c>
      <c r="K127" s="2" t="n">
        <v>29991</v>
      </c>
      <c r="L127" s="2" t="n">
        <v>24476</v>
      </c>
      <c r="M127" s="2" t="n">
        <v>1123</v>
      </c>
      <c r="N127" s="2" t="n">
        <v>32</v>
      </c>
      <c r="O127" s="2" t="n">
        <v>222</v>
      </c>
      <c r="P127" s="2" t="n">
        <v>274</v>
      </c>
      <c r="Q127" s="2" t="n">
        <v>487</v>
      </c>
      <c r="R127" s="2" t="n">
        <v>122</v>
      </c>
      <c r="S127" s="2" t="n">
        <v>10</v>
      </c>
      <c r="T127" s="2" t="s">
        <v>66</v>
      </c>
      <c r="U127" s="4" t="n">
        <f aca="false">(M127+N127+O127+P127)/L127</f>
        <v>0.0674538323255434</v>
      </c>
      <c r="V127" s="2" t="str">
        <f aca="false">IF(S127&lt;=5,"Late night (0-5)",IF(S127&lt;=11,"Morning (6-11)",IF(S127&lt;=17,"Afternoon (12-17)","Evening (18-23)")))</f>
        <v>Morning (6-11)</v>
      </c>
    </row>
    <row r="128" customFormat="false" ht="15" hidden="false" customHeight="false" outlineLevel="0" collapsed="false">
      <c r="A128" s="2" t="s">
        <v>335</v>
      </c>
      <c r="B128" s="2" t="s">
        <v>164</v>
      </c>
      <c r="C128" s="2" t="s">
        <v>36</v>
      </c>
      <c r="D128" s="3" t="n">
        <v>45895</v>
      </c>
      <c r="E128" s="2" t="s">
        <v>142</v>
      </c>
      <c r="F128" s="2" t="s">
        <v>32</v>
      </c>
      <c r="G128" s="2" t="n">
        <v>44230</v>
      </c>
      <c r="H128" s="2" t="n">
        <v>14</v>
      </c>
      <c r="I128" s="2" t="n">
        <v>427</v>
      </c>
      <c r="J128" s="2" t="n">
        <v>0</v>
      </c>
      <c r="K128" s="2" t="n">
        <v>134279</v>
      </c>
      <c r="L128" s="2" t="n">
        <v>103593</v>
      </c>
      <c r="M128" s="2" t="n">
        <v>9776</v>
      </c>
      <c r="N128" s="2" t="n">
        <v>206</v>
      </c>
      <c r="O128" s="2" t="n">
        <v>874</v>
      </c>
      <c r="P128" s="2" t="n">
        <v>2509</v>
      </c>
      <c r="Q128" s="2" t="n">
        <v>1944</v>
      </c>
      <c r="R128" s="2" t="n">
        <v>473</v>
      </c>
      <c r="S128" s="2" t="n">
        <v>22</v>
      </c>
      <c r="T128" s="2" t="s">
        <v>51</v>
      </c>
      <c r="U128" s="4" t="n">
        <f aca="false">(M128+N128+O128+P128)/L128</f>
        <v>0.129014508702325</v>
      </c>
      <c r="V128" s="2" t="str">
        <f aca="false">IF(S128&lt;=5,"Late night (0-5)",IF(S128&lt;=11,"Morning (6-11)",IF(S128&lt;=17,"Afternoon (12-17)","Evening (18-23)")))</f>
        <v>Evening (18-23)</v>
      </c>
    </row>
    <row r="129" customFormat="false" ht="15" hidden="false" customHeight="false" outlineLevel="0" collapsed="false">
      <c r="A129" s="2" t="s">
        <v>336</v>
      </c>
      <c r="B129" s="2" t="s">
        <v>206</v>
      </c>
      <c r="C129" s="2" t="s">
        <v>48</v>
      </c>
      <c r="D129" s="3" t="n">
        <v>45896</v>
      </c>
      <c r="E129" s="2" t="s">
        <v>337</v>
      </c>
      <c r="F129" s="2" t="s">
        <v>32</v>
      </c>
      <c r="G129" s="2" t="n">
        <v>42937</v>
      </c>
      <c r="H129" s="2" t="n">
        <v>5</v>
      </c>
      <c r="I129" s="2" t="n">
        <v>128</v>
      </c>
      <c r="J129" s="2" t="n">
        <v>0</v>
      </c>
      <c r="K129" s="2" t="n">
        <v>30320</v>
      </c>
      <c r="L129" s="2" t="n">
        <v>25795</v>
      </c>
      <c r="M129" s="2" t="n">
        <v>2549</v>
      </c>
      <c r="N129" s="2" t="n">
        <v>123</v>
      </c>
      <c r="O129" s="2" t="n">
        <v>369</v>
      </c>
      <c r="P129" s="2" t="n">
        <v>492</v>
      </c>
      <c r="Q129" s="2" t="n">
        <v>166</v>
      </c>
      <c r="R129" s="2" t="n">
        <v>35</v>
      </c>
      <c r="S129" s="2" t="n">
        <v>7</v>
      </c>
      <c r="T129" s="2" t="s">
        <v>66</v>
      </c>
      <c r="U129" s="4" t="n">
        <f aca="false">(M129+N129+O129+P129)/L129</f>
        <v>0.136964528009304</v>
      </c>
      <c r="V129" s="2" t="str">
        <f aca="false">IF(S129&lt;=5,"Late night (0-5)",IF(S129&lt;=11,"Morning (6-11)",IF(S129&lt;=17,"Afternoon (12-17)","Evening (18-23)")))</f>
        <v>Morning (6-11)</v>
      </c>
    </row>
    <row r="130" customFormat="false" ht="15" hidden="false" customHeight="false" outlineLevel="0" collapsed="false">
      <c r="A130" s="2" t="s">
        <v>338</v>
      </c>
      <c r="B130" s="2" t="s">
        <v>123</v>
      </c>
      <c r="C130" s="2" t="s">
        <v>24</v>
      </c>
      <c r="D130" s="3" t="n">
        <v>45932</v>
      </c>
      <c r="E130" s="2" t="s">
        <v>339</v>
      </c>
      <c r="F130" s="2" t="s">
        <v>26</v>
      </c>
      <c r="G130" s="2" t="n">
        <v>41391</v>
      </c>
      <c r="H130" s="2" t="n">
        <v>24</v>
      </c>
      <c r="I130" s="2" t="n">
        <v>148</v>
      </c>
      <c r="J130" s="2" t="n">
        <v>0</v>
      </c>
      <c r="K130" s="2" t="n">
        <v>93660</v>
      </c>
      <c r="L130" s="2" t="n">
        <v>70273</v>
      </c>
      <c r="M130" s="2" t="n">
        <v>3960</v>
      </c>
      <c r="N130" s="2" t="n">
        <v>290</v>
      </c>
      <c r="O130" s="2" t="n">
        <v>342</v>
      </c>
      <c r="P130" s="2" t="n">
        <v>804</v>
      </c>
      <c r="Q130" s="2" t="n">
        <v>885</v>
      </c>
      <c r="R130" s="2" t="n">
        <v>223</v>
      </c>
      <c r="S130" s="2" t="n">
        <v>20</v>
      </c>
      <c r="T130" s="2" t="s">
        <v>79</v>
      </c>
      <c r="U130" s="4" t="n">
        <f aca="false">(M130+N130+O130+P130)/L130</f>
        <v>0.0767862479188309</v>
      </c>
      <c r="V130" s="2" t="str">
        <f aca="false">IF(S130&lt;=5,"Late night (0-5)",IF(S130&lt;=11,"Morning (6-11)",IF(S130&lt;=17,"Afternoon (12-17)","Evening (18-23)")))</f>
        <v>Evening (18-23)</v>
      </c>
    </row>
    <row r="131" customFormat="false" ht="15" hidden="false" customHeight="false" outlineLevel="0" collapsed="false">
      <c r="A131" s="2" t="s">
        <v>340</v>
      </c>
      <c r="B131" s="2" t="s">
        <v>64</v>
      </c>
      <c r="C131" s="2" t="s">
        <v>36</v>
      </c>
      <c r="D131" s="3" t="n">
        <v>46006</v>
      </c>
      <c r="E131" s="2" t="s">
        <v>341</v>
      </c>
      <c r="F131" s="2" t="s">
        <v>32</v>
      </c>
      <c r="G131" s="2" t="n">
        <v>43781</v>
      </c>
      <c r="H131" s="2" t="n">
        <v>10</v>
      </c>
      <c r="I131" s="2" t="n">
        <v>195</v>
      </c>
      <c r="J131" s="2" t="n">
        <v>0</v>
      </c>
      <c r="K131" s="2" t="n">
        <v>43708</v>
      </c>
      <c r="L131" s="2" t="n">
        <v>37660</v>
      </c>
      <c r="M131" s="2" t="n">
        <v>3487</v>
      </c>
      <c r="N131" s="2" t="n">
        <v>102</v>
      </c>
      <c r="O131" s="2" t="n">
        <v>449</v>
      </c>
      <c r="P131" s="2" t="n">
        <v>485</v>
      </c>
      <c r="Q131" s="2" t="n">
        <v>382</v>
      </c>
      <c r="R131" s="2" t="n">
        <v>26</v>
      </c>
      <c r="S131" s="2" t="n">
        <v>16</v>
      </c>
      <c r="T131" s="2" t="s">
        <v>33</v>
      </c>
      <c r="U131" s="4" t="n">
        <f aca="false">(M131+N131+O131+P131)/L131</f>
        <v>0.120100902814657</v>
      </c>
      <c r="V131" s="2" t="str">
        <f aca="false">IF(S131&lt;=5,"Late night (0-5)",IF(S131&lt;=11,"Morning (6-11)",IF(S131&lt;=17,"Afternoon (12-17)","Evening (18-23)")))</f>
        <v>Afternoon (12-17)</v>
      </c>
    </row>
    <row r="132" customFormat="false" ht="15" hidden="false" customHeight="false" outlineLevel="0" collapsed="false">
      <c r="A132" s="2" t="s">
        <v>342</v>
      </c>
      <c r="B132" s="2" t="s">
        <v>181</v>
      </c>
      <c r="C132" s="2" t="s">
        <v>91</v>
      </c>
      <c r="D132" s="3" t="n">
        <v>45940</v>
      </c>
      <c r="E132" s="2" t="s">
        <v>343</v>
      </c>
      <c r="F132" s="2" t="s">
        <v>38</v>
      </c>
      <c r="G132" s="2" t="n">
        <v>31658</v>
      </c>
      <c r="H132" s="2" t="n">
        <v>11</v>
      </c>
      <c r="I132" s="2" t="n">
        <v>76</v>
      </c>
      <c r="J132" s="2" t="n">
        <v>1</v>
      </c>
      <c r="K132" s="2" t="n">
        <v>31215</v>
      </c>
      <c r="L132" s="2" t="n">
        <v>23767</v>
      </c>
      <c r="M132" s="2" t="n">
        <v>1983</v>
      </c>
      <c r="N132" s="2" t="n">
        <v>88</v>
      </c>
      <c r="O132" s="2" t="n">
        <v>161</v>
      </c>
      <c r="P132" s="2" t="n">
        <v>466</v>
      </c>
      <c r="Q132" s="2" t="n">
        <v>141</v>
      </c>
      <c r="R132" s="2" t="n">
        <v>26</v>
      </c>
      <c r="S132" s="2" t="n">
        <v>23</v>
      </c>
      <c r="T132" s="2" t="s">
        <v>96</v>
      </c>
      <c r="U132" s="4" t="n">
        <f aca="false">(M132+N132+O132+P132)/L132</f>
        <v>0.113518744477637</v>
      </c>
      <c r="V132" s="2" t="str">
        <f aca="false">IF(S132&lt;=5,"Late night (0-5)",IF(S132&lt;=11,"Morning (6-11)",IF(S132&lt;=17,"Afternoon (12-17)","Evening (18-23)")))</f>
        <v>Evening (18-23)</v>
      </c>
    </row>
    <row r="133" customFormat="false" ht="15" hidden="false" customHeight="false" outlineLevel="0" collapsed="false">
      <c r="A133" s="2" t="s">
        <v>344</v>
      </c>
      <c r="B133" s="2" t="s">
        <v>345</v>
      </c>
      <c r="C133" s="2" t="s">
        <v>30</v>
      </c>
      <c r="D133" s="3" t="n">
        <v>45942</v>
      </c>
      <c r="E133" s="2" t="s">
        <v>346</v>
      </c>
      <c r="F133" s="2" t="s">
        <v>26</v>
      </c>
      <c r="G133" s="2" t="n">
        <v>8662</v>
      </c>
      <c r="H133" s="2" t="n">
        <v>19</v>
      </c>
      <c r="I133" s="2" t="n">
        <v>175</v>
      </c>
      <c r="J133" s="2" t="n">
        <v>1</v>
      </c>
      <c r="K133" s="2" t="n">
        <v>13981</v>
      </c>
      <c r="L133" s="2" t="n">
        <v>10282</v>
      </c>
      <c r="M133" s="2" t="n">
        <v>854</v>
      </c>
      <c r="N133" s="2" t="n">
        <v>57</v>
      </c>
      <c r="O133" s="2" t="n">
        <v>41</v>
      </c>
      <c r="P133" s="2" t="n">
        <v>207</v>
      </c>
      <c r="Q133" s="2" t="n">
        <v>206</v>
      </c>
      <c r="R133" s="2" t="n">
        <v>35</v>
      </c>
      <c r="S133" s="2" t="n">
        <v>5</v>
      </c>
      <c r="T133" s="2" t="s">
        <v>27</v>
      </c>
      <c r="U133" s="4" t="n">
        <f aca="false">(M133+N133+O133+P133)/L133</f>
        <v>0.112721260455164</v>
      </c>
      <c r="V133" s="2" t="str">
        <f aca="false">IF(S133&lt;=5,"Late night (0-5)",IF(S133&lt;=11,"Morning (6-11)",IF(S133&lt;=17,"Afternoon (12-17)","Evening (18-23)")))</f>
        <v>Late night (0-5)</v>
      </c>
    </row>
    <row r="134" customFormat="false" ht="15" hidden="false" customHeight="false" outlineLevel="0" collapsed="false">
      <c r="A134" s="2" t="s">
        <v>347</v>
      </c>
      <c r="B134" s="2" t="s">
        <v>111</v>
      </c>
      <c r="C134" s="2" t="s">
        <v>48</v>
      </c>
      <c r="D134" s="3" t="n">
        <v>46015</v>
      </c>
      <c r="E134" s="2" t="s">
        <v>348</v>
      </c>
      <c r="F134" s="2" t="s">
        <v>50</v>
      </c>
      <c r="G134" s="2" t="n">
        <v>16824</v>
      </c>
      <c r="H134" s="2" t="n">
        <v>21</v>
      </c>
      <c r="I134" s="2" t="n">
        <v>67</v>
      </c>
      <c r="J134" s="2" t="n">
        <v>1</v>
      </c>
      <c r="K134" s="2" t="n">
        <v>11392</v>
      </c>
      <c r="L134" s="2" t="n">
        <v>8946</v>
      </c>
      <c r="M134" s="2" t="n">
        <v>328</v>
      </c>
      <c r="N134" s="2" t="n">
        <v>11</v>
      </c>
      <c r="O134" s="2" t="n">
        <v>16</v>
      </c>
      <c r="P134" s="2" t="n">
        <v>47</v>
      </c>
      <c r="Q134" s="2" t="n">
        <v>153</v>
      </c>
      <c r="R134" s="2" t="n">
        <v>25</v>
      </c>
      <c r="S134" s="2" t="n">
        <v>21</v>
      </c>
      <c r="T134" s="2" t="s">
        <v>66</v>
      </c>
      <c r="U134" s="4" t="n">
        <f aca="false">(M134+N134+O134+P134)/L134</f>
        <v>0.0449362843729041</v>
      </c>
      <c r="V134" s="2" t="str">
        <f aca="false">IF(S134&lt;=5,"Late night (0-5)",IF(S134&lt;=11,"Morning (6-11)",IF(S134&lt;=17,"Afternoon (12-17)","Evening (18-23)")))</f>
        <v>Evening (18-23)</v>
      </c>
    </row>
    <row r="135" customFormat="false" ht="15" hidden="false" customHeight="false" outlineLevel="0" collapsed="false">
      <c r="A135" s="2" t="s">
        <v>349</v>
      </c>
      <c r="B135" s="2" t="s">
        <v>129</v>
      </c>
      <c r="C135" s="2" t="s">
        <v>54</v>
      </c>
      <c r="D135" s="3" t="n">
        <v>45718</v>
      </c>
      <c r="E135" s="2" t="s">
        <v>350</v>
      </c>
      <c r="F135" s="2" t="s">
        <v>26</v>
      </c>
      <c r="G135" s="2" t="n">
        <v>10312</v>
      </c>
      <c r="H135" s="2" t="n">
        <v>6</v>
      </c>
      <c r="I135" s="2" t="n">
        <v>159</v>
      </c>
      <c r="J135" s="2" t="n">
        <v>0</v>
      </c>
      <c r="K135" s="2" t="n">
        <v>12866</v>
      </c>
      <c r="L135" s="2" t="n">
        <v>9244</v>
      </c>
      <c r="M135" s="2" t="n">
        <v>345</v>
      </c>
      <c r="N135" s="2" t="n">
        <v>13</v>
      </c>
      <c r="O135" s="2" t="n">
        <v>36</v>
      </c>
      <c r="P135" s="2" t="n">
        <v>128</v>
      </c>
      <c r="Q135" s="2" t="n">
        <v>253</v>
      </c>
      <c r="R135" s="2" t="n">
        <v>72</v>
      </c>
      <c r="S135" s="2" t="n">
        <v>9</v>
      </c>
      <c r="T135" s="2" t="s">
        <v>27</v>
      </c>
      <c r="U135" s="4" t="n">
        <f aca="false">(M135+N135+O135+P135)/L135</f>
        <v>0.0564690610125487</v>
      </c>
      <c r="V135" s="2" t="str">
        <f aca="false">IF(S135&lt;=5,"Late night (0-5)",IF(S135&lt;=11,"Morning (6-11)",IF(S135&lt;=17,"Afternoon (12-17)","Evening (18-23)")))</f>
        <v>Morning (6-11)</v>
      </c>
    </row>
    <row r="136" customFormat="false" ht="15" hidden="false" customHeight="false" outlineLevel="0" collapsed="false">
      <c r="A136" s="2" t="s">
        <v>351</v>
      </c>
      <c r="B136" s="2" t="s">
        <v>23</v>
      </c>
      <c r="C136" s="2" t="s">
        <v>24</v>
      </c>
      <c r="D136" s="3" t="n">
        <v>45889</v>
      </c>
      <c r="E136" s="2" t="s">
        <v>352</v>
      </c>
      <c r="F136" s="2" t="s">
        <v>32</v>
      </c>
      <c r="G136" s="2" t="n">
        <v>63447</v>
      </c>
      <c r="H136" s="2" t="n">
        <v>18</v>
      </c>
      <c r="I136" s="2" t="n">
        <v>163</v>
      </c>
      <c r="J136" s="2" t="n">
        <v>0</v>
      </c>
      <c r="K136" s="2" t="n">
        <v>91886</v>
      </c>
      <c r="L136" s="2" t="n">
        <v>66494</v>
      </c>
      <c r="M136" s="2" t="n">
        <v>5006</v>
      </c>
      <c r="N136" s="2" t="n">
        <v>382</v>
      </c>
      <c r="O136" s="2" t="n">
        <v>1239</v>
      </c>
      <c r="P136" s="2" t="n">
        <v>482</v>
      </c>
      <c r="Q136" s="2" t="n">
        <v>1800</v>
      </c>
      <c r="R136" s="2" t="n">
        <v>470</v>
      </c>
      <c r="S136" s="2" t="n">
        <v>23</v>
      </c>
      <c r="T136" s="2" t="s">
        <v>66</v>
      </c>
      <c r="U136" s="4" t="n">
        <f aca="false">(M136+N136+O136+P136)/L136</f>
        <v>0.106911901825729</v>
      </c>
      <c r="V136" s="2" t="str">
        <f aca="false">IF(S136&lt;=5,"Late night (0-5)",IF(S136&lt;=11,"Morning (6-11)",IF(S136&lt;=17,"Afternoon (12-17)","Evening (18-23)")))</f>
        <v>Evening (18-23)</v>
      </c>
    </row>
    <row r="137" customFormat="false" ht="15" hidden="false" customHeight="false" outlineLevel="0" collapsed="false">
      <c r="A137" s="2" t="s">
        <v>353</v>
      </c>
      <c r="B137" s="2" t="s">
        <v>57</v>
      </c>
      <c r="C137" s="2" t="s">
        <v>24</v>
      </c>
      <c r="D137" s="3" t="n">
        <v>45894</v>
      </c>
      <c r="E137" s="2" t="s">
        <v>354</v>
      </c>
      <c r="F137" s="2" t="s">
        <v>32</v>
      </c>
      <c r="G137" s="2" t="n">
        <v>31021</v>
      </c>
      <c r="H137" s="2" t="n">
        <v>12</v>
      </c>
      <c r="I137" s="2" t="n">
        <v>296</v>
      </c>
      <c r="J137" s="2" t="n">
        <v>0</v>
      </c>
      <c r="K137" s="2" t="n">
        <v>96945</v>
      </c>
      <c r="L137" s="2" t="n">
        <v>70609</v>
      </c>
      <c r="M137" s="2" t="n">
        <v>3509</v>
      </c>
      <c r="N137" s="2" t="n">
        <v>239</v>
      </c>
      <c r="O137" s="2" t="n">
        <v>497</v>
      </c>
      <c r="P137" s="2" t="n">
        <v>953</v>
      </c>
      <c r="Q137" s="2" t="n">
        <v>979</v>
      </c>
      <c r="R137" s="2" t="n">
        <v>254</v>
      </c>
      <c r="S137" s="2" t="n">
        <v>22</v>
      </c>
      <c r="T137" s="2" t="s">
        <v>33</v>
      </c>
      <c r="U137" s="4" t="n">
        <f aca="false">(M137+N137+O137+P137)/L137</f>
        <v>0.0736166777606254</v>
      </c>
      <c r="V137" s="2" t="str">
        <f aca="false">IF(S137&lt;=5,"Late night (0-5)",IF(S137&lt;=11,"Morning (6-11)",IF(S137&lt;=17,"Afternoon (12-17)","Evening (18-23)")))</f>
        <v>Evening (18-23)</v>
      </c>
    </row>
    <row r="138" customFormat="false" ht="15" hidden="false" customHeight="false" outlineLevel="0" collapsed="false">
      <c r="A138" s="2" t="s">
        <v>355</v>
      </c>
      <c r="B138" s="2" t="s">
        <v>129</v>
      </c>
      <c r="C138" s="2" t="s">
        <v>54</v>
      </c>
      <c r="D138" s="3" t="n">
        <v>46011</v>
      </c>
      <c r="E138" s="2" t="s">
        <v>356</v>
      </c>
      <c r="F138" s="2" t="s">
        <v>32</v>
      </c>
      <c r="G138" s="2" t="n">
        <v>10312</v>
      </c>
      <c r="H138" s="2" t="n">
        <v>5</v>
      </c>
      <c r="I138" s="2" t="n">
        <v>239</v>
      </c>
      <c r="J138" s="2" t="n">
        <v>1</v>
      </c>
      <c r="K138" s="2" t="n">
        <v>34448</v>
      </c>
      <c r="L138" s="2" t="n">
        <v>29661</v>
      </c>
      <c r="M138" s="2" t="n">
        <v>2608</v>
      </c>
      <c r="N138" s="2" t="n">
        <v>86</v>
      </c>
      <c r="O138" s="2" t="n">
        <v>245</v>
      </c>
      <c r="P138" s="2" t="n">
        <v>335</v>
      </c>
      <c r="Q138" s="2" t="n">
        <v>817</v>
      </c>
      <c r="R138" s="2" t="n">
        <v>203</v>
      </c>
      <c r="S138" s="2" t="n">
        <v>19</v>
      </c>
      <c r="T138" s="2" t="s">
        <v>62</v>
      </c>
      <c r="U138" s="4" t="n">
        <f aca="false">(M138+N138+O138+P138)/L138</f>
        <v>0.11038063450322</v>
      </c>
      <c r="V138" s="2" t="str">
        <f aca="false">IF(S138&lt;=5,"Late night (0-5)",IF(S138&lt;=11,"Morning (6-11)",IF(S138&lt;=17,"Afternoon (12-17)","Evening (18-23)")))</f>
        <v>Evening (18-23)</v>
      </c>
    </row>
    <row r="139" customFormat="false" ht="15" hidden="false" customHeight="false" outlineLevel="0" collapsed="false">
      <c r="A139" s="2" t="s">
        <v>357</v>
      </c>
      <c r="B139" s="2" t="s">
        <v>94</v>
      </c>
      <c r="C139" s="2" t="s">
        <v>30</v>
      </c>
      <c r="D139" s="3" t="n">
        <v>45920</v>
      </c>
      <c r="E139" s="2" t="s">
        <v>358</v>
      </c>
      <c r="F139" s="2" t="s">
        <v>32</v>
      </c>
      <c r="G139" s="2" t="n">
        <v>58559</v>
      </c>
      <c r="H139" s="2" t="n">
        <v>8</v>
      </c>
      <c r="I139" s="2" t="n">
        <v>161</v>
      </c>
      <c r="J139" s="2" t="n">
        <v>1</v>
      </c>
      <c r="K139" s="2" t="n">
        <v>39181</v>
      </c>
      <c r="L139" s="2" t="n">
        <v>30709</v>
      </c>
      <c r="M139" s="2" t="n">
        <v>1439</v>
      </c>
      <c r="N139" s="2" t="n">
        <v>102</v>
      </c>
      <c r="O139" s="2" t="n">
        <v>205</v>
      </c>
      <c r="P139" s="2" t="n">
        <v>138</v>
      </c>
      <c r="Q139" s="2" t="n">
        <v>730</v>
      </c>
      <c r="R139" s="2" t="n">
        <v>156</v>
      </c>
      <c r="S139" s="2" t="n">
        <v>1</v>
      </c>
      <c r="T139" s="2" t="s">
        <v>62</v>
      </c>
      <c r="U139" s="4" t="n">
        <f aca="false">(M139+N139+O139+P139)/L139</f>
        <v>0.0613500928066691</v>
      </c>
      <c r="V139" s="2" t="str">
        <f aca="false">IF(S139&lt;=5,"Late night (0-5)",IF(S139&lt;=11,"Morning (6-11)",IF(S139&lt;=17,"Afternoon (12-17)","Evening (18-23)")))</f>
        <v>Late night (0-5)</v>
      </c>
    </row>
    <row r="140" customFormat="false" ht="15" hidden="false" customHeight="false" outlineLevel="0" collapsed="false">
      <c r="A140" s="2" t="s">
        <v>359</v>
      </c>
      <c r="B140" s="2" t="s">
        <v>360</v>
      </c>
      <c r="C140" s="2" t="s">
        <v>48</v>
      </c>
      <c r="D140" s="3" t="n">
        <v>45836</v>
      </c>
      <c r="E140" s="2" t="s">
        <v>361</v>
      </c>
      <c r="F140" s="2" t="s">
        <v>32</v>
      </c>
      <c r="G140" s="2" t="n">
        <v>19542</v>
      </c>
      <c r="H140" s="2" t="n">
        <v>27</v>
      </c>
      <c r="I140" s="2" t="n">
        <v>248</v>
      </c>
      <c r="J140" s="2" t="n">
        <v>1</v>
      </c>
      <c r="K140" s="2" t="n">
        <v>25037</v>
      </c>
      <c r="L140" s="2" t="n">
        <v>17163</v>
      </c>
      <c r="M140" s="2" t="n">
        <v>758</v>
      </c>
      <c r="N140" s="2" t="n">
        <v>52</v>
      </c>
      <c r="O140" s="2" t="n">
        <v>212</v>
      </c>
      <c r="P140" s="2" t="n">
        <v>96</v>
      </c>
      <c r="Q140" s="2" t="n">
        <v>482</v>
      </c>
      <c r="R140" s="2" t="n">
        <v>120</v>
      </c>
      <c r="S140" s="2" t="n">
        <v>18</v>
      </c>
      <c r="T140" s="2" t="s">
        <v>62</v>
      </c>
      <c r="U140" s="4" t="n">
        <f aca="false">(M140+N140+O140+P140)/L140</f>
        <v>0.0651401270174212</v>
      </c>
      <c r="V140" s="2" t="str">
        <f aca="false">IF(S140&lt;=5,"Late night (0-5)",IF(S140&lt;=11,"Morning (6-11)",IF(S140&lt;=17,"Afternoon (12-17)","Evening (18-23)")))</f>
        <v>Evening (18-23)</v>
      </c>
    </row>
    <row r="141" customFormat="false" ht="15" hidden="false" customHeight="false" outlineLevel="0" collapsed="false">
      <c r="A141" s="2" t="s">
        <v>362</v>
      </c>
      <c r="B141" s="2" t="s">
        <v>47</v>
      </c>
      <c r="C141" s="2" t="s">
        <v>48</v>
      </c>
      <c r="D141" s="3" t="n">
        <v>45841</v>
      </c>
      <c r="E141" s="2" t="s">
        <v>363</v>
      </c>
      <c r="F141" s="2" t="s">
        <v>50</v>
      </c>
      <c r="G141" s="2" t="n">
        <v>19609</v>
      </c>
      <c r="H141" s="2" t="n">
        <v>10</v>
      </c>
      <c r="I141" s="2" t="n">
        <v>189</v>
      </c>
      <c r="J141" s="2" t="n">
        <v>0</v>
      </c>
      <c r="K141" s="2" t="n">
        <v>12257</v>
      </c>
      <c r="L141" s="2" t="n">
        <v>9952</v>
      </c>
      <c r="M141" s="2" t="n">
        <v>666</v>
      </c>
      <c r="N141" s="2" t="n">
        <v>45</v>
      </c>
      <c r="O141" s="2" t="n">
        <v>120</v>
      </c>
      <c r="P141" s="2" t="n">
        <v>83</v>
      </c>
      <c r="Q141" s="2" t="n">
        <v>146</v>
      </c>
      <c r="R141" s="2" t="n">
        <v>23</v>
      </c>
      <c r="S141" s="2" t="n">
        <v>15</v>
      </c>
      <c r="T141" s="2" t="s">
        <v>79</v>
      </c>
      <c r="U141" s="4" t="n">
        <f aca="false">(M141+N141+O141+P141)/L141</f>
        <v>0.0918408360128617</v>
      </c>
      <c r="V141" s="2" t="str">
        <f aca="false">IF(S141&lt;=5,"Late night (0-5)",IF(S141&lt;=11,"Morning (6-11)",IF(S141&lt;=17,"Afternoon (12-17)","Evening (18-23)")))</f>
        <v>Afternoon (12-17)</v>
      </c>
    </row>
    <row r="142" customFormat="false" ht="15" hidden="false" customHeight="false" outlineLevel="0" collapsed="false">
      <c r="A142" s="2" t="s">
        <v>364</v>
      </c>
      <c r="B142" s="2" t="s">
        <v>243</v>
      </c>
      <c r="C142" s="2" t="s">
        <v>91</v>
      </c>
      <c r="D142" s="3" t="n">
        <v>45727</v>
      </c>
      <c r="E142" s="2" t="s">
        <v>365</v>
      </c>
      <c r="F142" s="2" t="s">
        <v>32</v>
      </c>
      <c r="G142" s="2" t="n">
        <v>42046</v>
      </c>
      <c r="H142" s="2" t="n">
        <v>8</v>
      </c>
      <c r="I142" s="2" t="n">
        <v>196</v>
      </c>
      <c r="J142" s="2" t="n">
        <v>1</v>
      </c>
      <c r="K142" s="2" t="n">
        <v>65928</v>
      </c>
      <c r="L142" s="2" t="n">
        <v>46204</v>
      </c>
      <c r="M142" s="2" t="n">
        <v>2741</v>
      </c>
      <c r="N142" s="2" t="n">
        <v>190</v>
      </c>
      <c r="O142" s="2" t="n">
        <v>363</v>
      </c>
      <c r="P142" s="2" t="n">
        <v>563</v>
      </c>
      <c r="Q142" s="2" t="n">
        <v>944</v>
      </c>
      <c r="R142" s="2" t="n">
        <v>59</v>
      </c>
      <c r="S142" s="2" t="n">
        <v>22</v>
      </c>
      <c r="T142" s="2" t="s">
        <v>51</v>
      </c>
      <c r="U142" s="4" t="n">
        <f aca="false">(M142+N142+O142+P142)/L142</f>
        <v>0.0834776209851961</v>
      </c>
      <c r="V142" s="2" t="str">
        <f aca="false">IF(S142&lt;=5,"Late night (0-5)",IF(S142&lt;=11,"Morning (6-11)",IF(S142&lt;=17,"Afternoon (12-17)","Evening (18-23)")))</f>
        <v>Evening (18-23)</v>
      </c>
    </row>
    <row r="143" customFormat="false" ht="15" hidden="false" customHeight="false" outlineLevel="0" collapsed="false">
      <c r="A143" s="2" t="s">
        <v>366</v>
      </c>
      <c r="B143" s="2" t="s">
        <v>148</v>
      </c>
      <c r="C143" s="2" t="s">
        <v>48</v>
      </c>
      <c r="D143" s="3" t="n">
        <v>45810</v>
      </c>
      <c r="E143" s="2" t="s">
        <v>367</v>
      </c>
      <c r="F143" s="2" t="s">
        <v>26</v>
      </c>
      <c r="G143" s="2" t="n">
        <v>46311</v>
      </c>
      <c r="H143" s="2" t="n">
        <v>4</v>
      </c>
      <c r="I143" s="2" t="n">
        <v>88</v>
      </c>
      <c r="J143" s="2" t="n">
        <v>1</v>
      </c>
      <c r="K143" s="2" t="n">
        <v>27156</v>
      </c>
      <c r="L143" s="2" t="n">
        <v>22463</v>
      </c>
      <c r="M143" s="2" t="n">
        <v>1114</v>
      </c>
      <c r="N143" s="2" t="n">
        <v>51</v>
      </c>
      <c r="O143" s="2" t="n">
        <v>173</v>
      </c>
      <c r="P143" s="2" t="n">
        <v>403</v>
      </c>
      <c r="Q143" s="2" t="n">
        <v>145</v>
      </c>
      <c r="R143" s="2" t="n">
        <v>35</v>
      </c>
      <c r="S143" s="2" t="n">
        <v>3</v>
      </c>
      <c r="T143" s="2" t="s">
        <v>33</v>
      </c>
      <c r="U143" s="4" t="n">
        <f aca="false">(M143+N143+O143+P143)/L143</f>
        <v>0.0775052308240217</v>
      </c>
      <c r="V143" s="2" t="str">
        <f aca="false">IF(S143&lt;=5,"Late night (0-5)",IF(S143&lt;=11,"Morning (6-11)",IF(S143&lt;=17,"Afternoon (12-17)","Evening (18-23)")))</f>
        <v>Late night (0-5)</v>
      </c>
    </row>
    <row r="144" customFormat="false" ht="15" hidden="false" customHeight="false" outlineLevel="0" collapsed="false">
      <c r="A144" s="2" t="s">
        <v>368</v>
      </c>
      <c r="B144" s="2" t="s">
        <v>103</v>
      </c>
      <c r="C144" s="2" t="s">
        <v>36</v>
      </c>
      <c r="D144" s="3" t="n">
        <v>45833</v>
      </c>
      <c r="E144" s="2" t="s">
        <v>369</v>
      </c>
      <c r="F144" s="2" t="s">
        <v>32</v>
      </c>
      <c r="G144" s="2" t="n">
        <v>56979</v>
      </c>
      <c r="H144" s="2" t="n">
        <v>14</v>
      </c>
      <c r="I144" s="2" t="n">
        <v>187</v>
      </c>
      <c r="J144" s="2" t="n">
        <v>0</v>
      </c>
      <c r="K144" s="2" t="n">
        <v>111016</v>
      </c>
      <c r="L144" s="2" t="n">
        <v>64349</v>
      </c>
      <c r="M144" s="2" t="n">
        <v>5457</v>
      </c>
      <c r="N144" s="2" t="n">
        <v>414</v>
      </c>
      <c r="O144" s="2" t="n">
        <v>1554</v>
      </c>
      <c r="P144" s="2" t="n">
        <v>972</v>
      </c>
      <c r="Q144" s="2" t="n">
        <v>1694</v>
      </c>
      <c r="R144" s="2" t="n">
        <v>396</v>
      </c>
      <c r="S144" s="2" t="n">
        <v>10</v>
      </c>
      <c r="T144" s="2" t="s">
        <v>66</v>
      </c>
      <c r="U144" s="4" t="n">
        <f aca="false">(M144+N144+O144+P144)/L144</f>
        <v>0.130491538330044</v>
      </c>
      <c r="V144" s="2" t="str">
        <f aca="false">IF(S144&lt;=5,"Late night (0-5)",IF(S144&lt;=11,"Morning (6-11)",IF(S144&lt;=17,"Afternoon (12-17)","Evening (18-23)")))</f>
        <v>Morning (6-11)</v>
      </c>
    </row>
    <row r="145" customFormat="false" ht="15" hidden="false" customHeight="false" outlineLevel="0" collapsed="false">
      <c r="A145" s="2" t="s">
        <v>370</v>
      </c>
      <c r="B145" s="2" t="s">
        <v>371</v>
      </c>
      <c r="C145" s="2" t="s">
        <v>48</v>
      </c>
      <c r="D145" s="3" t="n">
        <v>46017</v>
      </c>
      <c r="E145" s="2" t="s">
        <v>372</v>
      </c>
      <c r="F145" s="2" t="s">
        <v>50</v>
      </c>
      <c r="G145" s="2" t="n">
        <v>42479</v>
      </c>
      <c r="H145" s="2" t="n">
        <v>0</v>
      </c>
      <c r="I145" s="2" t="n">
        <v>204</v>
      </c>
      <c r="J145" s="2" t="n">
        <v>0</v>
      </c>
      <c r="K145" s="2" t="n">
        <v>24356</v>
      </c>
      <c r="L145" s="2" t="n">
        <v>22003</v>
      </c>
      <c r="M145" s="2" t="n">
        <v>1257</v>
      </c>
      <c r="N145" s="2" t="n">
        <v>33</v>
      </c>
      <c r="O145" s="2" t="n">
        <v>70</v>
      </c>
      <c r="P145" s="2" t="n">
        <v>284</v>
      </c>
      <c r="Q145" s="2" t="n">
        <v>636</v>
      </c>
      <c r="R145" s="2" t="n">
        <v>132</v>
      </c>
      <c r="S145" s="2" t="n">
        <v>22</v>
      </c>
      <c r="T145" s="2" t="s">
        <v>96</v>
      </c>
      <c r="U145" s="4" t="n">
        <f aca="false">(M145+N145+O145+P145)/L145</f>
        <v>0.0747170840339954</v>
      </c>
      <c r="V145" s="2" t="str">
        <f aca="false">IF(S145&lt;=5,"Late night (0-5)",IF(S145&lt;=11,"Morning (6-11)",IF(S145&lt;=17,"Afternoon (12-17)","Evening (18-23)")))</f>
        <v>Evening (18-23)</v>
      </c>
    </row>
    <row r="146" customFormat="false" ht="15" hidden="false" customHeight="false" outlineLevel="0" collapsed="false">
      <c r="A146" s="2" t="s">
        <v>373</v>
      </c>
      <c r="B146" s="2" t="s">
        <v>374</v>
      </c>
      <c r="C146" s="2" t="s">
        <v>24</v>
      </c>
      <c r="D146" s="3" t="n">
        <v>45791</v>
      </c>
      <c r="E146" s="2" t="s">
        <v>375</v>
      </c>
      <c r="F146" s="2" t="s">
        <v>32</v>
      </c>
      <c r="G146" s="2" t="n">
        <v>9509</v>
      </c>
      <c r="H146" s="2" t="n">
        <v>26</v>
      </c>
      <c r="I146" s="2" t="n">
        <v>147</v>
      </c>
      <c r="J146" s="2" t="n">
        <v>1</v>
      </c>
      <c r="K146" s="2" t="n">
        <v>12302</v>
      </c>
      <c r="L146" s="2" t="n">
        <v>8516</v>
      </c>
      <c r="M146" s="2" t="n">
        <v>773</v>
      </c>
      <c r="N146" s="2" t="n">
        <v>33</v>
      </c>
      <c r="O146" s="2" t="n">
        <v>140</v>
      </c>
      <c r="P146" s="2" t="n">
        <v>49</v>
      </c>
      <c r="Q146" s="2" t="n">
        <v>79</v>
      </c>
      <c r="R146" s="2" t="n">
        <v>19</v>
      </c>
      <c r="S146" s="2" t="n">
        <v>19</v>
      </c>
      <c r="T146" s="2" t="s">
        <v>66</v>
      </c>
      <c r="U146" s="4" t="n">
        <f aca="false">(M146+N146+O146+P146)/L146</f>
        <v>0.116838891498356</v>
      </c>
      <c r="V146" s="2" t="str">
        <f aca="false">IF(S146&lt;=5,"Late night (0-5)",IF(S146&lt;=11,"Morning (6-11)",IF(S146&lt;=17,"Afternoon (12-17)","Evening (18-23)")))</f>
        <v>Evening (18-23)</v>
      </c>
    </row>
    <row r="147" customFormat="false" ht="15" hidden="false" customHeight="false" outlineLevel="0" collapsed="false">
      <c r="A147" s="2" t="s">
        <v>376</v>
      </c>
      <c r="B147" s="2" t="s">
        <v>240</v>
      </c>
      <c r="C147" s="2" t="s">
        <v>41</v>
      </c>
      <c r="D147" s="3" t="n">
        <v>45745</v>
      </c>
      <c r="E147" s="2" t="s">
        <v>377</v>
      </c>
      <c r="F147" s="2" t="s">
        <v>26</v>
      </c>
      <c r="G147" s="2" t="n">
        <v>83197</v>
      </c>
      <c r="H147" s="2" t="n">
        <v>14</v>
      </c>
      <c r="I147" s="2" t="n">
        <v>174</v>
      </c>
      <c r="J147" s="2" t="n">
        <v>0</v>
      </c>
      <c r="K147" s="2" t="n">
        <v>233812</v>
      </c>
      <c r="L147" s="2" t="n">
        <v>133235</v>
      </c>
      <c r="M147" s="2" t="n">
        <v>4029</v>
      </c>
      <c r="N147" s="2" t="n">
        <v>115</v>
      </c>
      <c r="O147" s="2" t="n">
        <v>289</v>
      </c>
      <c r="P147" s="2" t="n">
        <v>562</v>
      </c>
      <c r="Q147" s="2" t="n">
        <v>1418</v>
      </c>
      <c r="R147" s="2" t="n">
        <v>303</v>
      </c>
      <c r="S147" s="2" t="n">
        <v>22</v>
      </c>
      <c r="T147" s="2" t="s">
        <v>62</v>
      </c>
      <c r="U147" s="4" t="n">
        <f aca="false">(M147+N147+O147+P147)/L147</f>
        <v>0.0374901489848764</v>
      </c>
      <c r="V147" s="2" t="str">
        <f aca="false">IF(S147&lt;=5,"Late night (0-5)",IF(S147&lt;=11,"Morning (6-11)",IF(S147&lt;=17,"Afternoon (12-17)","Evening (18-23)")))</f>
        <v>Evening (18-23)</v>
      </c>
    </row>
    <row r="148" customFormat="false" ht="15" hidden="false" customHeight="false" outlineLevel="0" collapsed="false">
      <c r="A148" s="2" t="s">
        <v>378</v>
      </c>
      <c r="B148" s="2" t="s">
        <v>141</v>
      </c>
      <c r="C148" s="2" t="s">
        <v>48</v>
      </c>
      <c r="D148" s="3" t="n">
        <v>45824</v>
      </c>
      <c r="E148" s="2" t="s">
        <v>379</v>
      </c>
      <c r="F148" s="2" t="s">
        <v>32</v>
      </c>
      <c r="G148" s="2" t="n">
        <v>16119</v>
      </c>
      <c r="H148" s="2" t="n">
        <v>12</v>
      </c>
      <c r="I148" s="2" t="n">
        <v>182</v>
      </c>
      <c r="J148" s="2" t="n">
        <v>0</v>
      </c>
      <c r="K148" s="2" t="n">
        <v>42062</v>
      </c>
      <c r="L148" s="2" t="n">
        <v>31351</v>
      </c>
      <c r="M148" s="2" t="n">
        <v>3136</v>
      </c>
      <c r="N148" s="2" t="n">
        <v>147</v>
      </c>
      <c r="O148" s="2" t="n">
        <v>856</v>
      </c>
      <c r="P148" s="2" t="n">
        <v>543</v>
      </c>
      <c r="Q148" s="2" t="n">
        <v>296</v>
      </c>
      <c r="R148" s="2" t="n">
        <v>70</v>
      </c>
      <c r="S148" s="2" t="n">
        <v>14</v>
      </c>
      <c r="T148" s="2" t="s">
        <v>33</v>
      </c>
      <c r="U148" s="4" t="n">
        <f aca="false">(M148+N148+O148+P148)/L148</f>
        <v>0.149341328825237</v>
      </c>
      <c r="V148" s="2" t="str">
        <f aca="false">IF(S148&lt;=5,"Late night (0-5)",IF(S148&lt;=11,"Morning (6-11)",IF(S148&lt;=17,"Afternoon (12-17)","Evening (18-23)")))</f>
        <v>Afternoon (12-17)</v>
      </c>
    </row>
    <row r="149" customFormat="false" ht="15" hidden="false" customHeight="false" outlineLevel="0" collapsed="false">
      <c r="A149" s="2" t="s">
        <v>380</v>
      </c>
      <c r="B149" s="2" t="s">
        <v>135</v>
      </c>
      <c r="C149" s="2" t="s">
        <v>36</v>
      </c>
      <c r="D149" s="3" t="n">
        <v>45768</v>
      </c>
      <c r="E149" s="2" t="s">
        <v>381</v>
      </c>
      <c r="F149" s="2" t="s">
        <v>26</v>
      </c>
      <c r="G149" s="2" t="n">
        <v>45812</v>
      </c>
      <c r="H149" s="2" t="n">
        <v>20</v>
      </c>
      <c r="I149" s="2" t="n">
        <v>151</v>
      </c>
      <c r="J149" s="2" t="n">
        <v>0</v>
      </c>
      <c r="K149" s="2" t="n">
        <v>19121</v>
      </c>
      <c r="L149" s="2" t="n">
        <v>12050</v>
      </c>
      <c r="M149" s="2" t="n">
        <v>868</v>
      </c>
      <c r="N149" s="2" t="n">
        <v>41</v>
      </c>
      <c r="O149" s="2" t="n">
        <v>105</v>
      </c>
      <c r="P149" s="2" t="n">
        <v>251</v>
      </c>
      <c r="Q149" s="2" t="n">
        <v>201</v>
      </c>
      <c r="R149" s="2" t="n">
        <v>54</v>
      </c>
      <c r="S149" s="2" t="n">
        <v>3</v>
      </c>
      <c r="T149" s="2" t="s">
        <v>33</v>
      </c>
      <c r="U149" s="4" t="n">
        <f aca="false">(M149+N149+O149+P149)/L149</f>
        <v>0.104979253112033</v>
      </c>
      <c r="V149" s="2" t="str">
        <f aca="false">IF(S149&lt;=5,"Late night (0-5)",IF(S149&lt;=11,"Morning (6-11)",IF(S149&lt;=17,"Afternoon (12-17)","Evening (18-23)")))</f>
        <v>Late night (0-5)</v>
      </c>
    </row>
    <row r="150" customFormat="false" ht="15" hidden="false" customHeight="false" outlineLevel="0" collapsed="false">
      <c r="A150" s="2" t="s">
        <v>382</v>
      </c>
      <c r="B150" s="2" t="s">
        <v>106</v>
      </c>
      <c r="C150" s="2" t="s">
        <v>91</v>
      </c>
      <c r="D150" s="3" t="n">
        <v>45864</v>
      </c>
      <c r="E150" s="2" t="s">
        <v>65</v>
      </c>
      <c r="F150" s="2" t="s">
        <v>38</v>
      </c>
      <c r="G150" s="2" t="n">
        <v>59477</v>
      </c>
      <c r="H150" s="2" t="n">
        <v>7</v>
      </c>
      <c r="I150" s="2" t="n">
        <v>10</v>
      </c>
      <c r="J150" s="2" t="n">
        <v>0</v>
      </c>
      <c r="K150" s="2" t="n">
        <v>91425</v>
      </c>
      <c r="L150" s="2" t="n">
        <v>78393</v>
      </c>
      <c r="M150" s="2" t="n">
        <v>4928</v>
      </c>
      <c r="N150" s="2" t="n">
        <v>273</v>
      </c>
      <c r="O150" s="2" t="n">
        <v>405</v>
      </c>
      <c r="P150" s="2" t="n">
        <v>304</v>
      </c>
      <c r="Q150" s="2" t="n">
        <v>494</v>
      </c>
      <c r="R150" s="2" t="n">
        <v>80</v>
      </c>
      <c r="S150" s="2" t="n">
        <v>7</v>
      </c>
      <c r="T150" s="2" t="s">
        <v>62</v>
      </c>
      <c r="U150" s="4" t="n">
        <f aca="false">(M150+N150+O150+P150)/L150</f>
        <v>0.0753893842562474</v>
      </c>
      <c r="V150" s="2" t="str">
        <f aca="false">IF(S150&lt;=5,"Late night (0-5)",IF(S150&lt;=11,"Morning (6-11)",IF(S150&lt;=17,"Afternoon (12-17)","Evening (18-23)")))</f>
        <v>Morning (6-11)</v>
      </c>
    </row>
    <row r="151" customFormat="false" ht="15" hidden="false" customHeight="false" outlineLevel="0" collapsed="false">
      <c r="A151" s="2" t="s">
        <v>383</v>
      </c>
      <c r="B151" s="2" t="s">
        <v>188</v>
      </c>
      <c r="C151" s="2" t="s">
        <v>30</v>
      </c>
      <c r="D151" s="3" t="n">
        <v>45777</v>
      </c>
      <c r="E151" s="2" t="s">
        <v>384</v>
      </c>
      <c r="F151" s="2" t="s">
        <v>26</v>
      </c>
      <c r="G151" s="2" t="n">
        <v>38900</v>
      </c>
      <c r="H151" s="2" t="n">
        <v>10</v>
      </c>
      <c r="I151" s="2" t="n">
        <v>168</v>
      </c>
      <c r="J151" s="2" t="n">
        <v>0</v>
      </c>
      <c r="K151" s="2" t="n">
        <v>38296</v>
      </c>
      <c r="L151" s="2" t="n">
        <v>27418</v>
      </c>
      <c r="M151" s="2" t="n">
        <v>1463</v>
      </c>
      <c r="N151" s="2" t="n">
        <v>32</v>
      </c>
      <c r="O151" s="2" t="n">
        <v>112</v>
      </c>
      <c r="P151" s="2" t="n">
        <v>487</v>
      </c>
      <c r="Q151" s="2" t="n">
        <v>533</v>
      </c>
      <c r="R151" s="2" t="n">
        <v>134</v>
      </c>
      <c r="S151" s="2" t="n">
        <v>12</v>
      </c>
      <c r="T151" s="2" t="s">
        <v>66</v>
      </c>
      <c r="U151" s="4" t="n">
        <f aca="false">(M151+N151+O151+P151)/L151</f>
        <v>0.0763731854985776</v>
      </c>
      <c r="V151" s="2" t="str">
        <f aca="false">IF(S151&lt;=5,"Late night (0-5)",IF(S151&lt;=11,"Morning (6-11)",IF(S151&lt;=17,"Afternoon (12-17)","Evening (18-23)")))</f>
        <v>Afternoon (12-17)</v>
      </c>
    </row>
    <row r="152" customFormat="false" ht="15" hidden="false" customHeight="false" outlineLevel="0" collapsed="false">
      <c r="A152" s="2" t="s">
        <v>385</v>
      </c>
      <c r="B152" s="2" t="s">
        <v>264</v>
      </c>
      <c r="C152" s="2" t="s">
        <v>36</v>
      </c>
      <c r="D152" s="3" t="n">
        <v>45894</v>
      </c>
      <c r="E152" s="2" t="s">
        <v>161</v>
      </c>
      <c r="F152" s="2" t="s">
        <v>50</v>
      </c>
      <c r="G152" s="2" t="n">
        <v>22362</v>
      </c>
      <c r="H152" s="2" t="n">
        <v>8</v>
      </c>
      <c r="I152" s="2" t="n">
        <v>298</v>
      </c>
      <c r="J152" s="2" t="n">
        <v>1</v>
      </c>
      <c r="K152" s="2" t="n">
        <v>7874</v>
      </c>
      <c r="L152" s="2" t="n">
        <v>4496</v>
      </c>
      <c r="M152" s="2" t="n">
        <v>217</v>
      </c>
      <c r="N152" s="2" t="n">
        <v>6</v>
      </c>
      <c r="O152" s="2" t="n">
        <v>36</v>
      </c>
      <c r="P152" s="2" t="n">
        <v>22</v>
      </c>
      <c r="Q152" s="2" t="n">
        <v>33</v>
      </c>
      <c r="R152" s="2" t="n">
        <v>7</v>
      </c>
      <c r="S152" s="2" t="n">
        <v>4</v>
      </c>
      <c r="T152" s="2" t="s">
        <v>33</v>
      </c>
      <c r="U152" s="4" t="n">
        <f aca="false">(M152+N152+O152+P152)/L152</f>
        <v>0.0625</v>
      </c>
      <c r="V152" s="2" t="str">
        <f aca="false">IF(S152&lt;=5,"Late night (0-5)",IF(S152&lt;=11,"Morning (6-11)",IF(S152&lt;=17,"Afternoon (12-17)","Evening (18-23)")))</f>
        <v>Late night (0-5)</v>
      </c>
    </row>
    <row r="153" customFormat="false" ht="15" hidden="false" customHeight="false" outlineLevel="0" collapsed="false">
      <c r="A153" s="2" t="s">
        <v>386</v>
      </c>
      <c r="B153" s="2" t="s">
        <v>111</v>
      </c>
      <c r="C153" s="2" t="s">
        <v>48</v>
      </c>
      <c r="D153" s="3" t="n">
        <v>46014</v>
      </c>
      <c r="E153" s="2" t="s">
        <v>387</v>
      </c>
      <c r="F153" s="2" t="s">
        <v>38</v>
      </c>
      <c r="G153" s="2" t="n">
        <v>16824</v>
      </c>
      <c r="H153" s="2" t="n">
        <v>1</v>
      </c>
      <c r="I153" s="2" t="n">
        <v>28</v>
      </c>
      <c r="J153" s="2" t="n">
        <v>1</v>
      </c>
      <c r="K153" s="2" t="n">
        <v>9946</v>
      </c>
      <c r="L153" s="2" t="n">
        <v>5883</v>
      </c>
      <c r="M153" s="2" t="n">
        <v>355</v>
      </c>
      <c r="N153" s="2" t="n">
        <v>8</v>
      </c>
      <c r="O153" s="2" t="n">
        <v>18</v>
      </c>
      <c r="P153" s="2" t="n">
        <v>51</v>
      </c>
      <c r="Q153" s="2" t="n">
        <v>76</v>
      </c>
      <c r="R153" s="2" t="n">
        <v>7</v>
      </c>
      <c r="S153" s="2" t="n">
        <v>15</v>
      </c>
      <c r="T153" s="2" t="s">
        <v>51</v>
      </c>
      <c r="U153" s="4" t="n">
        <f aca="false">(M153+N153+O153+P153)/L153</f>
        <v>0.0734319224885263</v>
      </c>
      <c r="V153" s="2" t="str">
        <f aca="false">IF(S153&lt;=5,"Late night (0-5)",IF(S153&lt;=11,"Morning (6-11)",IF(S153&lt;=17,"Afternoon (12-17)","Evening (18-23)")))</f>
        <v>Afternoon (12-17)</v>
      </c>
    </row>
    <row r="154" customFormat="false" ht="15" hidden="false" customHeight="false" outlineLevel="0" collapsed="false">
      <c r="A154" s="2" t="s">
        <v>388</v>
      </c>
      <c r="B154" s="2" t="s">
        <v>151</v>
      </c>
      <c r="C154" s="2" t="s">
        <v>36</v>
      </c>
      <c r="D154" s="3" t="n">
        <v>45795</v>
      </c>
      <c r="E154" s="2" t="s">
        <v>234</v>
      </c>
      <c r="F154" s="2" t="s">
        <v>38</v>
      </c>
      <c r="G154" s="2" t="n">
        <v>19247</v>
      </c>
      <c r="H154" s="2" t="n">
        <v>15</v>
      </c>
      <c r="I154" s="2" t="n">
        <v>49</v>
      </c>
      <c r="J154" s="2" t="n">
        <v>1</v>
      </c>
      <c r="K154" s="2" t="n">
        <v>39416</v>
      </c>
      <c r="L154" s="2" t="n">
        <v>25855</v>
      </c>
      <c r="M154" s="2" t="n">
        <v>1273</v>
      </c>
      <c r="N154" s="2" t="n">
        <v>94</v>
      </c>
      <c r="O154" s="2" t="n">
        <v>157</v>
      </c>
      <c r="P154" s="2" t="n">
        <v>142</v>
      </c>
      <c r="Q154" s="2" t="n">
        <v>186</v>
      </c>
      <c r="R154" s="2" t="n">
        <v>14</v>
      </c>
      <c r="S154" s="2" t="n">
        <v>15</v>
      </c>
      <c r="T154" s="2" t="s">
        <v>27</v>
      </c>
      <c r="U154" s="4" t="n">
        <f aca="false">(M154+N154+O154+P154)/L154</f>
        <v>0.0644362792496616</v>
      </c>
      <c r="V154" s="2" t="str">
        <f aca="false">IF(S154&lt;=5,"Late night (0-5)",IF(S154&lt;=11,"Morning (6-11)",IF(S154&lt;=17,"Afternoon (12-17)","Evening (18-23)")))</f>
        <v>Afternoon (12-17)</v>
      </c>
    </row>
    <row r="155" customFormat="false" ht="15" hidden="false" customHeight="false" outlineLevel="0" collapsed="false">
      <c r="A155" s="2" t="s">
        <v>389</v>
      </c>
      <c r="B155" s="2" t="s">
        <v>390</v>
      </c>
      <c r="C155" s="2" t="s">
        <v>36</v>
      </c>
      <c r="D155" s="3" t="n">
        <v>45794</v>
      </c>
      <c r="E155" s="2" t="s">
        <v>391</v>
      </c>
      <c r="F155" s="2" t="s">
        <v>26</v>
      </c>
      <c r="G155" s="2" t="n">
        <v>30232</v>
      </c>
      <c r="H155" s="2" t="n">
        <v>13</v>
      </c>
      <c r="I155" s="2" t="n">
        <v>358</v>
      </c>
      <c r="J155" s="2" t="n">
        <v>1</v>
      </c>
      <c r="K155" s="2" t="n">
        <v>49186</v>
      </c>
      <c r="L155" s="2" t="n">
        <v>39872</v>
      </c>
      <c r="M155" s="2" t="n">
        <v>1395</v>
      </c>
      <c r="N155" s="2" t="n">
        <v>52</v>
      </c>
      <c r="O155" s="2" t="n">
        <v>186</v>
      </c>
      <c r="P155" s="2" t="n">
        <v>485</v>
      </c>
      <c r="Q155" s="2" t="n">
        <v>1108</v>
      </c>
      <c r="R155" s="2" t="n">
        <v>172</v>
      </c>
      <c r="S155" s="2" t="n">
        <v>20</v>
      </c>
      <c r="T155" s="2" t="s">
        <v>62</v>
      </c>
      <c r="U155" s="4" t="n">
        <f aca="false">(M155+N155+O155+P155)/L155</f>
        <v>0.0531199839486356</v>
      </c>
      <c r="V155" s="2" t="str">
        <f aca="false">IF(S155&lt;=5,"Late night (0-5)",IF(S155&lt;=11,"Morning (6-11)",IF(S155&lt;=17,"Afternoon (12-17)","Evening (18-23)")))</f>
        <v>Evening (18-23)</v>
      </c>
    </row>
    <row r="156" customFormat="false" ht="15" hidden="false" customHeight="false" outlineLevel="0" collapsed="false">
      <c r="A156" s="2" t="s">
        <v>392</v>
      </c>
      <c r="B156" s="2" t="s">
        <v>264</v>
      </c>
      <c r="C156" s="2" t="s">
        <v>36</v>
      </c>
      <c r="D156" s="3" t="n">
        <v>45889</v>
      </c>
      <c r="E156" s="2" t="s">
        <v>393</v>
      </c>
      <c r="F156" s="2" t="s">
        <v>32</v>
      </c>
      <c r="G156" s="2" t="n">
        <v>22362</v>
      </c>
      <c r="H156" s="2" t="n">
        <v>9</v>
      </c>
      <c r="I156" s="2" t="n">
        <v>36</v>
      </c>
      <c r="J156" s="2" t="n">
        <v>1</v>
      </c>
      <c r="K156" s="2" t="n">
        <v>21747</v>
      </c>
      <c r="L156" s="2" t="n">
        <v>13615</v>
      </c>
      <c r="M156" s="2" t="n">
        <v>681</v>
      </c>
      <c r="N156" s="2" t="n">
        <v>52</v>
      </c>
      <c r="O156" s="2" t="n">
        <v>92</v>
      </c>
      <c r="P156" s="2" t="n">
        <v>105</v>
      </c>
      <c r="Q156" s="2" t="n">
        <v>305</v>
      </c>
      <c r="R156" s="2" t="n">
        <v>61</v>
      </c>
      <c r="S156" s="2" t="n">
        <v>14</v>
      </c>
      <c r="T156" s="2" t="s">
        <v>66</v>
      </c>
      <c r="U156" s="4" t="n">
        <f aca="false">(M156+N156+O156+P156)/L156</f>
        <v>0.0683070143224385</v>
      </c>
      <c r="V156" s="2" t="str">
        <f aca="false">IF(S156&lt;=5,"Late night (0-5)",IF(S156&lt;=11,"Morning (6-11)",IF(S156&lt;=17,"Afternoon (12-17)","Evening (18-23)")))</f>
        <v>Afternoon (12-17)</v>
      </c>
    </row>
    <row r="157" customFormat="false" ht="15" hidden="false" customHeight="false" outlineLevel="0" collapsed="false">
      <c r="A157" s="2" t="s">
        <v>394</v>
      </c>
      <c r="B157" s="2" t="s">
        <v>60</v>
      </c>
      <c r="C157" s="2" t="s">
        <v>41</v>
      </c>
      <c r="D157" s="3" t="n">
        <v>45808</v>
      </c>
      <c r="E157" s="2" t="s">
        <v>395</v>
      </c>
      <c r="F157" s="2" t="s">
        <v>38</v>
      </c>
      <c r="G157" s="2" t="n">
        <v>7512</v>
      </c>
      <c r="H157" s="2" t="n">
        <v>20</v>
      </c>
      <c r="I157" s="2" t="n">
        <v>222</v>
      </c>
      <c r="J157" s="2" t="n">
        <v>1</v>
      </c>
      <c r="K157" s="2" t="n">
        <v>11361</v>
      </c>
      <c r="L157" s="2" t="n">
        <v>6401</v>
      </c>
      <c r="M157" s="2" t="n">
        <v>433</v>
      </c>
      <c r="N157" s="2" t="n">
        <v>33</v>
      </c>
      <c r="O157" s="2" t="n">
        <v>78</v>
      </c>
      <c r="P157" s="2" t="n">
        <v>45</v>
      </c>
      <c r="Q157" s="2" t="n">
        <v>56</v>
      </c>
      <c r="R157" s="2" t="n">
        <v>5</v>
      </c>
      <c r="S157" s="2" t="n">
        <v>5</v>
      </c>
      <c r="T157" s="2" t="s">
        <v>62</v>
      </c>
      <c r="U157" s="4" t="n">
        <f aca="false">(M157+N157+O157+P157)/L157</f>
        <v>0.0920168723636932</v>
      </c>
      <c r="V157" s="2" t="str">
        <f aca="false">IF(S157&lt;=5,"Late night (0-5)",IF(S157&lt;=11,"Morning (6-11)",IF(S157&lt;=17,"Afternoon (12-17)","Evening (18-23)")))</f>
        <v>Late night (0-5)</v>
      </c>
    </row>
    <row r="158" customFormat="false" ht="15" hidden="false" customHeight="false" outlineLevel="0" collapsed="false">
      <c r="A158" s="2" t="s">
        <v>396</v>
      </c>
      <c r="B158" s="2" t="s">
        <v>126</v>
      </c>
      <c r="C158" s="2" t="s">
        <v>36</v>
      </c>
      <c r="D158" s="3" t="n">
        <v>45789</v>
      </c>
      <c r="E158" s="2" t="s">
        <v>397</v>
      </c>
      <c r="F158" s="2" t="s">
        <v>38</v>
      </c>
      <c r="G158" s="2" t="n">
        <v>28784</v>
      </c>
      <c r="H158" s="2" t="n">
        <v>15</v>
      </c>
      <c r="I158" s="2" t="n">
        <v>314</v>
      </c>
      <c r="J158" s="2" t="n">
        <v>0</v>
      </c>
      <c r="K158" s="2" t="n">
        <v>40704</v>
      </c>
      <c r="L158" s="2" t="n">
        <v>25126</v>
      </c>
      <c r="M158" s="2" t="n">
        <v>1568</v>
      </c>
      <c r="N158" s="2" t="n">
        <v>108</v>
      </c>
      <c r="O158" s="2" t="n">
        <v>218</v>
      </c>
      <c r="P158" s="2" t="n">
        <v>127</v>
      </c>
      <c r="Q158" s="2" t="n">
        <v>634</v>
      </c>
      <c r="R158" s="2" t="n">
        <v>83</v>
      </c>
      <c r="S158" s="2" t="n">
        <v>23</v>
      </c>
      <c r="T158" s="2" t="s">
        <v>33</v>
      </c>
      <c r="U158" s="4" t="n">
        <f aca="false">(M158+N158+O158+P158)/L158</f>
        <v>0.0804346095677784</v>
      </c>
      <c r="V158" s="2" t="str">
        <f aca="false">IF(S158&lt;=5,"Late night (0-5)",IF(S158&lt;=11,"Morning (6-11)",IF(S158&lt;=17,"Afternoon (12-17)","Evening (18-23)")))</f>
        <v>Evening (18-23)</v>
      </c>
    </row>
    <row r="159" customFormat="false" ht="15" hidden="false" customHeight="false" outlineLevel="0" collapsed="false">
      <c r="A159" s="2" t="s">
        <v>398</v>
      </c>
      <c r="B159" s="2" t="s">
        <v>129</v>
      </c>
      <c r="C159" s="2" t="s">
        <v>54</v>
      </c>
      <c r="D159" s="3" t="n">
        <v>45702</v>
      </c>
      <c r="E159" s="2" t="s">
        <v>399</v>
      </c>
      <c r="F159" s="2" t="s">
        <v>26</v>
      </c>
      <c r="G159" s="2" t="n">
        <v>10312</v>
      </c>
      <c r="H159" s="2" t="n">
        <v>12</v>
      </c>
      <c r="I159" s="2" t="n">
        <v>199</v>
      </c>
      <c r="J159" s="2" t="n">
        <v>0</v>
      </c>
      <c r="K159" s="2" t="n">
        <v>10397</v>
      </c>
      <c r="L159" s="2" t="n">
        <v>8003</v>
      </c>
      <c r="M159" s="2" t="n">
        <v>715</v>
      </c>
      <c r="N159" s="2" t="n">
        <v>16</v>
      </c>
      <c r="O159" s="2" t="n">
        <v>60</v>
      </c>
      <c r="P159" s="2" t="n">
        <v>130</v>
      </c>
      <c r="Q159" s="2" t="n">
        <v>115</v>
      </c>
      <c r="R159" s="2" t="n">
        <v>25</v>
      </c>
      <c r="S159" s="2" t="n">
        <v>12</v>
      </c>
      <c r="T159" s="2" t="s">
        <v>96</v>
      </c>
      <c r="U159" s="4" t="n">
        <f aca="false">(M159+N159+O159+P159)/L159</f>
        <v>0.115081844308384</v>
      </c>
      <c r="V159" s="2" t="str">
        <f aca="false">IF(S159&lt;=5,"Late night (0-5)",IF(S159&lt;=11,"Morning (6-11)",IF(S159&lt;=17,"Afternoon (12-17)","Evening (18-23)")))</f>
        <v>Afternoon (12-17)</v>
      </c>
    </row>
    <row r="160" customFormat="false" ht="15" hidden="false" customHeight="false" outlineLevel="0" collapsed="false">
      <c r="A160" s="2" t="s">
        <v>400</v>
      </c>
      <c r="B160" s="2" t="s">
        <v>327</v>
      </c>
      <c r="C160" s="2" t="s">
        <v>91</v>
      </c>
      <c r="D160" s="3" t="n">
        <v>45956</v>
      </c>
      <c r="E160" s="2" t="s">
        <v>401</v>
      </c>
      <c r="F160" s="2" t="s">
        <v>32</v>
      </c>
      <c r="G160" s="2" t="n">
        <v>16943</v>
      </c>
      <c r="H160" s="2" t="n">
        <v>24</v>
      </c>
      <c r="I160" s="2" t="n">
        <v>132</v>
      </c>
      <c r="J160" s="2" t="n">
        <v>0</v>
      </c>
      <c r="K160" s="2" t="n">
        <v>40052</v>
      </c>
      <c r="L160" s="2" t="n">
        <v>27241</v>
      </c>
      <c r="M160" s="2" t="n">
        <v>1867</v>
      </c>
      <c r="N160" s="2" t="n">
        <v>141</v>
      </c>
      <c r="O160" s="2" t="n">
        <v>178</v>
      </c>
      <c r="P160" s="2" t="n">
        <v>177</v>
      </c>
      <c r="Q160" s="2" t="n">
        <v>646</v>
      </c>
      <c r="R160" s="2" t="n">
        <v>149</v>
      </c>
      <c r="S160" s="2" t="n">
        <v>5</v>
      </c>
      <c r="T160" s="2" t="s">
        <v>27</v>
      </c>
      <c r="U160" s="4" t="n">
        <f aca="false">(M160+N160+O160+P160)/L160</f>
        <v>0.0867442458059543</v>
      </c>
      <c r="V160" s="2" t="str">
        <f aca="false">IF(S160&lt;=5,"Late night (0-5)",IF(S160&lt;=11,"Morning (6-11)",IF(S160&lt;=17,"Afternoon (12-17)","Evening (18-23)")))</f>
        <v>Late night (0-5)</v>
      </c>
    </row>
    <row r="161" customFormat="false" ht="15" hidden="false" customHeight="false" outlineLevel="0" collapsed="false">
      <c r="A161" s="2" t="s">
        <v>402</v>
      </c>
      <c r="B161" s="2" t="s">
        <v>35</v>
      </c>
      <c r="C161" s="2" t="s">
        <v>36</v>
      </c>
      <c r="D161" s="3" t="n">
        <v>45746</v>
      </c>
      <c r="E161" s="2" t="s">
        <v>403</v>
      </c>
      <c r="F161" s="2" t="s">
        <v>32</v>
      </c>
      <c r="G161" s="2" t="n">
        <v>33933</v>
      </c>
      <c r="H161" s="2" t="n">
        <v>15</v>
      </c>
      <c r="I161" s="2" t="n">
        <v>215</v>
      </c>
      <c r="J161" s="2" t="n">
        <v>0</v>
      </c>
      <c r="K161" s="2" t="n">
        <v>38178</v>
      </c>
      <c r="L161" s="2" t="n">
        <v>31613</v>
      </c>
      <c r="M161" s="2" t="n">
        <v>2867</v>
      </c>
      <c r="N161" s="2" t="n">
        <v>171</v>
      </c>
      <c r="O161" s="2" t="n">
        <v>822</v>
      </c>
      <c r="P161" s="2" t="n">
        <v>522</v>
      </c>
      <c r="Q161" s="2" t="n">
        <v>675</v>
      </c>
      <c r="R161" s="2" t="n">
        <v>114</v>
      </c>
      <c r="S161" s="2" t="n">
        <v>2</v>
      </c>
      <c r="T161" s="2" t="s">
        <v>27</v>
      </c>
      <c r="U161" s="4" t="n">
        <f aca="false">(M161+N161+O161+P161)/L161</f>
        <v>0.138613861386139</v>
      </c>
      <c r="V161" s="2" t="str">
        <f aca="false">IF(S161&lt;=5,"Late night (0-5)",IF(S161&lt;=11,"Morning (6-11)",IF(S161&lt;=17,"Afternoon (12-17)","Evening (18-23)")))</f>
        <v>Late night (0-5)</v>
      </c>
    </row>
    <row r="162" customFormat="false" ht="15" hidden="false" customHeight="false" outlineLevel="0" collapsed="false">
      <c r="A162" s="2" t="s">
        <v>404</v>
      </c>
      <c r="B162" s="2" t="s">
        <v>60</v>
      </c>
      <c r="C162" s="2" t="s">
        <v>41</v>
      </c>
      <c r="D162" s="3" t="n">
        <v>45920</v>
      </c>
      <c r="E162" s="2" t="s">
        <v>405</v>
      </c>
      <c r="F162" s="2" t="s">
        <v>32</v>
      </c>
      <c r="G162" s="2" t="n">
        <v>7512</v>
      </c>
      <c r="H162" s="2" t="n">
        <v>16</v>
      </c>
      <c r="I162" s="2" t="n">
        <v>158</v>
      </c>
      <c r="J162" s="2" t="n">
        <v>1</v>
      </c>
      <c r="K162" s="2" t="n">
        <v>17392</v>
      </c>
      <c r="L162" s="2" t="n">
        <v>14112</v>
      </c>
      <c r="M162" s="2" t="n">
        <v>1150</v>
      </c>
      <c r="N162" s="2" t="n">
        <v>74</v>
      </c>
      <c r="O162" s="2" t="n">
        <v>321</v>
      </c>
      <c r="P162" s="2" t="n">
        <v>219</v>
      </c>
      <c r="Q162" s="2" t="n">
        <v>167</v>
      </c>
      <c r="R162" s="2" t="n">
        <v>11</v>
      </c>
      <c r="S162" s="2" t="n">
        <v>18</v>
      </c>
      <c r="T162" s="2" t="s">
        <v>62</v>
      </c>
      <c r="U162" s="4" t="n">
        <f aca="false">(M162+N162+O162+P162)/L162</f>
        <v>0.125</v>
      </c>
      <c r="V162" s="2" t="str">
        <f aca="false">IF(S162&lt;=5,"Late night (0-5)",IF(S162&lt;=11,"Morning (6-11)",IF(S162&lt;=17,"Afternoon (12-17)","Evening (18-23)")))</f>
        <v>Evening (18-23)</v>
      </c>
    </row>
    <row r="163" customFormat="false" ht="15" hidden="false" customHeight="false" outlineLevel="0" collapsed="false">
      <c r="A163" s="2" t="s">
        <v>406</v>
      </c>
      <c r="B163" s="2" t="s">
        <v>129</v>
      </c>
      <c r="C163" s="2" t="s">
        <v>54</v>
      </c>
      <c r="D163" s="3" t="n">
        <v>46019</v>
      </c>
      <c r="E163" s="2" t="s">
        <v>407</v>
      </c>
      <c r="F163" s="2" t="s">
        <v>26</v>
      </c>
      <c r="G163" s="2" t="n">
        <v>10312</v>
      </c>
      <c r="H163" s="2" t="n">
        <v>12</v>
      </c>
      <c r="I163" s="2" t="n">
        <v>266</v>
      </c>
      <c r="J163" s="2" t="n">
        <v>0</v>
      </c>
      <c r="K163" s="2" t="n">
        <v>12399</v>
      </c>
      <c r="L163" s="2" t="n">
        <v>7620</v>
      </c>
      <c r="M163" s="2" t="n">
        <v>391</v>
      </c>
      <c r="N163" s="2" t="n">
        <v>19</v>
      </c>
      <c r="O163" s="2" t="n">
        <v>62</v>
      </c>
      <c r="P163" s="2" t="n">
        <v>34</v>
      </c>
      <c r="Q163" s="2" t="n">
        <v>51</v>
      </c>
      <c r="R163" s="2" t="n">
        <v>7</v>
      </c>
      <c r="S163" s="2" t="n">
        <v>0</v>
      </c>
      <c r="T163" s="2" t="s">
        <v>27</v>
      </c>
      <c r="U163" s="4" t="n">
        <f aca="false">(M163+N163+O163+P163)/L163</f>
        <v>0.0664041994750656</v>
      </c>
      <c r="V163" s="2" t="str">
        <f aca="false">IF(S163&lt;=5,"Late night (0-5)",IF(S163&lt;=11,"Morning (6-11)",IF(S163&lt;=17,"Afternoon (12-17)","Evening (18-23)")))</f>
        <v>Late night (0-5)</v>
      </c>
    </row>
    <row r="164" customFormat="false" ht="15" hidden="false" customHeight="false" outlineLevel="0" collapsed="false">
      <c r="A164" s="2" t="s">
        <v>408</v>
      </c>
      <c r="B164" s="2" t="s">
        <v>409</v>
      </c>
      <c r="C164" s="2" t="s">
        <v>48</v>
      </c>
      <c r="D164" s="3" t="n">
        <v>45684</v>
      </c>
      <c r="E164" s="2" t="s">
        <v>410</v>
      </c>
      <c r="F164" s="2" t="s">
        <v>50</v>
      </c>
      <c r="G164" s="2" t="n">
        <v>31525</v>
      </c>
      <c r="H164" s="2" t="n">
        <v>8</v>
      </c>
      <c r="I164" s="2" t="n">
        <v>227</v>
      </c>
      <c r="J164" s="2" t="n">
        <v>0</v>
      </c>
      <c r="K164" s="2" t="n">
        <v>23273</v>
      </c>
      <c r="L164" s="2" t="n">
        <v>18472</v>
      </c>
      <c r="M164" s="2" t="n">
        <v>710</v>
      </c>
      <c r="N164" s="2" t="n">
        <v>34</v>
      </c>
      <c r="O164" s="2" t="n">
        <v>82</v>
      </c>
      <c r="P164" s="2" t="n">
        <v>172</v>
      </c>
      <c r="Q164" s="2" t="n">
        <v>420</v>
      </c>
      <c r="R164" s="2" t="n">
        <v>116</v>
      </c>
      <c r="S164" s="2" t="n">
        <v>7</v>
      </c>
      <c r="T164" s="2" t="s">
        <v>33</v>
      </c>
      <c r="U164" s="4" t="n">
        <f aca="false">(M164+N164+O164+P164)/L164</f>
        <v>0.0540277176266782</v>
      </c>
      <c r="V164" s="2" t="str">
        <f aca="false">IF(S164&lt;=5,"Late night (0-5)",IF(S164&lt;=11,"Morning (6-11)",IF(S164&lt;=17,"Afternoon (12-17)","Evening (18-23)")))</f>
        <v>Morning (6-11)</v>
      </c>
    </row>
    <row r="165" customFormat="false" ht="15" hidden="false" customHeight="false" outlineLevel="0" collapsed="false">
      <c r="A165" s="2" t="s">
        <v>411</v>
      </c>
      <c r="B165" s="2" t="s">
        <v>148</v>
      </c>
      <c r="C165" s="2" t="s">
        <v>48</v>
      </c>
      <c r="D165" s="3" t="n">
        <v>45714</v>
      </c>
      <c r="E165" s="2" t="s">
        <v>412</v>
      </c>
      <c r="F165" s="2" t="s">
        <v>32</v>
      </c>
      <c r="G165" s="2" t="n">
        <v>46311</v>
      </c>
      <c r="H165" s="2" t="n">
        <v>1</v>
      </c>
      <c r="I165" s="2" t="n">
        <v>300</v>
      </c>
      <c r="J165" s="2" t="n">
        <v>1</v>
      </c>
      <c r="K165" s="2" t="n">
        <v>58537</v>
      </c>
      <c r="L165" s="2" t="n">
        <v>51525</v>
      </c>
      <c r="M165" s="2" t="n">
        <v>4433</v>
      </c>
      <c r="N165" s="2" t="n">
        <v>347</v>
      </c>
      <c r="O165" s="2" t="n">
        <v>713</v>
      </c>
      <c r="P165" s="2" t="n">
        <v>384</v>
      </c>
      <c r="Q165" s="2" t="n">
        <v>1311</v>
      </c>
      <c r="R165" s="2" t="n">
        <v>151</v>
      </c>
      <c r="S165" s="2" t="n">
        <v>0</v>
      </c>
      <c r="T165" s="2" t="s">
        <v>66</v>
      </c>
      <c r="U165" s="4" t="n">
        <f aca="false">(M165+N165+O165+P165)/L165</f>
        <v>0.114061135371179</v>
      </c>
      <c r="V165" s="2" t="str">
        <f aca="false">IF(S165&lt;=5,"Late night (0-5)",IF(S165&lt;=11,"Morning (6-11)",IF(S165&lt;=17,"Afternoon (12-17)","Evening (18-23)")))</f>
        <v>Late night (0-5)</v>
      </c>
    </row>
    <row r="166" customFormat="false" ht="15" hidden="false" customHeight="false" outlineLevel="0" collapsed="false">
      <c r="A166" s="2" t="s">
        <v>413</v>
      </c>
      <c r="B166" s="2" t="s">
        <v>247</v>
      </c>
      <c r="C166" s="2" t="s">
        <v>24</v>
      </c>
      <c r="D166" s="3" t="n">
        <v>45840</v>
      </c>
      <c r="E166" s="2" t="s">
        <v>207</v>
      </c>
      <c r="F166" s="2" t="s">
        <v>32</v>
      </c>
      <c r="G166" s="2" t="n">
        <v>70847</v>
      </c>
      <c r="H166" s="2" t="n">
        <v>9</v>
      </c>
      <c r="I166" s="2" t="n">
        <v>126</v>
      </c>
      <c r="J166" s="2" t="n">
        <v>0</v>
      </c>
      <c r="K166" s="2" t="n">
        <v>119571</v>
      </c>
      <c r="L166" s="2" t="n">
        <v>68960</v>
      </c>
      <c r="M166" s="2" t="n">
        <v>3865</v>
      </c>
      <c r="N166" s="2" t="n">
        <v>227</v>
      </c>
      <c r="O166" s="2" t="n">
        <v>213</v>
      </c>
      <c r="P166" s="2" t="n">
        <v>672</v>
      </c>
      <c r="Q166" s="2" t="n">
        <v>1473</v>
      </c>
      <c r="R166" s="2" t="n">
        <v>271</v>
      </c>
      <c r="S166" s="2" t="n">
        <v>4</v>
      </c>
      <c r="T166" s="2" t="s">
        <v>66</v>
      </c>
      <c r="U166" s="4" t="n">
        <f aca="false">(M166+N166+O166+P166)/L166</f>
        <v>0.0721722737819026</v>
      </c>
      <c r="V166" s="2" t="str">
        <f aca="false">IF(S166&lt;=5,"Late night (0-5)",IF(S166&lt;=11,"Morning (6-11)",IF(S166&lt;=17,"Afternoon (12-17)","Evening (18-23)")))</f>
        <v>Late night (0-5)</v>
      </c>
    </row>
    <row r="167" customFormat="false" ht="15" hidden="false" customHeight="false" outlineLevel="0" collapsed="false">
      <c r="A167" s="2" t="s">
        <v>414</v>
      </c>
      <c r="B167" s="2" t="s">
        <v>74</v>
      </c>
      <c r="C167" s="2" t="s">
        <v>30</v>
      </c>
      <c r="D167" s="3" t="n">
        <v>45971</v>
      </c>
      <c r="E167" s="2" t="s">
        <v>415</v>
      </c>
      <c r="F167" s="2" t="s">
        <v>32</v>
      </c>
      <c r="G167" s="2" t="n">
        <v>20432</v>
      </c>
      <c r="H167" s="2" t="n">
        <v>8</v>
      </c>
      <c r="I167" s="2" t="n">
        <v>311</v>
      </c>
      <c r="J167" s="2" t="n">
        <v>0</v>
      </c>
      <c r="K167" s="2" t="n">
        <v>75769</v>
      </c>
      <c r="L167" s="2" t="n">
        <v>48571</v>
      </c>
      <c r="M167" s="2" t="n">
        <v>2630</v>
      </c>
      <c r="N167" s="2" t="n">
        <v>173</v>
      </c>
      <c r="O167" s="2" t="n">
        <v>563</v>
      </c>
      <c r="P167" s="2" t="n">
        <v>217</v>
      </c>
      <c r="Q167" s="2" t="n">
        <v>485</v>
      </c>
      <c r="R167" s="2" t="n">
        <v>60</v>
      </c>
      <c r="S167" s="2" t="n">
        <v>20</v>
      </c>
      <c r="T167" s="2" t="s">
        <v>33</v>
      </c>
      <c r="U167" s="4" t="n">
        <f aca="false">(M167+N167+O167+P167)/L167</f>
        <v>0.0737682979555702</v>
      </c>
      <c r="V167" s="2" t="str">
        <f aca="false">IF(S167&lt;=5,"Late night (0-5)",IF(S167&lt;=11,"Morning (6-11)",IF(S167&lt;=17,"Afternoon (12-17)","Evening (18-23)")))</f>
        <v>Evening (18-23)</v>
      </c>
    </row>
    <row r="168" customFormat="false" ht="15" hidden="false" customHeight="false" outlineLevel="0" collapsed="false">
      <c r="A168" s="2" t="s">
        <v>416</v>
      </c>
      <c r="B168" s="2" t="s">
        <v>74</v>
      </c>
      <c r="C168" s="2" t="s">
        <v>30</v>
      </c>
      <c r="D168" s="3" t="n">
        <v>45870</v>
      </c>
      <c r="E168" s="2" t="s">
        <v>112</v>
      </c>
      <c r="F168" s="2" t="s">
        <v>32</v>
      </c>
      <c r="G168" s="2" t="n">
        <v>20432</v>
      </c>
      <c r="H168" s="2" t="n">
        <v>14</v>
      </c>
      <c r="I168" s="2" t="n">
        <v>104</v>
      </c>
      <c r="J168" s="2" t="n">
        <v>1</v>
      </c>
      <c r="K168" s="2" t="n">
        <v>18580</v>
      </c>
      <c r="L168" s="2" t="n">
        <v>15924</v>
      </c>
      <c r="M168" s="2" t="n">
        <v>1389</v>
      </c>
      <c r="N168" s="2" t="n">
        <v>88</v>
      </c>
      <c r="O168" s="2" t="n">
        <v>386</v>
      </c>
      <c r="P168" s="2" t="n">
        <v>249</v>
      </c>
      <c r="Q168" s="2" t="n">
        <v>207</v>
      </c>
      <c r="R168" s="2" t="n">
        <v>53</v>
      </c>
      <c r="S168" s="2" t="n">
        <v>2</v>
      </c>
      <c r="T168" s="2" t="s">
        <v>96</v>
      </c>
      <c r="U168" s="4" t="n">
        <f aca="false">(M168+N168+O168+P168)/L168</f>
        <v>0.132629992464205</v>
      </c>
      <c r="V168" s="2" t="str">
        <f aca="false">IF(S168&lt;=5,"Late night (0-5)",IF(S168&lt;=11,"Morning (6-11)",IF(S168&lt;=17,"Afternoon (12-17)","Evening (18-23)")))</f>
        <v>Late night (0-5)</v>
      </c>
    </row>
    <row r="169" customFormat="false" ht="15" hidden="false" customHeight="false" outlineLevel="0" collapsed="false">
      <c r="A169" s="2" t="s">
        <v>417</v>
      </c>
      <c r="B169" s="2" t="s">
        <v>132</v>
      </c>
      <c r="C169" s="2" t="s">
        <v>36</v>
      </c>
      <c r="D169" s="3" t="n">
        <v>45779</v>
      </c>
      <c r="E169" s="2" t="s">
        <v>418</v>
      </c>
      <c r="F169" s="2" t="s">
        <v>32</v>
      </c>
      <c r="G169" s="2" t="n">
        <v>83053</v>
      </c>
      <c r="H169" s="2" t="n">
        <v>13</v>
      </c>
      <c r="I169" s="2" t="n">
        <v>127</v>
      </c>
      <c r="J169" s="2" t="n">
        <v>0</v>
      </c>
      <c r="K169" s="2" t="n">
        <v>140021</v>
      </c>
      <c r="L169" s="2" t="n">
        <v>91420</v>
      </c>
      <c r="M169" s="2" t="n">
        <v>7327</v>
      </c>
      <c r="N169" s="2" t="n">
        <v>309</v>
      </c>
      <c r="O169" s="2" t="n">
        <v>795</v>
      </c>
      <c r="P169" s="2" t="n">
        <v>1280</v>
      </c>
      <c r="Q169" s="2" t="n">
        <v>762</v>
      </c>
      <c r="R169" s="2" t="n">
        <v>166</v>
      </c>
      <c r="S169" s="2" t="n">
        <v>13</v>
      </c>
      <c r="T169" s="2" t="s">
        <v>96</v>
      </c>
      <c r="U169" s="4" t="n">
        <f aca="false">(M169+N169+O169+P169)/L169</f>
        <v>0.106224021001969</v>
      </c>
      <c r="V169" s="2" t="str">
        <f aca="false">IF(S169&lt;=5,"Late night (0-5)",IF(S169&lt;=11,"Morning (6-11)",IF(S169&lt;=17,"Afternoon (12-17)","Evening (18-23)")))</f>
        <v>Afternoon (12-17)</v>
      </c>
    </row>
    <row r="170" customFormat="false" ht="15" hidden="false" customHeight="false" outlineLevel="0" collapsed="false">
      <c r="A170" s="2" t="s">
        <v>419</v>
      </c>
      <c r="B170" s="2" t="s">
        <v>29</v>
      </c>
      <c r="C170" s="2" t="s">
        <v>30</v>
      </c>
      <c r="D170" s="3" t="n">
        <v>45831</v>
      </c>
      <c r="E170" s="2" t="s">
        <v>420</v>
      </c>
      <c r="F170" s="2" t="s">
        <v>32</v>
      </c>
      <c r="G170" s="2" t="n">
        <v>11612</v>
      </c>
      <c r="H170" s="2" t="n">
        <v>8</v>
      </c>
      <c r="I170" s="2" t="n">
        <v>200</v>
      </c>
      <c r="J170" s="2" t="n">
        <v>1</v>
      </c>
      <c r="K170" s="2" t="n">
        <v>6866</v>
      </c>
      <c r="L170" s="2" t="n">
        <v>4551</v>
      </c>
      <c r="M170" s="2" t="n">
        <v>267</v>
      </c>
      <c r="N170" s="2" t="n">
        <v>18</v>
      </c>
      <c r="O170" s="2" t="n">
        <v>19</v>
      </c>
      <c r="P170" s="2" t="n">
        <v>51</v>
      </c>
      <c r="Q170" s="2" t="n">
        <v>40</v>
      </c>
      <c r="R170" s="2" t="n">
        <v>7</v>
      </c>
      <c r="S170" s="2" t="n">
        <v>17</v>
      </c>
      <c r="T170" s="2" t="s">
        <v>33</v>
      </c>
      <c r="U170" s="4" t="n">
        <f aca="false">(M170+N170+O170+P170)/L170</f>
        <v>0.0780048341023951</v>
      </c>
      <c r="V170" s="2" t="str">
        <f aca="false">IF(S170&lt;=5,"Late night (0-5)",IF(S170&lt;=11,"Morning (6-11)",IF(S170&lt;=17,"Afternoon (12-17)","Evening (18-23)")))</f>
        <v>Afternoon (12-17)</v>
      </c>
    </row>
    <row r="171" customFormat="false" ht="15" hidden="false" customHeight="false" outlineLevel="0" collapsed="false">
      <c r="A171" s="2" t="s">
        <v>421</v>
      </c>
      <c r="B171" s="2" t="s">
        <v>132</v>
      </c>
      <c r="C171" s="2" t="s">
        <v>36</v>
      </c>
      <c r="D171" s="3" t="n">
        <v>45672</v>
      </c>
      <c r="E171" s="2" t="s">
        <v>422</v>
      </c>
      <c r="F171" s="2" t="s">
        <v>50</v>
      </c>
      <c r="G171" s="2" t="n">
        <v>83053</v>
      </c>
      <c r="H171" s="2" t="n">
        <v>11</v>
      </c>
      <c r="I171" s="2" t="n">
        <v>269</v>
      </c>
      <c r="J171" s="2" t="n">
        <v>0</v>
      </c>
      <c r="K171" s="2" t="n">
        <v>221619</v>
      </c>
      <c r="L171" s="2" t="n">
        <v>181930</v>
      </c>
      <c r="M171" s="2" t="n">
        <v>10193</v>
      </c>
      <c r="N171" s="2" t="n">
        <v>377</v>
      </c>
      <c r="O171" s="2" t="n">
        <v>1372</v>
      </c>
      <c r="P171" s="2" t="n">
        <v>2816</v>
      </c>
      <c r="Q171" s="2" t="n">
        <v>3142</v>
      </c>
      <c r="R171" s="2" t="n">
        <v>592</v>
      </c>
      <c r="S171" s="2" t="n">
        <v>22</v>
      </c>
      <c r="T171" s="2" t="s">
        <v>66</v>
      </c>
      <c r="U171" s="4" t="n">
        <f aca="false">(M171+N171+O171+P171)/L171</f>
        <v>0.081119111746276</v>
      </c>
      <c r="V171" s="2" t="str">
        <f aca="false">IF(S171&lt;=5,"Late night (0-5)",IF(S171&lt;=11,"Morning (6-11)",IF(S171&lt;=17,"Afternoon (12-17)","Evening (18-23)")))</f>
        <v>Evening (18-23)</v>
      </c>
    </row>
    <row r="172" customFormat="false" ht="15" hidden="false" customHeight="false" outlineLevel="0" collapsed="false">
      <c r="A172" s="2" t="s">
        <v>423</v>
      </c>
      <c r="B172" s="2" t="s">
        <v>47</v>
      </c>
      <c r="C172" s="2" t="s">
        <v>48</v>
      </c>
      <c r="D172" s="3" t="n">
        <v>45927</v>
      </c>
      <c r="E172" s="2" t="s">
        <v>424</v>
      </c>
      <c r="F172" s="2" t="s">
        <v>26</v>
      </c>
      <c r="G172" s="2" t="n">
        <v>19609</v>
      </c>
      <c r="H172" s="2" t="n">
        <v>6</v>
      </c>
      <c r="I172" s="2" t="n">
        <v>254</v>
      </c>
      <c r="J172" s="2" t="n">
        <v>0</v>
      </c>
      <c r="K172" s="2" t="n">
        <v>11719</v>
      </c>
      <c r="L172" s="2" t="n">
        <v>8205</v>
      </c>
      <c r="M172" s="2" t="n">
        <v>666</v>
      </c>
      <c r="N172" s="2" t="n">
        <v>38</v>
      </c>
      <c r="O172" s="2" t="n">
        <v>119</v>
      </c>
      <c r="P172" s="2" t="n">
        <v>232</v>
      </c>
      <c r="Q172" s="2" t="n">
        <v>105</v>
      </c>
      <c r="R172" s="2" t="n">
        <v>10</v>
      </c>
      <c r="S172" s="2" t="n">
        <v>13</v>
      </c>
      <c r="T172" s="2" t="s">
        <v>62</v>
      </c>
      <c r="U172" s="4" t="n">
        <f aca="false">(M172+N172+O172+P172)/L172</f>
        <v>0.128580134064595</v>
      </c>
      <c r="V172" s="2" t="str">
        <f aca="false">IF(S172&lt;=5,"Late night (0-5)",IF(S172&lt;=11,"Morning (6-11)",IF(S172&lt;=17,"Afternoon (12-17)","Evening (18-23)")))</f>
        <v>Afternoon (12-17)</v>
      </c>
    </row>
    <row r="173" customFormat="false" ht="15" hidden="false" customHeight="false" outlineLevel="0" collapsed="false">
      <c r="A173" s="2" t="s">
        <v>425</v>
      </c>
      <c r="B173" s="2" t="s">
        <v>426</v>
      </c>
      <c r="C173" s="2" t="s">
        <v>30</v>
      </c>
      <c r="D173" s="3" t="n">
        <v>46020</v>
      </c>
      <c r="E173" s="2" t="s">
        <v>427</v>
      </c>
      <c r="F173" s="2" t="s">
        <v>50</v>
      </c>
      <c r="G173" s="2" t="n">
        <v>40649</v>
      </c>
      <c r="H173" s="2" t="n">
        <v>13</v>
      </c>
      <c r="I173" s="2" t="n">
        <v>217</v>
      </c>
      <c r="J173" s="2" t="n">
        <v>0</v>
      </c>
      <c r="K173" s="2" t="n">
        <v>17141</v>
      </c>
      <c r="L173" s="2" t="n">
        <v>13576</v>
      </c>
      <c r="M173" s="2" t="n">
        <v>431</v>
      </c>
      <c r="N173" s="2" t="n">
        <v>17</v>
      </c>
      <c r="O173" s="2" t="n">
        <v>57</v>
      </c>
      <c r="P173" s="2" t="n">
        <v>54</v>
      </c>
      <c r="Q173" s="2" t="n">
        <v>264</v>
      </c>
      <c r="R173" s="2" t="n">
        <v>16</v>
      </c>
      <c r="S173" s="2" t="n">
        <v>11</v>
      </c>
      <c r="T173" s="2" t="s">
        <v>33</v>
      </c>
      <c r="U173" s="4" t="n">
        <f aca="false">(M173+N173+O173+P173)/L173</f>
        <v>0.0411756040070713</v>
      </c>
      <c r="V173" s="2" t="str">
        <f aca="false">IF(S173&lt;=5,"Late night (0-5)",IF(S173&lt;=11,"Morning (6-11)",IF(S173&lt;=17,"Afternoon (12-17)","Evening (18-23)")))</f>
        <v>Morning (6-11)</v>
      </c>
    </row>
    <row r="174" customFormat="false" ht="15" hidden="false" customHeight="false" outlineLevel="0" collapsed="false">
      <c r="A174" s="2" t="s">
        <v>428</v>
      </c>
      <c r="B174" s="2" t="s">
        <v>90</v>
      </c>
      <c r="C174" s="2" t="s">
        <v>91</v>
      </c>
      <c r="D174" s="3" t="n">
        <v>45664</v>
      </c>
      <c r="E174" s="2" t="s">
        <v>429</v>
      </c>
      <c r="F174" s="2" t="s">
        <v>32</v>
      </c>
      <c r="G174" s="2" t="n">
        <v>54788</v>
      </c>
      <c r="H174" s="2" t="n">
        <v>18</v>
      </c>
      <c r="I174" s="2" t="n">
        <v>286</v>
      </c>
      <c r="J174" s="2" t="n">
        <v>0</v>
      </c>
      <c r="K174" s="2" t="n">
        <v>100531</v>
      </c>
      <c r="L174" s="2" t="n">
        <v>58687</v>
      </c>
      <c r="M174" s="2" t="n">
        <v>4630</v>
      </c>
      <c r="N174" s="2" t="n">
        <v>235</v>
      </c>
      <c r="O174" s="2" t="n">
        <v>878</v>
      </c>
      <c r="P174" s="2" t="n">
        <v>327</v>
      </c>
      <c r="Q174" s="2" t="n">
        <v>1379</v>
      </c>
      <c r="R174" s="2" t="n">
        <v>89</v>
      </c>
      <c r="S174" s="2" t="n">
        <v>15</v>
      </c>
      <c r="T174" s="2" t="s">
        <v>51</v>
      </c>
      <c r="U174" s="4" t="n">
        <f aca="false">(M174+N174+O174+P174)/L174</f>
        <v>0.10343006117198</v>
      </c>
      <c r="V174" s="2" t="str">
        <f aca="false">IF(S174&lt;=5,"Late night (0-5)",IF(S174&lt;=11,"Morning (6-11)",IF(S174&lt;=17,"Afternoon (12-17)","Evening (18-23)")))</f>
        <v>Afternoon (12-17)</v>
      </c>
    </row>
    <row r="175" customFormat="false" ht="15" hidden="false" customHeight="false" outlineLevel="0" collapsed="false">
      <c r="A175" s="2" t="s">
        <v>430</v>
      </c>
      <c r="B175" s="2" t="s">
        <v>431</v>
      </c>
      <c r="C175" s="2" t="s">
        <v>36</v>
      </c>
      <c r="D175" s="3" t="n">
        <v>45724</v>
      </c>
      <c r="E175" s="2" t="s">
        <v>432</v>
      </c>
      <c r="F175" s="2" t="s">
        <v>38</v>
      </c>
      <c r="G175" s="2" t="n">
        <v>64821</v>
      </c>
      <c r="H175" s="2" t="n">
        <v>4</v>
      </c>
      <c r="I175" s="2" t="n">
        <v>237</v>
      </c>
      <c r="J175" s="2" t="n">
        <v>1</v>
      </c>
      <c r="K175" s="2" t="n">
        <v>40577</v>
      </c>
      <c r="L175" s="2" t="n">
        <v>31289</v>
      </c>
      <c r="M175" s="2" t="n">
        <v>2177</v>
      </c>
      <c r="N175" s="2" t="n">
        <v>62</v>
      </c>
      <c r="O175" s="2" t="n">
        <v>106</v>
      </c>
      <c r="P175" s="2" t="n">
        <v>180</v>
      </c>
      <c r="Q175" s="2" t="n">
        <v>217</v>
      </c>
      <c r="R175" s="2" t="n">
        <v>58</v>
      </c>
      <c r="S175" s="2" t="n">
        <v>5</v>
      </c>
      <c r="T175" s="2" t="s">
        <v>62</v>
      </c>
      <c r="U175" s="4" t="n">
        <f aca="false">(M175+N175+O175+P175)/L175</f>
        <v>0.0806992872894628</v>
      </c>
      <c r="V175" s="2" t="str">
        <f aca="false">IF(S175&lt;=5,"Late night (0-5)",IF(S175&lt;=11,"Morning (6-11)",IF(S175&lt;=17,"Afternoon (12-17)","Evening (18-23)")))</f>
        <v>Late night (0-5)</v>
      </c>
    </row>
    <row r="176" customFormat="false" ht="15" hidden="false" customHeight="false" outlineLevel="0" collapsed="false">
      <c r="A176" s="2" t="s">
        <v>433</v>
      </c>
      <c r="B176" s="2" t="s">
        <v>57</v>
      </c>
      <c r="C176" s="2" t="s">
        <v>24</v>
      </c>
      <c r="D176" s="3" t="n">
        <v>45859</v>
      </c>
      <c r="E176" s="2" t="s">
        <v>434</v>
      </c>
      <c r="F176" s="2" t="s">
        <v>32</v>
      </c>
      <c r="G176" s="2" t="n">
        <v>31021</v>
      </c>
      <c r="H176" s="2" t="n">
        <v>12</v>
      </c>
      <c r="I176" s="2" t="n">
        <v>162</v>
      </c>
      <c r="J176" s="2" t="n">
        <v>0</v>
      </c>
      <c r="K176" s="2" t="n">
        <v>146895</v>
      </c>
      <c r="L176" s="2" t="n">
        <v>107930</v>
      </c>
      <c r="M176" s="2" t="n">
        <v>8187</v>
      </c>
      <c r="N176" s="2" t="n">
        <v>645</v>
      </c>
      <c r="O176" s="2" t="n">
        <v>618</v>
      </c>
      <c r="P176" s="2" t="n">
        <v>1958</v>
      </c>
      <c r="Q176" s="2" t="n">
        <v>1441</v>
      </c>
      <c r="R176" s="2" t="n">
        <v>114</v>
      </c>
      <c r="S176" s="2" t="n">
        <v>20</v>
      </c>
      <c r="T176" s="2" t="s">
        <v>33</v>
      </c>
      <c r="U176" s="4" t="n">
        <f aca="false">(M176+N176+O176+P176)/L176</f>
        <v>0.105698137681831</v>
      </c>
      <c r="V176" s="2" t="str">
        <f aca="false">IF(S176&lt;=5,"Late night (0-5)",IF(S176&lt;=11,"Morning (6-11)",IF(S176&lt;=17,"Afternoon (12-17)","Evening (18-23)")))</f>
        <v>Evening (18-23)</v>
      </c>
    </row>
    <row r="177" customFormat="false" ht="15" hidden="false" customHeight="false" outlineLevel="0" collapsed="false">
      <c r="A177" s="2" t="s">
        <v>435</v>
      </c>
      <c r="B177" s="2" t="s">
        <v>44</v>
      </c>
      <c r="C177" s="2" t="s">
        <v>36</v>
      </c>
      <c r="D177" s="3" t="n">
        <v>45731</v>
      </c>
      <c r="E177" s="2" t="s">
        <v>436</v>
      </c>
      <c r="F177" s="2" t="s">
        <v>38</v>
      </c>
      <c r="G177" s="2" t="n">
        <v>6265</v>
      </c>
      <c r="H177" s="2" t="n">
        <v>9</v>
      </c>
      <c r="I177" s="2" t="n">
        <v>184</v>
      </c>
      <c r="J177" s="2" t="n">
        <v>0</v>
      </c>
      <c r="K177" s="2" t="n">
        <v>4798</v>
      </c>
      <c r="L177" s="2" t="n">
        <v>4348</v>
      </c>
      <c r="M177" s="2" t="n">
        <v>145</v>
      </c>
      <c r="N177" s="2" t="n">
        <v>4</v>
      </c>
      <c r="O177" s="2" t="n">
        <v>10</v>
      </c>
      <c r="P177" s="2" t="n">
        <v>40</v>
      </c>
      <c r="Q177" s="2" t="n">
        <v>78</v>
      </c>
      <c r="R177" s="2" t="n">
        <v>19</v>
      </c>
      <c r="S177" s="2" t="n">
        <v>20</v>
      </c>
      <c r="T177" s="2" t="s">
        <v>62</v>
      </c>
      <c r="U177" s="4" t="n">
        <f aca="false">(M177+N177+O177+P177)/L177</f>
        <v>0.0457681692732291</v>
      </c>
      <c r="V177" s="2" t="str">
        <f aca="false">IF(S177&lt;=5,"Late night (0-5)",IF(S177&lt;=11,"Morning (6-11)",IF(S177&lt;=17,"Afternoon (12-17)","Evening (18-23)")))</f>
        <v>Evening (18-23)</v>
      </c>
    </row>
    <row r="178" customFormat="false" ht="15" hidden="false" customHeight="false" outlineLevel="0" collapsed="false">
      <c r="A178" s="2" t="s">
        <v>437</v>
      </c>
      <c r="B178" s="2" t="s">
        <v>327</v>
      </c>
      <c r="C178" s="2" t="s">
        <v>91</v>
      </c>
      <c r="D178" s="3" t="n">
        <v>45962</v>
      </c>
      <c r="E178" s="2" t="s">
        <v>438</v>
      </c>
      <c r="F178" s="2" t="s">
        <v>38</v>
      </c>
      <c r="G178" s="2" t="n">
        <v>16943</v>
      </c>
      <c r="H178" s="2" t="n">
        <v>12</v>
      </c>
      <c r="I178" s="2" t="n">
        <v>268</v>
      </c>
      <c r="J178" s="2" t="n">
        <v>1</v>
      </c>
      <c r="K178" s="2" t="n">
        <v>33181</v>
      </c>
      <c r="L178" s="2" t="n">
        <v>20731</v>
      </c>
      <c r="M178" s="2" t="n">
        <v>953</v>
      </c>
      <c r="N178" s="2" t="n">
        <v>50</v>
      </c>
      <c r="O178" s="2" t="n">
        <v>167</v>
      </c>
      <c r="P178" s="2" t="n">
        <v>107</v>
      </c>
      <c r="Q178" s="2" t="n">
        <v>485</v>
      </c>
      <c r="R178" s="2" t="n">
        <v>139</v>
      </c>
      <c r="S178" s="2" t="n">
        <v>7</v>
      </c>
      <c r="T178" s="2" t="s">
        <v>62</v>
      </c>
      <c r="U178" s="4" t="n">
        <f aca="false">(M178+N178+O178+P178)/L178</f>
        <v>0.0615985721865805</v>
      </c>
      <c r="V178" s="2" t="str">
        <f aca="false">IF(S178&lt;=5,"Late night (0-5)",IF(S178&lt;=11,"Morning (6-11)",IF(S178&lt;=17,"Afternoon (12-17)","Evening (18-23)")))</f>
        <v>Morning (6-11)</v>
      </c>
    </row>
    <row r="179" customFormat="false" ht="15" hidden="false" customHeight="false" outlineLevel="0" collapsed="false">
      <c r="A179" s="2" t="s">
        <v>439</v>
      </c>
      <c r="B179" s="2" t="s">
        <v>23</v>
      </c>
      <c r="C179" s="2" t="s">
        <v>24</v>
      </c>
      <c r="D179" s="3" t="n">
        <v>45717</v>
      </c>
      <c r="E179" s="2" t="s">
        <v>440</v>
      </c>
      <c r="F179" s="2" t="s">
        <v>38</v>
      </c>
      <c r="G179" s="2" t="n">
        <v>63447</v>
      </c>
      <c r="H179" s="2" t="n">
        <v>17</v>
      </c>
      <c r="I179" s="2" t="n">
        <v>148</v>
      </c>
      <c r="J179" s="2" t="n">
        <v>0</v>
      </c>
      <c r="K179" s="2" t="n">
        <v>98695</v>
      </c>
      <c r="L179" s="2" t="n">
        <v>68622</v>
      </c>
      <c r="M179" s="2" t="n">
        <v>4836</v>
      </c>
      <c r="N179" s="2" t="n">
        <v>203</v>
      </c>
      <c r="O179" s="2" t="n">
        <v>838</v>
      </c>
      <c r="P179" s="2" t="n">
        <v>886</v>
      </c>
      <c r="Q179" s="2" t="n">
        <v>1145</v>
      </c>
      <c r="R179" s="2" t="n">
        <v>303</v>
      </c>
      <c r="S179" s="2" t="n">
        <v>18</v>
      </c>
      <c r="T179" s="2" t="s">
        <v>62</v>
      </c>
      <c r="U179" s="4" t="n">
        <f aca="false">(M179+N179+O179+P179)/L179</f>
        <v>0.0985543994637288</v>
      </c>
      <c r="V179" s="2" t="str">
        <f aca="false">IF(S179&lt;=5,"Late night (0-5)",IF(S179&lt;=11,"Morning (6-11)",IF(S179&lt;=17,"Afternoon (12-17)","Evening (18-23)")))</f>
        <v>Evening (18-23)</v>
      </c>
    </row>
    <row r="180" customFormat="false" ht="15" hidden="false" customHeight="false" outlineLevel="0" collapsed="false">
      <c r="A180" s="2" t="s">
        <v>441</v>
      </c>
      <c r="B180" s="2" t="s">
        <v>360</v>
      </c>
      <c r="C180" s="2" t="s">
        <v>48</v>
      </c>
      <c r="D180" s="3" t="n">
        <v>45872</v>
      </c>
      <c r="E180" s="2" t="s">
        <v>442</v>
      </c>
      <c r="F180" s="2" t="s">
        <v>32</v>
      </c>
      <c r="G180" s="2" t="n">
        <v>19542</v>
      </c>
      <c r="H180" s="2" t="n">
        <v>9</v>
      </c>
      <c r="I180" s="2" t="n">
        <v>65</v>
      </c>
      <c r="J180" s="2" t="n">
        <v>0</v>
      </c>
      <c r="K180" s="2" t="n">
        <v>23305</v>
      </c>
      <c r="L180" s="2" t="n">
        <v>17238</v>
      </c>
      <c r="M180" s="2" t="n">
        <v>940</v>
      </c>
      <c r="N180" s="2" t="n">
        <v>63</v>
      </c>
      <c r="O180" s="2" t="n">
        <v>216</v>
      </c>
      <c r="P180" s="2" t="n">
        <v>165</v>
      </c>
      <c r="Q180" s="2" t="n">
        <v>253</v>
      </c>
      <c r="R180" s="2" t="n">
        <v>20</v>
      </c>
      <c r="S180" s="2" t="n">
        <v>17</v>
      </c>
      <c r="T180" s="2" t="s">
        <v>27</v>
      </c>
      <c r="U180" s="4" t="n">
        <f aca="false">(M180+N180+O180+P180)/L180</f>
        <v>0.0802877363963337</v>
      </c>
      <c r="V180" s="2" t="str">
        <f aca="false">IF(S180&lt;=5,"Late night (0-5)",IF(S180&lt;=11,"Morning (6-11)",IF(S180&lt;=17,"Afternoon (12-17)","Evening (18-23)")))</f>
        <v>Afternoon (12-17)</v>
      </c>
    </row>
    <row r="181" customFormat="false" ht="15" hidden="false" customHeight="false" outlineLevel="0" collapsed="false">
      <c r="A181" s="2" t="s">
        <v>443</v>
      </c>
      <c r="B181" s="2" t="s">
        <v>319</v>
      </c>
      <c r="C181" s="2" t="s">
        <v>84</v>
      </c>
      <c r="D181" s="3" t="n">
        <v>45752</v>
      </c>
      <c r="E181" s="2" t="s">
        <v>444</v>
      </c>
      <c r="F181" s="2" t="s">
        <v>26</v>
      </c>
      <c r="G181" s="2" t="n">
        <v>49810</v>
      </c>
      <c r="H181" s="2" t="n">
        <v>19</v>
      </c>
      <c r="I181" s="2" t="n">
        <v>97</v>
      </c>
      <c r="J181" s="2" t="n">
        <v>0</v>
      </c>
      <c r="K181" s="2" t="n">
        <v>61859</v>
      </c>
      <c r="L181" s="2" t="n">
        <v>53204</v>
      </c>
      <c r="M181" s="2" t="n">
        <v>2713</v>
      </c>
      <c r="N181" s="2" t="n">
        <v>68</v>
      </c>
      <c r="O181" s="2" t="n">
        <v>84</v>
      </c>
      <c r="P181" s="2" t="n">
        <v>238</v>
      </c>
      <c r="Q181" s="2" t="n">
        <v>1053</v>
      </c>
      <c r="R181" s="2" t="n">
        <v>74</v>
      </c>
      <c r="S181" s="2" t="n">
        <v>8</v>
      </c>
      <c r="T181" s="2" t="s">
        <v>62</v>
      </c>
      <c r="U181" s="4" t="n">
        <f aca="false">(M181+N181+O181+P181)/L181</f>
        <v>0.0583226825050748</v>
      </c>
      <c r="V181" s="2" t="str">
        <f aca="false">IF(S181&lt;=5,"Late night (0-5)",IF(S181&lt;=11,"Morning (6-11)",IF(S181&lt;=17,"Afternoon (12-17)","Evening (18-23)")))</f>
        <v>Morning (6-11)</v>
      </c>
    </row>
    <row r="182" customFormat="false" ht="15" hidden="false" customHeight="false" outlineLevel="0" collapsed="false">
      <c r="A182" s="2" t="s">
        <v>445</v>
      </c>
      <c r="B182" s="2" t="s">
        <v>345</v>
      </c>
      <c r="C182" s="2" t="s">
        <v>30</v>
      </c>
      <c r="D182" s="3" t="n">
        <v>45990</v>
      </c>
      <c r="E182" s="2" t="s">
        <v>446</v>
      </c>
      <c r="F182" s="2" t="s">
        <v>32</v>
      </c>
      <c r="G182" s="2" t="n">
        <v>8662</v>
      </c>
      <c r="H182" s="2" t="n">
        <v>6</v>
      </c>
      <c r="I182" s="2" t="n">
        <v>353</v>
      </c>
      <c r="J182" s="2" t="n">
        <v>1</v>
      </c>
      <c r="K182" s="2" t="n">
        <v>5692</v>
      </c>
      <c r="L182" s="2" t="n">
        <v>3686</v>
      </c>
      <c r="M182" s="2" t="n">
        <v>156</v>
      </c>
      <c r="N182" s="2" t="n">
        <v>9</v>
      </c>
      <c r="O182" s="2" t="n">
        <v>24</v>
      </c>
      <c r="P182" s="2" t="n">
        <v>200</v>
      </c>
      <c r="Q182" s="2" t="n">
        <v>58</v>
      </c>
      <c r="R182" s="2" t="n">
        <v>9</v>
      </c>
      <c r="S182" s="2" t="n">
        <v>6</v>
      </c>
      <c r="T182" s="2" t="s">
        <v>62</v>
      </c>
      <c r="U182" s="4" t="n">
        <f aca="false">(M182+N182+O182+P182)/L182</f>
        <v>0.105534454693435</v>
      </c>
      <c r="V182" s="2" t="str">
        <f aca="false">IF(S182&lt;=5,"Late night (0-5)",IF(S182&lt;=11,"Morning (6-11)",IF(S182&lt;=17,"Afternoon (12-17)","Evening (18-23)")))</f>
        <v>Morning (6-11)</v>
      </c>
    </row>
    <row r="183" customFormat="false" ht="15" hidden="false" customHeight="false" outlineLevel="0" collapsed="false">
      <c r="A183" s="2" t="s">
        <v>447</v>
      </c>
      <c r="B183" s="2" t="s">
        <v>60</v>
      </c>
      <c r="C183" s="2" t="s">
        <v>41</v>
      </c>
      <c r="D183" s="3" t="n">
        <v>45730</v>
      </c>
      <c r="E183" s="2" t="s">
        <v>448</v>
      </c>
      <c r="F183" s="2" t="s">
        <v>32</v>
      </c>
      <c r="G183" s="2" t="n">
        <v>7512</v>
      </c>
      <c r="H183" s="2" t="n">
        <v>15</v>
      </c>
      <c r="I183" s="2" t="n">
        <v>233</v>
      </c>
      <c r="J183" s="2" t="n">
        <v>0</v>
      </c>
      <c r="K183" s="2" t="n">
        <v>23651</v>
      </c>
      <c r="L183" s="2" t="n">
        <v>14674</v>
      </c>
      <c r="M183" s="2" t="n">
        <v>1190</v>
      </c>
      <c r="N183" s="2" t="n">
        <v>54</v>
      </c>
      <c r="O183" s="2" t="n">
        <v>208</v>
      </c>
      <c r="P183" s="2" t="n">
        <v>211</v>
      </c>
      <c r="Q183" s="2" t="n">
        <v>80</v>
      </c>
      <c r="R183" s="2" t="n">
        <v>14</v>
      </c>
      <c r="S183" s="2" t="n">
        <v>22</v>
      </c>
      <c r="T183" s="2" t="s">
        <v>96</v>
      </c>
      <c r="U183" s="4" t="n">
        <f aca="false">(M183+N183+O183+P183)/L183</f>
        <v>0.11332969878697</v>
      </c>
      <c r="V183" s="2" t="str">
        <f aca="false">IF(S183&lt;=5,"Late night (0-5)",IF(S183&lt;=11,"Morning (6-11)",IF(S183&lt;=17,"Afternoon (12-17)","Evening (18-23)")))</f>
        <v>Evening (18-23)</v>
      </c>
    </row>
    <row r="184" customFormat="false" ht="15" hidden="false" customHeight="false" outlineLevel="0" collapsed="false">
      <c r="A184" s="2" t="s">
        <v>449</v>
      </c>
      <c r="B184" s="2" t="s">
        <v>227</v>
      </c>
      <c r="C184" s="2" t="s">
        <v>54</v>
      </c>
      <c r="D184" s="3" t="n">
        <v>45820</v>
      </c>
      <c r="E184" s="2" t="s">
        <v>450</v>
      </c>
      <c r="F184" s="2" t="s">
        <v>32</v>
      </c>
      <c r="G184" s="2" t="n">
        <v>11796</v>
      </c>
      <c r="H184" s="2" t="n">
        <v>10</v>
      </c>
      <c r="I184" s="2" t="n">
        <v>415</v>
      </c>
      <c r="J184" s="2" t="n">
        <v>1</v>
      </c>
      <c r="K184" s="2" t="n">
        <v>28438</v>
      </c>
      <c r="L184" s="2" t="n">
        <v>18019</v>
      </c>
      <c r="M184" s="2" t="n">
        <v>1859</v>
      </c>
      <c r="N184" s="2" t="n">
        <v>101</v>
      </c>
      <c r="O184" s="2" t="n">
        <v>352</v>
      </c>
      <c r="P184" s="2" t="n">
        <v>393</v>
      </c>
      <c r="Q184" s="2" t="n">
        <v>288</v>
      </c>
      <c r="R184" s="2" t="n">
        <v>18</v>
      </c>
      <c r="S184" s="2" t="n">
        <v>23</v>
      </c>
      <c r="T184" s="2" t="s">
        <v>79</v>
      </c>
      <c r="U184" s="4" t="n">
        <f aca="false">(M184+N184+O184+P184)/L184</f>
        <v>0.150119318497142</v>
      </c>
      <c r="V184" s="2" t="str">
        <f aca="false">IF(S184&lt;=5,"Late night (0-5)",IF(S184&lt;=11,"Morning (6-11)",IF(S184&lt;=17,"Afternoon (12-17)","Evening (18-23)")))</f>
        <v>Evening (18-23)</v>
      </c>
    </row>
    <row r="185" customFormat="false" ht="15" hidden="false" customHeight="false" outlineLevel="0" collapsed="false">
      <c r="A185" s="2" t="s">
        <v>451</v>
      </c>
      <c r="B185" s="2" t="s">
        <v>452</v>
      </c>
      <c r="C185" s="2" t="s">
        <v>91</v>
      </c>
      <c r="D185" s="3" t="n">
        <v>45761</v>
      </c>
      <c r="E185" s="2" t="s">
        <v>453</v>
      </c>
      <c r="F185" s="2" t="s">
        <v>32</v>
      </c>
      <c r="G185" s="2" t="n">
        <v>14201</v>
      </c>
      <c r="H185" s="2" t="n">
        <v>12</v>
      </c>
      <c r="I185" s="2" t="n">
        <v>203</v>
      </c>
      <c r="J185" s="2" t="n">
        <v>0</v>
      </c>
      <c r="K185" s="2" t="n">
        <v>38347</v>
      </c>
      <c r="L185" s="2" t="n">
        <v>23645</v>
      </c>
      <c r="M185" s="2" t="n">
        <v>2491</v>
      </c>
      <c r="N185" s="2" t="n">
        <v>190</v>
      </c>
      <c r="O185" s="2" t="n">
        <v>521</v>
      </c>
      <c r="P185" s="2" t="n">
        <v>323</v>
      </c>
      <c r="Q185" s="2" t="n">
        <v>126</v>
      </c>
      <c r="R185" s="2" t="n">
        <v>26</v>
      </c>
      <c r="S185" s="2" t="n">
        <v>11</v>
      </c>
      <c r="T185" s="2" t="s">
        <v>33</v>
      </c>
      <c r="U185" s="4" t="n">
        <f aca="false">(M185+N185+O185+P185)/L185</f>
        <v>0.149080143793614</v>
      </c>
      <c r="V185" s="2" t="str">
        <f aca="false">IF(S185&lt;=5,"Late night (0-5)",IF(S185&lt;=11,"Morning (6-11)",IF(S185&lt;=17,"Afternoon (12-17)","Evening (18-23)")))</f>
        <v>Morning (6-11)</v>
      </c>
    </row>
    <row r="186" customFormat="false" ht="15" hidden="false" customHeight="false" outlineLevel="0" collapsed="false">
      <c r="A186" s="2" t="s">
        <v>454</v>
      </c>
      <c r="B186" s="2" t="s">
        <v>132</v>
      </c>
      <c r="C186" s="2" t="s">
        <v>36</v>
      </c>
      <c r="D186" s="3" t="n">
        <v>46012</v>
      </c>
      <c r="E186" s="2" t="s">
        <v>455</v>
      </c>
      <c r="F186" s="2" t="s">
        <v>38</v>
      </c>
      <c r="G186" s="2" t="n">
        <v>83053</v>
      </c>
      <c r="H186" s="2" t="n">
        <v>9</v>
      </c>
      <c r="I186" s="2" t="n">
        <v>169</v>
      </c>
      <c r="J186" s="2" t="n">
        <v>0</v>
      </c>
      <c r="K186" s="2" t="n">
        <v>49293</v>
      </c>
      <c r="L186" s="2" t="n">
        <v>36176</v>
      </c>
      <c r="M186" s="2" t="n">
        <v>1735</v>
      </c>
      <c r="N186" s="2" t="n">
        <v>134</v>
      </c>
      <c r="O186" s="2" t="n">
        <v>283</v>
      </c>
      <c r="P186" s="2" t="n">
        <v>486</v>
      </c>
      <c r="Q186" s="2" t="n">
        <v>844</v>
      </c>
      <c r="R186" s="2" t="n">
        <v>217</v>
      </c>
      <c r="S186" s="2" t="n">
        <v>9</v>
      </c>
      <c r="T186" s="2" t="s">
        <v>27</v>
      </c>
      <c r="U186" s="4" t="n">
        <f aca="false">(M186+N186+O186+P186)/L186</f>
        <v>0.072921273772667</v>
      </c>
      <c r="V186" s="2" t="str">
        <f aca="false">IF(S186&lt;=5,"Late night (0-5)",IF(S186&lt;=11,"Morning (6-11)",IF(S186&lt;=17,"Afternoon (12-17)","Evening (18-23)")))</f>
        <v>Morning (6-11)</v>
      </c>
    </row>
    <row r="187" customFormat="false" ht="15" hidden="false" customHeight="false" outlineLevel="0" collapsed="false">
      <c r="A187" s="2" t="s">
        <v>456</v>
      </c>
      <c r="B187" s="2" t="s">
        <v>148</v>
      </c>
      <c r="C187" s="2" t="s">
        <v>48</v>
      </c>
      <c r="D187" s="3" t="n">
        <v>45912</v>
      </c>
      <c r="E187" s="2" t="s">
        <v>457</v>
      </c>
      <c r="F187" s="2" t="s">
        <v>32</v>
      </c>
      <c r="G187" s="2" t="n">
        <v>46311</v>
      </c>
      <c r="H187" s="2" t="n">
        <v>3</v>
      </c>
      <c r="I187" s="2" t="n">
        <v>77</v>
      </c>
      <c r="J187" s="2" t="n">
        <v>0</v>
      </c>
      <c r="K187" s="2" t="n">
        <v>195843</v>
      </c>
      <c r="L187" s="2" t="n">
        <v>108981</v>
      </c>
      <c r="M187" s="2" t="n">
        <v>11172</v>
      </c>
      <c r="N187" s="2" t="n">
        <v>807</v>
      </c>
      <c r="O187" s="2" t="n">
        <v>1297</v>
      </c>
      <c r="P187" s="2" t="n">
        <v>3258</v>
      </c>
      <c r="Q187" s="2" t="n">
        <v>3072</v>
      </c>
      <c r="R187" s="2" t="n">
        <v>563</v>
      </c>
      <c r="S187" s="2" t="n">
        <v>19</v>
      </c>
      <c r="T187" s="2" t="s">
        <v>96</v>
      </c>
      <c r="U187" s="4" t="n">
        <f aca="false">(M187+N187+O187+P187)/L187</f>
        <v>0.151714519044604</v>
      </c>
      <c r="V187" s="2" t="str">
        <f aca="false">IF(S187&lt;=5,"Late night (0-5)",IF(S187&lt;=11,"Morning (6-11)",IF(S187&lt;=17,"Afternoon (12-17)","Evening (18-23)")))</f>
        <v>Evening (18-23)</v>
      </c>
    </row>
    <row r="188" customFormat="false" ht="15" hidden="false" customHeight="false" outlineLevel="0" collapsed="false">
      <c r="A188" s="2" t="s">
        <v>458</v>
      </c>
      <c r="B188" s="2" t="s">
        <v>459</v>
      </c>
      <c r="C188" s="2" t="s">
        <v>84</v>
      </c>
      <c r="D188" s="3" t="n">
        <v>45774</v>
      </c>
      <c r="E188" s="2" t="s">
        <v>460</v>
      </c>
      <c r="F188" s="2" t="s">
        <v>38</v>
      </c>
      <c r="G188" s="2" t="n">
        <v>19744</v>
      </c>
      <c r="H188" s="2" t="n">
        <v>7</v>
      </c>
      <c r="I188" s="2" t="n">
        <v>139</v>
      </c>
      <c r="J188" s="2" t="n">
        <v>1</v>
      </c>
      <c r="K188" s="2" t="n">
        <v>14145</v>
      </c>
      <c r="L188" s="2" t="n">
        <v>8848</v>
      </c>
      <c r="M188" s="2" t="n">
        <v>272</v>
      </c>
      <c r="N188" s="2" t="n">
        <v>17</v>
      </c>
      <c r="O188" s="2" t="n">
        <v>38</v>
      </c>
      <c r="P188" s="2" t="n">
        <v>32</v>
      </c>
      <c r="Q188" s="2" t="n">
        <v>196</v>
      </c>
      <c r="R188" s="2" t="n">
        <v>16</v>
      </c>
      <c r="S188" s="2" t="n">
        <v>14</v>
      </c>
      <c r="T188" s="2" t="s">
        <v>27</v>
      </c>
      <c r="U188" s="4" t="n">
        <f aca="false">(M188+N188+O188+P188)/L188</f>
        <v>0.0405741410488246</v>
      </c>
      <c r="V188" s="2" t="str">
        <f aca="false">IF(S188&lt;=5,"Late night (0-5)",IF(S188&lt;=11,"Morning (6-11)",IF(S188&lt;=17,"Afternoon (12-17)","Evening (18-23)")))</f>
        <v>Afternoon (12-17)</v>
      </c>
    </row>
    <row r="189" customFormat="false" ht="15" hidden="false" customHeight="false" outlineLevel="0" collapsed="false">
      <c r="A189" s="2" t="s">
        <v>461</v>
      </c>
      <c r="B189" s="2" t="s">
        <v>462</v>
      </c>
      <c r="C189" s="2" t="s">
        <v>84</v>
      </c>
      <c r="D189" s="3" t="n">
        <v>46016</v>
      </c>
      <c r="E189" s="2" t="s">
        <v>463</v>
      </c>
      <c r="F189" s="2" t="s">
        <v>26</v>
      </c>
      <c r="G189" s="2" t="n">
        <v>43510</v>
      </c>
      <c r="H189" s="2" t="n">
        <v>10</v>
      </c>
      <c r="I189" s="2" t="n">
        <v>206</v>
      </c>
      <c r="J189" s="2" t="n">
        <v>0</v>
      </c>
      <c r="K189" s="2" t="n">
        <v>25515</v>
      </c>
      <c r="L189" s="2" t="n">
        <v>20434</v>
      </c>
      <c r="M189" s="2" t="n">
        <v>1174</v>
      </c>
      <c r="N189" s="2" t="n">
        <v>82</v>
      </c>
      <c r="O189" s="2" t="n">
        <v>223</v>
      </c>
      <c r="P189" s="2" t="n">
        <v>305</v>
      </c>
      <c r="Q189" s="2" t="n">
        <v>354</v>
      </c>
      <c r="R189" s="2" t="n">
        <v>85</v>
      </c>
      <c r="S189" s="2" t="n">
        <v>13</v>
      </c>
      <c r="T189" s="2" t="s">
        <v>79</v>
      </c>
      <c r="U189" s="4" t="n">
        <f aca="false">(M189+N189+O189+P189)/L189</f>
        <v>0.0873054712733679</v>
      </c>
      <c r="V189" s="2" t="str">
        <f aca="false">IF(S189&lt;=5,"Late night (0-5)",IF(S189&lt;=11,"Morning (6-11)",IF(S189&lt;=17,"Afternoon (12-17)","Evening (18-23)")))</f>
        <v>Afternoon (12-17)</v>
      </c>
    </row>
    <row r="190" customFormat="false" ht="15" hidden="false" customHeight="false" outlineLevel="0" collapsed="false">
      <c r="A190" s="2" t="s">
        <v>464</v>
      </c>
      <c r="B190" s="2" t="s">
        <v>371</v>
      </c>
      <c r="C190" s="2" t="s">
        <v>48</v>
      </c>
      <c r="D190" s="3" t="n">
        <v>45932</v>
      </c>
      <c r="E190" s="2" t="s">
        <v>465</v>
      </c>
      <c r="F190" s="2" t="s">
        <v>38</v>
      </c>
      <c r="G190" s="2" t="n">
        <v>42479</v>
      </c>
      <c r="H190" s="2" t="n">
        <v>16</v>
      </c>
      <c r="I190" s="2" t="n">
        <v>179</v>
      </c>
      <c r="J190" s="2" t="n">
        <v>0</v>
      </c>
      <c r="K190" s="2" t="n">
        <v>11658</v>
      </c>
      <c r="L190" s="2" t="n">
        <v>7217</v>
      </c>
      <c r="M190" s="2" t="n">
        <v>332</v>
      </c>
      <c r="N190" s="2" t="n">
        <v>16</v>
      </c>
      <c r="O190" s="2" t="n">
        <v>34</v>
      </c>
      <c r="P190" s="2" t="n">
        <v>55</v>
      </c>
      <c r="Q190" s="2" t="n">
        <v>138</v>
      </c>
      <c r="R190" s="2" t="n">
        <v>30</v>
      </c>
      <c r="S190" s="2" t="n">
        <v>2</v>
      </c>
      <c r="T190" s="2" t="s">
        <v>79</v>
      </c>
      <c r="U190" s="4" t="n">
        <f aca="false">(M190+N190+O190+P190)/L190</f>
        <v>0.0605514756824165</v>
      </c>
      <c r="V190" s="2" t="str">
        <f aca="false">IF(S190&lt;=5,"Late night (0-5)",IF(S190&lt;=11,"Morning (6-11)",IF(S190&lt;=17,"Afternoon (12-17)","Evening (18-23)")))</f>
        <v>Late night (0-5)</v>
      </c>
    </row>
    <row r="191" customFormat="false" ht="15" hidden="false" customHeight="false" outlineLevel="0" collapsed="false">
      <c r="A191" s="2" t="s">
        <v>466</v>
      </c>
      <c r="B191" s="2" t="s">
        <v>310</v>
      </c>
      <c r="C191" s="2" t="s">
        <v>91</v>
      </c>
      <c r="D191" s="3" t="n">
        <v>45900</v>
      </c>
      <c r="E191" s="2" t="s">
        <v>467</v>
      </c>
      <c r="F191" s="2" t="s">
        <v>38</v>
      </c>
      <c r="G191" s="2" t="n">
        <v>56571</v>
      </c>
      <c r="H191" s="2" t="n">
        <v>0</v>
      </c>
      <c r="I191" s="2" t="n">
        <v>201</v>
      </c>
      <c r="J191" s="2" t="n">
        <v>0</v>
      </c>
      <c r="K191" s="2" t="n">
        <v>13708</v>
      </c>
      <c r="L191" s="2" t="n">
        <v>8854</v>
      </c>
      <c r="M191" s="2" t="n">
        <v>372</v>
      </c>
      <c r="N191" s="2" t="n">
        <v>27</v>
      </c>
      <c r="O191" s="2" t="n">
        <v>62</v>
      </c>
      <c r="P191" s="2" t="n">
        <v>51</v>
      </c>
      <c r="Q191" s="2" t="n">
        <v>172</v>
      </c>
      <c r="R191" s="2" t="n">
        <v>14</v>
      </c>
      <c r="S191" s="2" t="n">
        <v>2</v>
      </c>
      <c r="T191" s="2" t="s">
        <v>27</v>
      </c>
      <c r="U191" s="4" t="n">
        <f aca="false">(M191+N191+O191+P191)/L191</f>
        <v>0.057826970860628</v>
      </c>
      <c r="V191" s="2" t="str">
        <f aca="false">IF(S191&lt;=5,"Late night (0-5)",IF(S191&lt;=11,"Morning (6-11)",IF(S191&lt;=17,"Afternoon (12-17)","Evening (18-23)")))</f>
        <v>Late night (0-5)</v>
      </c>
    </row>
    <row r="192" customFormat="false" ht="15" hidden="false" customHeight="false" outlineLevel="0" collapsed="false">
      <c r="A192" s="2" t="s">
        <v>468</v>
      </c>
      <c r="B192" s="2" t="s">
        <v>310</v>
      </c>
      <c r="C192" s="2" t="s">
        <v>91</v>
      </c>
      <c r="D192" s="3" t="n">
        <v>45776</v>
      </c>
      <c r="E192" s="2" t="s">
        <v>61</v>
      </c>
      <c r="F192" s="2" t="s">
        <v>32</v>
      </c>
      <c r="G192" s="2" t="n">
        <v>56571</v>
      </c>
      <c r="H192" s="2" t="n">
        <v>4</v>
      </c>
      <c r="I192" s="2" t="n">
        <v>309</v>
      </c>
      <c r="J192" s="2" t="n">
        <v>0</v>
      </c>
      <c r="K192" s="2" t="n">
        <v>172160</v>
      </c>
      <c r="L192" s="2" t="n">
        <v>147406</v>
      </c>
      <c r="M192" s="2" t="n">
        <v>14219</v>
      </c>
      <c r="N192" s="2" t="n">
        <v>706</v>
      </c>
      <c r="O192" s="2" t="n">
        <v>1042</v>
      </c>
      <c r="P192" s="2" t="n">
        <v>4096</v>
      </c>
      <c r="Q192" s="2" t="n">
        <v>2761</v>
      </c>
      <c r="R192" s="2" t="n">
        <v>745</v>
      </c>
      <c r="S192" s="2" t="n">
        <v>18</v>
      </c>
      <c r="T192" s="2" t="s">
        <v>51</v>
      </c>
      <c r="U192" s="4" t="n">
        <f aca="false">(M192+N192+O192+P192)/L192</f>
        <v>0.136107078409291</v>
      </c>
      <c r="V192" s="2" t="str">
        <f aca="false">IF(S192&lt;=5,"Late night (0-5)",IF(S192&lt;=11,"Morning (6-11)",IF(S192&lt;=17,"Afternoon (12-17)","Evening (18-23)")))</f>
        <v>Evening (18-23)</v>
      </c>
    </row>
    <row r="193" customFormat="false" ht="15" hidden="false" customHeight="false" outlineLevel="0" collapsed="false">
      <c r="A193" s="2" t="s">
        <v>469</v>
      </c>
      <c r="B193" s="2" t="s">
        <v>60</v>
      </c>
      <c r="C193" s="2" t="s">
        <v>41</v>
      </c>
      <c r="D193" s="3" t="n">
        <v>45842</v>
      </c>
      <c r="E193" s="2" t="s">
        <v>470</v>
      </c>
      <c r="F193" s="2" t="s">
        <v>26</v>
      </c>
      <c r="G193" s="2" t="n">
        <v>7512</v>
      </c>
      <c r="H193" s="2" t="n">
        <v>4</v>
      </c>
      <c r="I193" s="2" t="n">
        <v>156</v>
      </c>
      <c r="J193" s="2" t="n">
        <v>1</v>
      </c>
      <c r="K193" s="2" t="n">
        <v>1793</v>
      </c>
      <c r="L193" s="2" t="n">
        <v>1595</v>
      </c>
      <c r="M193" s="2" t="n">
        <v>52</v>
      </c>
      <c r="N193" s="2" t="n">
        <v>1</v>
      </c>
      <c r="O193" s="2" t="n">
        <v>6</v>
      </c>
      <c r="P193" s="2" t="n">
        <v>3</v>
      </c>
      <c r="Q193" s="2" t="n">
        <v>19</v>
      </c>
      <c r="R193" s="2" t="n">
        <v>1</v>
      </c>
      <c r="S193" s="2" t="n">
        <v>3</v>
      </c>
      <c r="T193" s="2" t="s">
        <v>96</v>
      </c>
      <c r="U193" s="4" t="n">
        <f aca="false">(M193+N193+O193+P193)/L193</f>
        <v>0.038871473354232</v>
      </c>
      <c r="V193" s="2" t="str">
        <f aca="false">IF(S193&lt;=5,"Late night (0-5)",IF(S193&lt;=11,"Morning (6-11)",IF(S193&lt;=17,"Afternoon (12-17)","Evening (18-23)")))</f>
        <v>Late night (0-5)</v>
      </c>
    </row>
    <row r="194" customFormat="false" ht="15" hidden="false" customHeight="false" outlineLevel="0" collapsed="false">
      <c r="A194" s="2" t="s">
        <v>471</v>
      </c>
      <c r="B194" s="2" t="s">
        <v>206</v>
      </c>
      <c r="C194" s="2" t="s">
        <v>48</v>
      </c>
      <c r="D194" s="3" t="n">
        <v>45764</v>
      </c>
      <c r="E194" s="2" t="s">
        <v>472</v>
      </c>
      <c r="F194" s="2" t="s">
        <v>32</v>
      </c>
      <c r="G194" s="2" t="n">
        <v>42937</v>
      </c>
      <c r="H194" s="2" t="n">
        <v>19</v>
      </c>
      <c r="I194" s="2" t="n">
        <v>241</v>
      </c>
      <c r="J194" s="2" t="n">
        <v>0</v>
      </c>
      <c r="K194" s="2" t="n">
        <v>20631</v>
      </c>
      <c r="L194" s="2" t="n">
        <v>11893</v>
      </c>
      <c r="M194" s="2" t="n">
        <v>717</v>
      </c>
      <c r="N194" s="2" t="n">
        <v>40</v>
      </c>
      <c r="O194" s="2" t="n">
        <v>143</v>
      </c>
      <c r="P194" s="2" t="n">
        <v>83</v>
      </c>
      <c r="Q194" s="2" t="n">
        <v>125</v>
      </c>
      <c r="R194" s="2" t="n">
        <v>9</v>
      </c>
      <c r="S194" s="2" t="n">
        <v>4</v>
      </c>
      <c r="T194" s="2" t="s">
        <v>79</v>
      </c>
      <c r="U194" s="4" t="n">
        <f aca="false">(M194+N194+O194+P194)/L194</f>
        <v>0.0826536618178761</v>
      </c>
      <c r="V194" s="2" t="str">
        <f aca="false">IF(S194&lt;=5,"Late night (0-5)",IF(S194&lt;=11,"Morning (6-11)",IF(S194&lt;=17,"Afternoon (12-17)","Evening (18-23)")))</f>
        <v>Late night (0-5)</v>
      </c>
    </row>
    <row r="195" customFormat="false" ht="15" hidden="false" customHeight="false" outlineLevel="0" collapsed="false">
      <c r="A195" s="2" t="s">
        <v>473</v>
      </c>
      <c r="B195" s="2" t="s">
        <v>57</v>
      </c>
      <c r="C195" s="2" t="s">
        <v>24</v>
      </c>
      <c r="D195" s="3" t="n">
        <v>45860</v>
      </c>
      <c r="E195" s="2" t="s">
        <v>418</v>
      </c>
      <c r="F195" s="2" t="s">
        <v>26</v>
      </c>
      <c r="G195" s="2" t="n">
        <v>31021</v>
      </c>
      <c r="H195" s="2" t="n">
        <v>13</v>
      </c>
      <c r="I195" s="2" t="n">
        <v>372</v>
      </c>
      <c r="J195" s="2" t="n">
        <v>0</v>
      </c>
      <c r="K195" s="2" t="n">
        <v>32287</v>
      </c>
      <c r="L195" s="2" t="n">
        <v>23740</v>
      </c>
      <c r="M195" s="2" t="n">
        <v>1313</v>
      </c>
      <c r="N195" s="2" t="n">
        <v>85</v>
      </c>
      <c r="O195" s="2" t="n">
        <v>246</v>
      </c>
      <c r="P195" s="2" t="n">
        <v>239</v>
      </c>
      <c r="Q195" s="2" t="n">
        <v>399</v>
      </c>
      <c r="R195" s="2" t="n">
        <v>79</v>
      </c>
      <c r="S195" s="2" t="n">
        <v>13</v>
      </c>
      <c r="T195" s="2" t="s">
        <v>51</v>
      </c>
      <c r="U195" s="4" t="n">
        <f aca="false">(M195+N195+O195+P195)/L195</f>
        <v>0.0793176074136479</v>
      </c>
      <c r="V195" s="2" t="str">
        <f aca="false">IF(S195&lt;=5,"Late night (0-5)",IF(S195&lt;=11,"Morning (6-11)",IF(S195&lt;=17,"Afternoon (12-17)","Evening (18-23)")))</f>
        <v>Afternoon (12-17)</v>
      </c>
    </row>
    <row r="196" customFormat="false" ht="15" hidden="false" customHeight="false" outlineLevel="0" collapsed="false">
      <c r="A196" s="2" t="s">
        <v>474</v>
      </c>
      <c r="B196" s="2" t="s">
        <v>243</v>
      </c>
      <c r="C196" s="2" t="s">
        <v>91</v>
      </c>
      <c r="D196" s="3" t="n">
        <v>45855</v>
      </c>
      <c r="E196" s="2" t="s">
        <v>475</v>
      </c>
      <c r="F196" s="2" t="s">
        <v>32</v>
      </c>
      <c r="G196" s="2" t="n">
        <v>42046</v>
      </c>
      <c r="H196" s="2" t="n">
        <v>8</v>
      </c>
      <c r="I196" s="2" t="n">
        <v>154</v>
      </c>
      <c r="J196" s="2" t="n">
        <v>1</v>
      </c>
      <c r="K196" s="2" t="n">
        <v>68753</v>
      </c>
      <c r="L196" s="2" t="n">
        <v>43041</v>
      </c>
      <c r="M196" s="2" t="n">
        <v>4248</v>
      </c>
      <c r="N196" s="2" t="n">
        <v>139</v>
      </c>
      <c r="O196" s="2" t="n">
        <v>378</v>
      </c>
      <c r="P196" s="2" t="n">
        <v>1214</v>
      </c>
      <c r="Q196" s="2" t="n">
        <v>807</v>
      </c>
      <c r="R196" s="2" t="n">
        <v>114</v>
      </c>
      <c r="S196" s="2" t="n">
        <v>9</v>
      </c>
      <c r="T196" s="2" t="s">
        <v>79</v>
      </c>
      <c r="U196" s="4" t="n">
        <f aca="false">(M196+N196+O196+P196)/L196</f>
        <v>0.138914058688228</v>
      </c>
      <c r="V196" s="2" t="str">
        <f aca="false">IF(S196&lt;=5,"Late night (0-5)",IF(S196&lt;=11,"Morning (6-11)",IF(S196&lt;=17,"Afternoon (12-17)","Evening (18-23)")))</f>
        <v>Morning (6-11)</v>
      </c>
    </row>
    <row r="197" customFormat="false" ht="15" hidden="false" customHeight="false" outlineLevel="0" collapsed="false">
      <c r="A197" s="2" t="s">
        <v>476</v>
      </c>
      <c r="B197" s="2" t="s">
        <v>426</v>
      </c>
      <c r="C197" s="2" t="s">
        <v>30</v>
      </c>
      <c r="D197" s="3" t="n">
        <v>45673</v>
      </c>
      <c r="E197" s="2" t="s">
        <v>477</v>
      </c>
      <c r="F197" s="2" t="s">
        <v>32</v>
      </c>
      <c r="G197" s="2" t="n">
        <v>40649</v>
      </c>
      <c r="H197" s="2" t="n">
        <v>18</v>
      </c>
      <c r="I197" s="2" t="n">
        <v>206</v>
      </c>
      <c r="J197" s="2" t="n">
        <v>1</v>
      </c>
      <c r="K197" s="2" t="n">
        <v>41914</v>
      </c>
      <c r="L197" s="2" t="n">
        <v>24190</v>
      </c>
      <c r="M197" s="2" t="n">
        <v>1827</v>
      </c>
      <c r="N197" s="2" t="n">
        <v>52</v>
      </c>
      <c r="O197" s="2" t="n">
        <v>176</v>
      </c>
      <c r="P197" s="2" t="n">
        <v>392</v>
      </c>
      <c r="Q197" s="2" t="n">
        <v>559</v>
      </c>
      <c r="R197" s="2" t="n">
        <v>111</v>
      </c>
      <c r="S197" s="2" t="n">
        <v>4</v>
      </c>
      <c r="T197" s="2" t="s">
        <v>79</v>
      </c>
      <c r="U197" s="4" t="n">
        <f aca="false">(M197+N197+O197+P197)/L197</f>
        <v>0.101157503100455</v>
      </c>
      <c r="V197" s="2" t="str">
        <f aca="false">IF(S197&lt;=5,"Late night (0-5)",IF(S197&lt;=11,"Morning (6-11)",IF(S197&lt;=17,"Afternoon (12-17)","Evening (18-23)")))</f>
        <v>Late night (0-5)</v>
      </c>
    </row>
    <row r="198" customFormat="false" ht="15" hidden="false" customHeight="false" outlineLevel="0" collapsed="false">
      <c r="A198" s="2" t="s">
        <v>478</v>
      </c>
      <c r="B198" s="2" t="s">
        <v>87</v>
      </c>
      <c r="C198" s="2" t="s">
        <v>36</v>
      </c>
      <c r="D198" s="3" t="n">
        <v>45840</v>
      </c>
      <c r="E198" s="2" t="s">
        <v>358</v>
      </c>
      <c r="F198" s="2" t="s">
        <v>50</v>
      </c>
      <c r="G198" s="2" t="n">
        <v>25592</v>
      </c>
      <c r="H198" s="2" t="n">
        <v>10</v>
      </c>
      <c r="I198" s="2" t="n">
        <v>305</v>
      </c>
      <c r="J198" s="2" t="n">
        <v>0</v>
      </c>
      <c r="K198" s="2" t="n">
        <v>22770</v>
      </c>
      <c r="L198" s="2" t="n">
        <v>19878</v>
      </c>
      <c r="M198" s="2" t="n">
        <v>1687</v>
      </c>
      <c r="N198" s="2" t="n">
        <v>47</v>
      </c>
      <c r="O198" s="2" t="n">
        <v>162</v>
      </c>
      <c r="P198" s="2" t="n">
        <v>341</v>
      </c>
      <c r="Q198" s="2" t="n">
        <v>204</v>
      </c>
      <c r="R198" s="2" t="n">
        <v>21</v>
      </c>
      <c r="S198" s="2" t="n">
        <v>1</v>
      </c>
      <c r="T198" s="2" t="s">
        <v>66</v>
      </c>
      <c r="U198" s="4" t="n">
        <f aca="false">(M198+N198+O198+P198)/L198</f>
        <v>0.112536472482141</v>
      </c>
      <c r="V198" s="2" t="str">
        <f aca="false">IF(S198&lt;=5,"Late night (0-5)",IF(S198&lt;=11,"Morning (6-11)",IF(S198&lt;=17,"Afternoon (12-17)","Evening (18-23)")))</f>
        <v>Late night (0-5)</v>
      </c>
    </row>
    <row r="199" customFormat="false" ht="15" hidden="false" customHeight="false" outlineLevel="0" collapsed="false">
      <c r="A199" s="2" t="s">
        <v>479</v>
      </c>
      <c r="B199" s="2" t="s">
        <v>47</v>
      </c>
      <c r="C199" s="2" t="s">
        <v>48</v>
      </c>
      <c r="D199" s="3" t="n">
        <v>45783</v>
      </c>
      <c r="E199" s="2" t="s">
        <v>480</v>
      </c>
      <c r="F199" s="2" t="s">
        <v>38</v>
      </c>
      <c r="G199" s="2" t="n">
        <v>19609</v>
      </c>
      <c r="H199" s="2" t="n">
        <v>15</v>
      </c>
      <c r="I199" s="2" t="n">
        <v>198</v>
      </c>
      <c r="J199" s="2" t="n">
        <v>1</v>
      </c>
      <c r="K199" s="2" t="n">
        <v>25082</v>
      </c>
      <c r="L199" s="2" t="n">
        <v>15125</v>
      </c>
      <c r="M199" s="2" t="n">
        <v>1174</v>
      </c>
      <c r="N199" s="2" t="n">
        <v>51</v>
      </c>
      <c r="O199" s="2" t="n">
        <v>199</v>
      </c>
      <c r="P199" s="2" t="n">
        <v>243</v>
      </c>
      <c r="Q199" s="2" t="n">
        <v>218</v>
      </c>
      <c r="R199" s="2" t="n">
        <v>15</v>
      </c>
      <c r="S199" s="2" t="n">
        <v>1</v>
      </c>
      <c r="T199" s="2" t="s">
        <v>51</v>
      </c>
      <c r="U199" s="4" t="n">
        <f aca="false">(M199+N199+O199+P199)/L199</f>
        <v>0.110214876033058</v>
      </c>
      <c r="V199" s="2" t="str">
        <f aca="false">IF(S199&lt;=5,"Late night (0-5)",IF(S199&lt;=11,"Morning (6-11)",IF(S199&lt;=17,"Afternoon (12-17)","Evening (18-23)")))</f>
        <v>Late night (0-5)</v>
      </c>
    </row>
    <row r="200" customFormat="false" ht="15" hidden="false" customHeight="false" outlineLevel="0" collapsed="false">
      <c r="A200" s="2" t="s">
        <v>481</v>
      </c>
      <c r="B200" s="2" t="s">
        <v>44</v>
      </c>
      <c r="C200" s="2" t="s">
        <v>36</v>
      </c>
      <c r="D200" s="3" t="n">
        <v>45926</v>
      </c>
      <c r="E200" s="2" t="s">
        <v>482</v>
      </c>
      <c r="F200" s="2" t="s">
        <v>26</v>
      </c>
      <c r="G200" s="2" t="n">
        <v>6265</v>
      </c>
      <c r="H200" s="2" t="n">
        <v>11</v>
      </c>
      <c r="I200" s="2" t="n">
        <v>147</v>
      </c>
      <c r="J200" s="2" t="n">
        <v>1</v>
      </c>
      <c r="K200" s="2" t="n">
        <v>7885</v>
      </c>
      <c r="L200" s="2" t="n">
        <v>5234</v>
      </c>
      <c r="M200" s="2" t="n">
        <v>457</v>
      </c>
      <c r="N200" s="2" t="n">
        <v>14</v>
      </c>
      <c r="O200" s="2" t="n">
        <v>18</v>
      </c>
      <c r="P200" s="2" t="n">
        <v>79</v>
      </c>
      <c r="Q200" s="2" t="n">
        <v>46</v>
      </c>
      <c r="R200" s="2" t="n">
        <v>10</v>
      </c>
      <c r="S200" s="2" t="n">
        <v>14</v>
      </c>
      <c r="T200" s="2" t="s">
        <v>96</v>
      </c>
      <c r="U200" s="4" t="n">
        <f aca="false">(M200+N200+O200+P200)/L200</f>
        <v>0.108521207489492</v>
      </c>
      <c r="V200" s="2" t="str">
        <f aca="false">IF(S200&lt;=5,"Late night (0-5)",IF(S200&lt;=11,"Morning (6-11)",IF(S200&lt;=17,"Afternoon (12-17)","Evening (18-23)")))</f>
        <v>Afternoon (12-17)</v>
      </c>
    </row>
    <row r="201" customFormat="false" ht="15" hidden="false" customHeight="false" outlineLevel="0" collapsed="false">
      <c r="A201" s="2" t="s">
        <v>483</v>
      </c>
      <c r="B201" s="2" t="s">
        <v>126</v>
      </c>
      <c r="C201" s="2" t="s">
        <v>36</v>
      </c>
      <c r="D201" s="3" t="n">
        <v>45744</v>
      </c>
      <c r="E201" s="2" t="s">
        <v>484</v>
      </c>
      <c r="F201" s="2" t="s">
        <v>32</v>
      </c>
      <c r="G201" s="2" t="n">
        <v>28784</v>
      </c>
      <c r="H201" s="2" t="n">
        <v>3</v>
      </c>
      <c r="I201" s="2" t="n">
        <v>250</v>
      </c>
      <c r="J201" s="2" t="n">
        <v>1</v>
      </c>
      <c r="K201" s="2" t="n">
        <v>55631</v>
      </c>
      <c r="L201" s="2" t="n">
        <v>44318</v>
      </c>
      <c r="M201" s="2" t="n">
        <v>1672</v>
      </c>
      <c r="N201" s="2" t="n">
        <v>127</v>
      </c>
      <c r="O201" s="2" t="n">
        <v>121</v>
      </c>
      <c r="P201" s="2" t="n">
        <v>136</v>
      </c>
      <c r="Q201" s="2" t="n">
        <v>383</v>
      </c>
      <c r="R201" s="2" t="n">
        <v>113</v>
      </c>
      <c r="S201" s="2" t="n">
        <v>7</v>
      </c>
      <c r="T201" s="2" t="s">
        <v>96</v>
      </c>
      <c r="U201" s="4" t="n">
        <f aca="false">(M201+N201+O201+P201)/L201</f>
        <v>0.046391985197888</v>
      </c>
      <c r="V201" s="2" t="str">
        <f aca="false">IF(S201&lt;=5,"Late night (0-5)",IF(S201&lt;=11,"Morning (6-11)",IF(S201&lt;=17,"Afternoon (12-17)","Evening (18-23)")))</f>
        <v>Morning (6-11)</v>
      </c>
    </row>
    <row r="202" customFormat="false" ht="15" hidden="false" customHeight="false" outlineLevel="0" collapsed="false">
      <c r="A202" s="2" t="s">
        <v>485</v>
      </c>
      <c r="B202" s="2" t="s">
        <v>83</v>
      </c>
      <c r="C202" s="2" t="s">
        <v>84</v>
      </c>
      <c r="D202" s="3" t="n">
        <v>46021</v>
      </c>
      <c r="E202" s="2" t="s">
        <v>375</v>
      </c>
      <c r="F202" s="2" t="s">
        <v>26</v>
      </c>
      <c r="G202" s="2" t="n">
        <v>17918</v>
      </c>
      <c r="H202" s="2" t="n">
        <v>21</v>
      </c>
      <c r="I202" s="2" t="n">
        <v>223</v>
      </c>
      <c r="J202" s="2" t="n">
        <v>0</v>
      </c>
      <c r="K202" s="2" t="n">
        <v>15480</v>
      </c>
      <c r="L202" s="2" t="n">
        <v>13989</v>
      </c>
      <c r="M202" s="2" t="n">
        <v>1153</v>
      </c>
      <c r="N202" s="2" t="n">
        <v>43</v>
      </c>
      <c r="O202" s="2" t="n">
        <v>121</v>
      </c>
      <c r="P202" s="2" t="n">
        <v>174</v>
      </c>
      <c r="Q202" s="2" t="n">
        <v>376</v>
      </c>
      <c r="R202" s="2" t="n">
        <v>54</v>
      </c>
      <c r="S202" s="2" t="n">
        <v>19</v>
      </c>
      <c r="T202" s="2" t="s">
        <v>51</v>
      </c>
      <c r="U202" s="4" t="n">
        <f aca="false">(M202+N202+O202+P202)/L202</f>
        <v>0.106583744370577</v>
      </c>
      <c r="V202" s="2" t="str">
        <f aca="false">IF(S202&lt;=5,"Late night (0-5)",IF(S202&lt;=11,"Morning (6-11)",IF(S202&lt;=17,"Afternoon (12-17)","Evening (18-23)")))</f>
        <v>Evening (18-23)</v>
      </c>
    </row>
    <row r="203" customFormat="false" ht="15" hidden="false" customHeight="false" outlineLevel="0" collapsed="false">
      <c r="A203" s="2" t="s">
        <v>486</v>
      </c>
      <c r="B203" s="2" t="s">
        <v>103</v>
      </c>
      <c r="C203" s="2" t="s">
        <v>36</v>
      </c>
      <c r="D203" s="3" t="n">
        <v>45995</v>
      </c>
      <c r="E203" s="2" t="s">
        <v>161</v>
      </c>
      <c r="F203" s="2" t="s">
        <v>32</v>
      </c>
      <c r="G203" s="2" t="n">
        <v>56979</v>
      </c>
      <c r="H203" s="2" t="n">
        <v>10</v>
      </c>
      <c r="I203" s="2" t="n">
        <v>287</v>
      </c>
      <c r="J203" s="2" t="n">
        <v>0</v>
      </c>
      <c r="K203" s="2" t="n">
        <v>48504</v>
      </c>
      <c r="L203" s="2" t="n">
        <v>37131</v>
      </c>
      <c r="M203" s="2" t="n">
        <v>3234</v>
      </c>
      <c r="N203" s="2" t="n">
        <v>69</v>
      </c>
      <c r="O203" s="2" t="n">
        <v>636</v>
      </c>
      <c r="P203" s="2" t="n">
        <v>579</v>
      </c>
      <c r="Q203" s="2" t="n">
        <v>504</v>
      </c>
      <c r="R203" s="2" t="n">
        <v>67</v>
      </c>
      <c r="S203" s="2" t="n">
        <v>4</v>
      </c>
      <c r="T203" s="2" t="s">
        <v>79</v>
      </c>
      <c r="U203" s="4" t="n">
        <f aca="false">(M203+N203+O203+P203)/L203</f>
        <v>0.121677304678032</v>
      </c>
      <c r="V203" s="2" t="str">
        <f aca="false">IF(S203&lt;=5,"Late night (0-5)",IF(S203&lt;=11,"Morning (6-11)",IF(S203&lt;=17,"Afternoon (12-17)","Evening (18-23)")))</f>
        <v>Late night (0-5)</v>
      </c>
    </row>
    <row r="204" customFormat="false" ht="15" hidden="false" customHeight="false" outlineLevel="0" collapsed="false">
      <c r="A204" s="2" t="s">
        <v>487</v>
      </c>
      <c r="B204" s="2" t="s">
        <v>138</v>
      </c>
      <c r="C204" s="2" t="s">
        <v>41</v>
      </c>
      <c r="D204" s="3" t="n">
        <v>45658</v>
      </c>
      <c r="E204" s="2" t="s">
        <v>488</v>
      </c>
      <c r="F204" s="2" t="s">
        <v>50</v>
      </c>
      <c r="G204" s="2" t="n">
        <v>18712</v>
      </c>
      <c r="H204" s="2" t="n">
        <v>8</v>
      </c>
      <c r="I204" s="2" t="n">
        <v>299</v>
      </c>
      <c r="J204" s="2" t="n">
        <v>0</v>
      </c>
      <c r="K204" s="2" t="n">
        <v>13549</v>
      </c>
      <c r="L204" s="2" t="n">
        <v>10659</v>
      </c>
      <c r="M204" s="2" t="n">
        <v>740</v>
      </c>
      <c r="N204" s="2" t="n">
        <v>34</v>
      </c>
      <c r="O204" s="2" t="n">
        <v>36</v>
      </c>
      <c r="P204" s="2" t="n">
        <v>200</v>
      </c>
      <c r="Q204" s="2" t="n">
        <v>65</v>
      </c>
      <c r="R204" s="2" t="n">
        <v>12</v>
      </c>
      <c r="S204" s="2" t="n">
        <v>14</v>
      </c>
      <c r="T204" s="2" t="s">
        <v>66</v>
      </c>
      <c r="U204" s="4" t="n">
        <f aca="false">(M204+N204+O204+P204)/L204</f>
        <v>0.0947556055915189</v>
      </c>
      <c r="V204" s="2" t="str">
        <f aca="false">IF(S204&lt;=5,"Late night (0-5)",IF(S204&lt;=11,"Morning (6-11)",IF(S204&lt;=17,"Afternoon (12-17)","Evening (18-23)")))</f>
        <v>Afternoon (12-17)</v>
      </c>
    </row>
    <row r="205" customFormat="false" ht="15" hidden="false" customHeight="false" outlineLevel="0" collapsed="false">
      <c r="A205" s="2" t="s">
        <v>489</v>
      </c>
      <c r="B205" s="2" t="s">
        <v>103</v>
      </c>
      <c r="C205" s="2" t="s">
        <v>36</v>
      </c>
      <c r="D205" s="3" t="n">
        <v>45910</v>
      </c>
      <c r="E205" s="2" t="s">
        <v>490</v>
      </c>
      <c r="F205" s="2" t="s">
        <v>26</v>
      </c>
      <c r="G205" s="2" t="n">
        <v>56979</v>
      </c>
      <c r="H205" s="2" t="n">
        <v>18</v>
      </c>
      <c r="I205" s="2" t="n">
        <v>263</v>
      </c>
      <c r="J205" s="2" t="n">
        <v>0</v>
      </c>
      <c r="K205" s="2" t="n">
        <v>65877</v>
      </c>
      <c r="L205" s="2" t="n">
        <v>43180</v>
      </c>
      <c r="M205" s="2" t="n">
        <v>1609</v>
      </c>
      <c r="N205" s="2" t="n">
        <v>91</v>
      </c>
      <c r="O205" s="2" t="n">
        <v>200</v>
      </c>
      <c r="P205" s="2" t="n">
        <v>637</v>
      </c>
      <c r="Q205" s="2" t="n">
        <v>660</v>
      </c>
      <c r="R205" s="2" t="n">
        <v>162</v>
      </c>
      <c r="S205" s="2" t="n">
        <v>3</v>
      </c>
      <c r="T205" s="2" t="s">
        <v>66</v>
      </c>
      <c r="U205" s="4" t="n">
        <f aca="false">(M205+N205+O205+P205)/L205</f>
        <v>0.0587540528022233</v>
      </c>
      <c r="V205" s="2" t="str">
        <f aca="false">IF(S205&lt;=5,"Late night (0-5)",IF(S205&lt;=11,"Morning (6-11)",IF(S205&lt;=17,"Afternoon (12-17)","Evening (18-23)")))</f>
        <v>Late night (0-5)</v>
      </c>
    </row>
    <row r="206" customFormat="false" ht="15" hidden="false" customHeight="false" outlineLevel="0" collapsed="false">
      <c r="A206" s="2" t="s">
        <v>491</v>
      </c>
      <c r="B206" s="2" t="s">
        <v>106</v>
      </c>
      <c r="C206" s="2" t="s">
        <v>91</v>
      </c>
      <c r="D206" s="3" t="n">
        <v>45860</v>
      </c>
      <c r="E206" s="2" t="s">
        <v>492</v>
      </c>
      <c r="F206" s="2" t="s">
        <v>38</v>
      </c>
      <c r="G206" s="2" t="n">
        <v>59477</v>
      </c>
      <c r="H206" s="2" t="n">
        <v>12</v>
      </c>
      <c r="I206" s="2" t="n">
        <v>63</v>
      </c>
      <c r="J206" s="2" t="n">
        <v>1</v>
      </c>
      <c r="K206" s="2" t="n">
        <v>17013</v>
      </c>
      <c r="L206" s="2" t="n">
        <v>15353</v>
      </c>
      <c r="M206" s="2" t="n">
        <v>720</v>
      </c>
      <c r="N206" s="2" t="n">
        <v>25</v>
      </c>
      <c r="O206" s="2" t="n">
        <v>115</v>
      </c>
      <c r="P206" s="2" t="n">
        <v>138</v>
      </c>
      <c r="Q206" s="2" t="n">
        <v>145</v>
      </c>
      <c r="R206" s="2" t="n">
        <v>27</v>
      </c>
      <c r="S206" s="2" t="n">
        <v>12</v>
      </c>
      <c r="T206" s="2" t="s">
        <v>51</v>
      </c>
      <c r="U206" s="4" t="n">
        <f aca="false">(M206+N206+O206+P206)/L206</f>
        <v>0.0650035823617534</v>
      </c>
      <c r="V206" s="2" t="str">
        <f aca="false">IF(S206&lt;=5,"Late night (0-5)",IF(S206&lt;=11,"Morning (6-11)",IF(S206&lt;=17,"Afternoon (12-17)","Evening (18-23)")))</f>
        <v>Afternoon (12-17)</v>
      </c>
    </row>
    <row r="207" customFormat="false" ht="15" hidden="false" customHeight="false" outlineLevel="0" collapsed="false">
      <c r="A207" s="2" t="s">
        <v>493</v>
      </c>
      <c r="B207" s="2" t="s">
        <v>188</v>
      </c>
      <c r="C207" s="2" t="s">
        <v>30</v>
      </c>
      <c r="D207" s="3" t="n">
        <v>45848</v>
      </c>
      <c r="E207" s="2" t="s">
        <v>494</v>
      </c>
      <c r="F207" s="2" t="s">
        <v>26</v>
      </c>
      <c r="G207" s="2" t="n">
        <v>38900</v>
      </c>
      <c r="H207" s="2" t="n">
        <v>9</v>
      </c>
      <c r="I207" s="2" t="n">
        <v>148</v>
      </c>
      <c r="J207" s="2" t="n">
        <v>0</v>
      </c>
      <c r="K207" s="2" t="n">
        <v>17342</v>
      </c>
      <c r="L207" s="2" t="n">
        <v>14206</v>
      </c>
      <c r="M207" s="2" t="n">
        <v>1167</v>
      </c>
      <c r="N207" s="2" t="n">
        <v>91</v>
      </c>
      <c r="O207" s="2" t="n">
        <v>125</v>
      </c>
      <c r="P207" s="2" t="n">
        <v>215</v>
      </c>
      <c r="Q207" s="2" t="n">
        <v>87</v>
      </c>
      <c r="R207" s="2" t="n">
        <v>5</v>
      </c>
      <c r="S207" s="2" t="n">
        <v>23</v>
      </c>
      <c r="T207" s="2" t="s">
        <v>79</v>
      </c>
      <c r="U207" s="4" t="n">
        <f aca="false">(M207+N207+O207+P207)/L207</f>
        <v>0.112487681261439</v>
      </c>
      <c r="V207" s="2" t="str">
        <f aca="false">IF(S207&lt;=5,"Late night (0-5)",IF(S207&lt;=11,"Morning (6-11)",IF(S207&lt;=17,"Afternoon (12-17)","Evening (18-23)")))</f>
        <v>Evening (18-23)</v>
      </c>
    </row>
    <row r="208" customFormat="false" ht="15" hidden="false" customHeight="false" outlineLevel="0" collapsed="false">
      <c r="A208" s="2" t="s">
        <v>495</v>
      </c>
      <c r="B208" s="2" t="s">
        <v>29</v>
      </c>
      <c r="C208" s="2" t="s">
        <v>30</v>
      </c>
      <c r="D208" s="3" t="n">
        <v>45851</v>
      </c>
      <c r="E208" s="2" t="s">
        <v>496</v>
      </c>
      <c r="F208" s="2" t="s">
        <v>26</v>
      </c>
      <c r="G208" s="2" t="n">
        <v>11612</v>
      </c>
      <c r="H208" s="2" t="n">
        <v>11</v>
      </c>
      <c r="I208" s="2" t="n">
        <v>78</v>
      </c>
      <c r="J208" s="2" t="n">
        <v>0</v>
      </c>
      <c r="K208" s="2" t="n">
        <v>12907</v>
      </c>
      <c r="L208" s="2" t="n">
        <v>7988</v>
      </c>
      <c r="M208" s="2" t="n">
        <v>578</v>
      </c>
      <c r="N208" s="2" t="n">
        <v>35</v>
      </c>
      <c r="O208" s="2" t="n">
        <v>82</v>
      </c>
      <c r="P208" s="2" t="n">
        <v>44</v>
      </c>
      <c r="Q208" s="2" t="n">
        <v>188</v>
      </c>
      <c r="R208" s="2" t="n">
        <v>32</v>
      </c>
      <c r="S208" s="2" t="n">
        <v>18</v>
      </c>
      <c r="T208" s="2" t="s">
        <v>27</v>
      </c>
      <c r="U208" s="4" t="n">
        <f aca="false">(M208+N208+O208+P208)/L208</f>
        <v>0.092513770655984</v>
      </c>
      <c r="V208" s="2" t="str">
        <f aca="false">IF(S208&lt;=5,"Late night (0-5)",IF(S208&lt;=11,"Morning (6-11)",IF(S208&lt;=17,"Afternoon (12-17)","Evening (18-23)")))</f>
        <v>Evening (18-23)</v>
      </c>
    </row>
    <row r="209" customFormat="false" ht="15" hidden="false" customHeight="false" outlineLevel="0" collapsed="false">
      <c r="A209" s="2" t="s">
        <v>497</v>
      </c>
      <c r="B209" s="2" t="s">
        <v>98</v>
      </c>
      <c r="C209" s="2" t="s">
        <v>54</v>
      </c>
      <c r="D209" s="3" t="n">
        <v>45821</v>
      </c>
      <c r="E209" s="2" t="s">
        <v>498</v>
      </c>
      <c r="F209" s="2" t="s">
        <v>38</v>
      </c>
      <c r="G209" s="2" t="n">
        <v>18366</v>
      </c>
      <c r="H209" s="2" t="n">
        <v>18</v>
      </c>
      <c r="I209" s="2" t="n">
        <v>172</v>
      </c>
      <c r="J209" s="2" t="n">
        <v>0</v>
      </c>
      <c r="K209" s="2" t="n">
        <v>29065</v>
      </c>
      <c r="L209" s="2" t="n">
        <v>22220</v>
      </c>
      <c r="M209" s="2" t="n">
        <v>1064</v>
      </c>
      <c r="N209" s="2" t="n">
        <v>77</v>
      </c>
      <c r="O209" s="2" t="n">
        <v>41</v>
      </c>
      <c r="P209" s="2" t="n">
        <v>303</v>
      </c>
      <c r="Q209" s="2" t="n">
        <v>292</v>
      </c>
      <c r="R209" s="2" t="n">
        <v>68</v>
      </c>
      <c r="S209" s="2" t="n">
        <v>20</v>
      </c>
      <c r="T209" s="2" t="s">
        <v>96</v>
      </c>
      <c r="U209" s="4" t="n">
        <f aca="false">(M209+N209+O209+P209)/L209</f>
        <v>0.0668316831683168</v>
      </c>
      <c r="V209" s="2" t="str">
        <f aca="false">IF(S209&lt;=5,"Late night (0-5)",IF(S209&lt;=11,"Morning (6-11)",IF(S209&lt;=17,"Afternoon (12-17)","Evening (18-23)")))</f>
        <v>Evening (18-23)</v>
      </c>
    </row>
    <row r="210" customFormat="false" ht="15" hidden="false" customHeight="false" outlineLevel="0" collapsed="false">
      <c r="A210" s="2" t="s">
        <v>499</v>
      </c>
      <c r="B210" s="2" t="s">
        <v>243</v>
      </c>
      <c r="C210" s="2" t="s">
        <v>91</v>
      </c>
      <c r="D210" s="3" t="n">
        <v>45954</v>
      </c>
      <c r="E210" s="2" t="s">
        <v>500</v>
      </c>
      <c r="F210" s="2" t="s">
        <v>26</v>
      </c>
      <c r="G210" s="2" t="n">
        <v>42046</v>
      </c>
      <c r="H210" s="2" t="n">
        <v>7</v>
      </c>
      <c r="I210" s="2" t="n">
        <v>396</v>
      </c>
      <c r="J210" s="2" t="n">
        <v>0</v>
      </c>
      <c r="K210" s="2" t="n">
        <v>14735</v>
      </c>
      <c r="L210" s="2" t="n">
        <v>13028</v>
      </c>
      <c r="M210" s="2" t="n">
        <v>907</v>
      </c>
      <c r="N210" s="2" t="n">
        <v>25</v>
      </c>
      <c r="O210" s="2" t="n">
        <v>43</v>
      </c>
      <c r="P210" s="2" t="n">
        <v>273</v>
      </c>
      <c r="Q210" s="2" t="n">
        <v>98</v>
      </c>
      <c r="R210" s="2" t="n">
        <v>8</v>
      </c>
      <c r="S210" s="2" t="n">
        <v>17</v>
      </c>
      <c r="T210" s="2" t="s">
        <v>96</v>
      </c>
      <c r="U210" s="4" t="n">
        <f aca="false">(M210+N210+O210+P210)/L210</f>
        <v>0.0957936751611913</v>
      </c>
      <c r="V210" s="2" t="str">
        <f aca="false">IF(S210&lt;=5,"Late night (0-5)",IF(S210&lt;=11,"Morning (6-11)",IF(S210&lt;=17,"Afternoon (12-17)","Evening (18-23)")))</f>
        <v>Afternoon (12-17)</v>
      </c>
    </row>
    <row r="211" customFormat="false" ht="15" hidden="false" customHeight="false" outlineLevel="0" collapsed="false">
      <c r="A211" s="2" t="s">
        <v>501</v>
      </c>
      <c r="B211" s="2" t="s">
        <v>106</v>
      </c>
      <c r="C211" s="2" t="s">
        <v>91</v>
      </c>
      <c r="D211" s="3" t="n">
        <v>46006</v>
      </c>
      <c r="E211" s="2" t="s">
        <v>502</v>
      </c>
      <c r="F211" s="2" t="s">
        <v>38</v>
      </c>
      <c r="G211" s="2" t="n">
        <v>59477</v>
      </c>
      <c r="H211" s="2" t="n">
        <v>10</v>
      </c>
      <c r="I211" s="2" t="n">
        <v>140</v>
      </c>
      <c r="J211" s="2" t="n">
        <v>0</v>
      </c>
      <c r="K211" s="2" t="n">
        <v>38694</v>
      </c>
      <c r="L211" s="2" t="n">
        <v>22194</v>
      </c>
      <c r="M211" s="2" t="n">
        <v>1165</v>
      </c>
      <c r="N211" s="2" t="n">
        <v>84</v>
      </c>
      <c r="O211" s="2" t="n">
        <v>67</v>
      </c>
      <c r="P211" s="2" t="n">
        <v>166</v>
      </c>
      <c r="Q211" s="2" t="n">
        <v>139</v>
      </c>
      <c r="R211" s="2" t="n">
        <v>32</v>
      </c>
      <c r="S211" s="2" t="n">
        <v>19</v>
      </c>
      <c r="T211" s="2" t="s">
        <v>33</v>
      </c>
      <c r="U211" s="4" t="n">
        <f aca="false">(M211+N211+O211+P211)/L211</f>
        <v>0.0667748040010814</v>
      </c>
      <c r="V211" s="2" t="str">
        <f aca="false">IF(S211&lt;=5,"Late night (0-5)",IF(S211&lt;=11,"Morning (6-11)",IF(S211&lt;=17,"Afternoon (12-17)","Evening (18-23)")))</f>
        <v>Evening (18-23)</v>
      </c>
    </row>
    <row r="212" customFormat="false" ht="15" hidden="false" customHeight="false" outlineLevel="0" collapsed="false">
      <c r="A212" s="2" t="s">
        <v>503</v>
      </c>
      <c r="B212" s="2" t="s">
        <v>114</v>
      </c>
      <c r="C212" s="2" t="s">
        <v>84</v>
      </c>
      <c r="D212" s="3" t="n">
        <v>45906</v>
      </c>
      <c r="E212" s="2" t="s">
        <v>504</v>
      </c>
      <c r="F212" s="2" t="s">
        <v>32</v>
      </c>
      <c r="G212" s="2" t="n">
        <v>64307</v>
      </c>
      <c r="H212" s="2" t="n">
        <v>10</v>
      </c>
      <c r="I212" s="2" t="n">
        <v>194</v>
      </c>
      <c r="J212" s="2" t="n">
        <v>0</v>
      </c>
      <c r="K212" s="2" t="n">
        <v>172657</v>
      </c>
      <c r="L212" s="2" t="n">
        <v>117128</v>
      </c>
      <c r="M212" s="2" t="n">
        <v>11432</v>
      </c>
      <c r="N212" s="2" t="n">
        <v>742</v>
      </c>
      <c r="O212" s="2" t="n">
        <v>1363</v>
      </c>
      <c r="P212" s="2" t="n">
        <v>925</v>
      </c>
      <c r="Q212" s="2" t="n">
        <v>3223</v>
      </c>
      <c r="R212" s="2" t="n">
        <v>849</v>
      </c>
      <c r="S212" s="2" t="n">
        <v>11</v>
      </c>
      <c r="T212" s="2" t="s">
        <v>62</v>
      </c>
      <c r="U212" s="4" t="n">
        <f aca="false">(M212+N212+O212+P212)/L212</f>
        <v>0.123471757393621</v>
      </c>
      <c r="V212" s="2" t="str">
        <f aca="false">IF(S212&lt;=5,"Late night (0-5)",IF(S212&lt;=11,"Morning (6-11)",IF(S212&lt;=17,"Afternoon (12-17)","Evening (18-23)")))</f>
        <v>Morning (6-11)</v>
      </c>
    </row>
    <row r="213" customFormat="false" ht="15" hidden="false" customHeight="false" outlineLevel="0" collapsed="false">
      <c r="A213" s="2" t="s">
        <v>505</v>
      </c>
      <c r="B213" s="2" t="s">
        <v>310</v>
      </c>
      <c r="C213" s="2" t="s">
        <v>91</v>
      </c>
      <c r="D213" s="3" t="n">
        <v>45761</v>
      </c>
      <c r="E213" s="2" t="s">
        <v>506</v>
      </c>
      <c r="F213" s="2" t="s">
        <v>50</v>
      </c>
      <c r="G213" s="2" t="n">
        <v>56571</v>
      </c>
      <c r="H213" s="2" t="n">
        <v>15</v>
      </c>
      <c r="I213" s="2" t="n">
        <v>98</v>
      </c>
      <c r="J213" s="2" t="n">
        <v>0</v>
      </c>
      <c r="K213" s="2" t="n">
        <v>20228</v>
      </c>
      <c r="L213" s="2" t="n">
        <v>13072</v>
      </c>
      <c r="M213" s="2" t="n">
        <v>933</v>
      </c>
      <c r="N213" s="2" t="n">
        <v>19</v>
      </c>
      <c r="O213" s="2" t="n">
        <v>179</v>
      </c>
      <c r="P213" s="2" t="n">
        <v>183</v>
      </c>
      <c r="Q213" s="2" t="n">
        <v>320</v>
      </c>
      <c r="R213" s="2" t="n">
        <v>46</v>
      </c>
      <c r="S213" s="2" t="n">
        <v>20</v>
      </c>
      <c r="T213" s="2" t="s">
        <v>33</v>
      </c>
      <c r="U213" s="4" t="n">
        <f aca="false">(M213+N213+O213+P213)/L213</f>
        <v>0.100520195838433</v>
      </c>
      <c r="V213" s="2" t="str">
        <f aca="false">IF(S213&lt;=5,"Late night (0-5)",IF(S213&lt;=11,"Morning (6-11)",IF(S213&lt;=17,"Afternoon (12-17)","Evening (18-23)")))</f>
        <v>Evening (18-23)</v>
      </c>
    </row>
    <row r="214" customFormat="false" ht="15" hidden="false" customHeight="false" outlineLevel="0" collapsed="false">
      <c r="A214" s="2" t="s">
        <v>507</v>
      </c>
      <c r="B214" s="2" t="s">
        <v>47</v>
      </c>
      <c r="C214" s="2" t="s">
        <v>48</v>
      </c>
      <c r="D214" s="3" t="n">
        <v>45813</v>
      </c>
      <c r="E214" s="2" t="s">
        <v>508</v>
      </c>
      <c r="F214" s="2" t="s">
        <v>50</v>
      </c>
      <c r="G214" s="2" t="n">
        <v>19609</v>
      </c>
      <c r="H214" s="2" t="n">
        <v>19</v>
      </c>
      <c r="I214" s="2" t="n">
        <v>182</v>
      </c>
      <c r="J214" s="2" t="n">
        <v>1</v>
      </c>
      <c r="K214" s="2" t="n">
        <v>8229</v>
      </c>
      <c r="L214" s="2" t="n">
        <v>4952</v>
      </c>
      <c r="M214" s="2" t="n">
        <v>212</v>
      </c>
      <c r="N214" s="2" t="n">
        <v>11</v>
      </c>
      <c r="O214" s="2" t="n">
        <v>19</v>
      </c>
      <c r="P214" s="2" t="n">
        <v>50</v>
      </c>
      <c r="Q214" s="2" t="n">
        <v>111</v>
      </c>
      <c r="R214" s="2" t="n">
        <v>24</v>
      </c>
      <c r="S214" s="2" t="n">
        <v>2</v>
      </c>
      <c r="T214" s="2" t="s">
        <v>79</v>
      </c>
      <c r="U214" s="4" t="n">
        <f aca="false">(M214+N214+O214+P214)/L214</f>
        <v>0.0589660743134087</v>
      </c>
      <c r="V214" s="2" t="str">
        <f aca="false">IF(S214&lt;=5,"Late night (0-5)",IF(S214&lt;=11,"Morning (6-11)",IF(S214&lt;=17,"Afternoon (12-17)","Evening (18-23)")))</f>
        <v>Late night (0-5)</v>
      </c>
    </row>
    <row r="215" customFormat="false" ht="15" hidden="false" customHeight="false" outlineLevel="0" collapsed="false">
      <c r="A215" s="2" t="s">
        <v>509</v>
      </c>
      <c r="B215" s="2" t="s">
        <v>431</v>
      </c>
      <c r="C215" s="2" t="s">
        <v>36</v>
      </c>
      <c r="D215" s="3" t="n">
        <v>45793</v>
      </c>
      <c r="E215" s="2" t="s">
        <v>510</v>
      </c>
      <c r="F215" s="2" t="s">
        <v>26</v>
      </c>
      <c r="G215" s="2" t="n">
        <v>64821</v>
      </c>
      <c r="H215" s="2" t="n">
        <v>0</v>
      </c>
      <c r="I215" s="2" t="n">
        <v>166</v>
      </c>
      <c r="J215" s="2" t="n">
        <v>1</v>
      </c>
      <c r="K215" s="2" t="n">
        <v>38094</v>
      </c>
      <c r="L215" s="2" t="n">
        <v>27364</v>
      </c>
      <c r="M215" s="2" t="n">
        <v>825</v>
      </c>
      <c r="N215" s="2" t="n">
        <v>44</v>
      </c>
      <c r="O215" s="2" t="n">
        <v>123</v>
      </c>
      <c r="P215" s="2" t="n">
        <v>220</v>
      </c>
      <c r="Q215" s="2" t="n">
        <v>611</v>
      </c>
      <c r="R215" s="2" t="n">
        <v>30</v>
      </c>
      <c r="S215" s="2" t="n">
        <v>11</v>
      </c>
      <c r="T215" s="2" t="s">
        <v>96</v>
      </c>
      <c r="U215" s="4" t="n">
        <f aca="false">(M215+N215+O215+P215)/L215</f>
        <v>0.0442917702090338</v>
      </c>
      <c r="V215" s="2" t="str">
        <f aca="false">IF(S215&lt;=5,"Late night (0-5)",IF(S215&lt;=11,"Morning (6-11)",IF(S215&lt;=17,"Afternoon (12-17)","Evening (18-23)")))</f>
        <v>Morning (6-11)</v>
      </c>
    </row>
    <row r="216" customFormat="false" ht="15" hidden="false" customHeight="false" outlineLevel="0" collapsed="false">
      <c r="A216" s="2" t="s">
        <v>511</v>
      </c>
      <c r="B216" s="2" t="s">
        <v>374</v>
      </c>
      <c r="C216" s="2" t="s">
        <v>24</v>
      </c>
      <c r="D216" s="3" t="n">
        <v>45782</v>
      </c>
      <c r="E216" s="2" t="s">
        <v>512</v>
      </c>
      <c r="F216" s="2" t="s">
        <v>26</v>
      </c>
      <c r="G216" s="2" t="n">
        <v>9509</v>
      </c>
      <c r="H216" s="2" t="n">
        <v>16</v>
      </c>
      <c r="I216" s="2" t="n">
        <v>278</v>
      </c>
      <c r="J216" s="2" t="n">
        <v>0</v>
      </c>
      <c r="K216" s="2" t="n">
        <v>6273</v>
      </c>
      <c r="L216" s="2" t="n">
        <v>3701</v>
      </c>
      <c r="M216" s="2" t="n">
        <v>208</v>
      </c>
      <c r="N216" s="2" t="n">
        <v>15</v>
      </c>
      <c r="O216" s="2" t="n">
        <v>29</v>
      </c>
      <c r="P216" s="2" t="n">
        <v>55</v>
      </c>
      <c r="Q216" s="2" t="n">
        <v>45</v>
      </c>
      <c r="R216" s="2" t="n">
        <v>8</v>
      </c>
      <c r="S216" s="2" t="n">
        <v>14</v>
      </c>
      <c r="T216" s="2" t="s">
        <v>33</v>
      </c>
      <c r="U216" s="4" t="n">
        <f aca="false">(M216+N216+O216+P216)/L216</f>
        <v>0.0829505539043502</v>
      </c>
      <c r="V216" s="2" t="str">
        <f aca="false">IF(S216&lt;=5,"Late night (0-5)",IF(S216&lt;=11,"Morning (6-11)",IF(S216&lt;=17,"Afternoon (12-17)","Evening (18-23)")))</f>
        <v>Afternoon (12-17)</v>
      </c>
    </row>
    <row r="217" customFormat="false" ht="15" hidden="false" customHeight="false" outlineLevel="0" collapsed="false">
      <c r="A217" s="2" t="s">
        <v>513</v>
      </c>
      <c r="B217" s="2" t="s">
        <v>188</v>
      </c>
      <c r="C217" s="2" t="s">
        <v>30</v>
      </c>
      <c r="D217" s="3" t="n">
        <v>45969</v>
      </c>
      <c r="E217" s="2" t="s">
        <v>514</v>
      </c>
      <c r="F217" s="2" t="s">
        <v>32</v>
      </c>
      <c r="G217" s="2" t="n">
        <v>38900</v>
      </c>
      <c r="H217" s="2" t="n">
        <v>22</v>
      </c>
      <c r="I217" s="2" t="n">
        <v>157</v>
      </c>
      <c r="J217" s="2" t="n">
        <v>0</v>
      </c>
      <c r="K217" s="2" t="n">
        <v>46059</v>
      </c>
      <c r="L217" s="2" t="n">
        <v>34701</v>
      </c>
      <c r="M217" s="2" t="n">
        <v>2569</v>
      </c>
      <c r="N217" s="2" t="n">
        <v>106</v>
      </c>
      <c r="O217" s="2" t="n">
        <v>454</v>
      </c>
      <c r="P217" s="2" t="n">
        <v>156</v>
      </c>
      <c r="Q217" s="2" t="n">
        <v>736</v>
      </c>
      <c r="R217" s="2" t="n">
        <v>140</v>
      </c>
      <c r="S217" s="2" t="n">
        <v>18</v>
      </c>
      <c r="T217" s="2" t="s">
        <v>62</v>
      </c>
      <c r="U217" s="4" t="n">
        <f aca="false">(M217+N217+O217+P217)/L217</f>
        <v>0.0946658597734936</v>
      </c>
      <c r="V217" s="2" t="str">
        <f aca="false">IF(S217&lt;=5,"Late night (0-5)",IF(S217&lt;=11,"Morning (6-11)",IF(S217&lt;=17,"Afternoon (12-17)","Evening (18-23)")))</f>
        <v>Evening (18-23)</v>
      </c>
    </row>
    <row r="218" customFormat="false" ht="15" hidden="false" customHeight="false" outlineLevel="0" collapsed="false">
      <c r="A218" s="2" t="s">
        <v>515</v>
      </c>
      <c r="B218" s="2" t="s">
        <v>94</v>
      </c>
      <c r="C218" s="2" t="s">
        <v>30</v>
      </c>
      <c r="D218" s="3" t="n">
        <v>45702</v>
      </c>
      <c r="E218" s="2" t="s">
        <v>516</v>
      </c>
      <c r="F218" s="2" t="s">
        <v>38</v>
      </c>
      <c r="G218" s="2" t="n">
        <v>58559</v>
      </c>
      <c r="H218" s="2" t="n">
        <v>18</v>
      </c>
      <c r="I218" s="2" t="n">
        <v>218</v>
      </c>
      <c r="J218" s="2" t="n">
        <v>1</v>
      </c>
      <c r="K218" s="2" t="n">
        <v>50604</v>
      </c>
      <c r="L218" s="2" t="n">
        <v>36464</v>
      </c>
      <c r="M218" s="2" t="n">
        <v>2985</v>
      </c>
      <c r="N218" s="2" t="n">
        <v>150</v>
      </c>
      <c r="O218" s="2" t="n">
        <v>351</v>
      </c>
      <c r="P218" s="2" t="n">
        <v>153</v>
      </c>
      <c r="Q218" s="2" t="n">
        <v>763</v>
      </c>
      <c r="R218" s="2" t="n">
        <v>58</v>
      </c>
      <c r="S218" s="2" t="n">
        <v>19</v>
      </c>
      <c r="T218" s="2" t="s">
        <v>96</v>
      </c>
      <c r="U218" s="4" t="n">
        <f aca="false">(M218+N218+O218+P218)/L218</f>
        <v>0.0997970601140851</v>
      </c>
      <c r="V218" s="2" t="str">
        <f aca="false">IF(S218&lt;=5,"Late night (0-5)",IF(S218&lt;=11,"Morning (6-11)",IF(S218&lt;=17,"Afternoon (12-17)","Evening (18-23)")))</f>
        <v>Evening (18-23)</v>
      </c>
    </row>
    <row r="219" customFormat="false" ht="15" hidden="false" customHeight="false" outlineLevel="0" collapsed="false">
      <c r="A219" s="2" t="s">
        <v>517</v>
      </c>
      <c r="B219" s="2" t="s">
        <v>103</v>
      </c>
      <c r="C219" s="2" t="s">
        <v>36</v>
      </c>
      <c r="D219" s="3" t="n">
        <v>45985</v>
      </c>
      <c r="E219" s="2" t="s">
        <v>518</v>
      </c>
      <c r="F219" s="2" t="s">
        <v>50</v>
      </c>
      <c r="G219" s="2" t="n">
        <v>56979</v>
      </c>
      <c r="H219" s="2" t="n">
        <v>5</v>
      </c>
      <c r="I219" s="2" t="n">
        <v>328</v>
      </c>
      <c r="J219" s="2" t="n">
        <v>0</v>
      </c>
      <c r="K219" s="2" t="n">
        <v>34324</v>
      </c>
      <c r="L219" s="2" t="n">
        <v>24090</v>
      </c>
      <c r="M219" s="2" t="n">
        <v>1145</v>
      </c>
      <c r="N219" s="2" t="n">
        <v>58</v>
      </c>
      <c r="O219" s="2" t="n">
        <v>84</v>
      </c>
      <c r="P219" s="2" t="n">
        <v>196</v>
      </c>
      <c r="Q219" s="2" t="n">
        <v>208</v>
      </c>
      <c r="R219" s="2" t="n">
        <v>39</v>
      </c>
      <c r="S219" s="2" t="n">
        <v>10</v>
      </c>
      <c r="T219" s="2" t="s">
        <v>33</v>
      </c>
      <c r="U219" s="4" t="n">
        <f aca="false">(M219+N219+O219+P219)/L219</f>
        <v>0.0615608136156081</v>
      </c>
      <c r="V219" s="2" t="str">
        <f aca="false">IF(S219&lt;=5,"Late night (0-5)",IF(S219&lt;=11,"Morning (6-11)",IF(S219&lt;=17,"Afternoon (12-17)","Evening (18-23)")))</f>
        <v>Morning (6-11)</v>
      </c>
    </row>
    <row r="220" customFormat="false" ht="15" hidden="false" customHeight="false" outlineLevel="0" collapsed="false">
      <c r="A220" s="2" t="s">
        <v>519</v>
      </c>
      <c r="B220" s="2" t="s">
        <v>132</v>
      </c>
      <c r="C220" s="2" t="s">
        <v>36</v>
      </c>
      <c r="D220" s="3" t="n">
        <v>45664</v>
      </c>
      <c r="E220" s="2" t="s">
        <v>520</v>
      </c>
      <c r="F220" s="2" t="s">
        <v>50</v>
      </c>
      <c r="G220" s="2" t="n">
        <v>83053</v>
      </c>
      <c r="H220" s="2" t="n">
        <v>22</v>
      </c>
      <c r="I220" s="2" t="n">
        <v>122</v>
      </c>
      <c r="J220" s="2" t="n">
        <v>0</v>
      </c>
      <c r="K220" s="2" t="n">
        <v>85524</v>
      </c>
      <c r="L220" s="2" t="n">
        <v>64474</v>
      </c>
      <c r="M220" s="2" t="n">
        <v>2853</v>
      </c>
      <c r="N220" s="2" t="n">
        <v>59</v>
      </c>
      <c r="O220" s="2" t="n">
        <v>131</v>
      </c>
      <c r="P220" s="2" t="n">
        <v>465</v>
      </c>
      <c r="Q220" s="2" t="n">
        <v>869</v>
      </c>
      <c r="R220" s="2" t="n">
        <v>82</v>
      </c>
      <c r="S220" s="2" t="n">
        <v>13</v>
      </c>
      <c r="T220" s="2" t="s">
        <v>51</v>
      </c>
      <c r="U220" s="4" t="n">
        <f aca="false">(M220+N220+O220+P220)/L220</f>
        <v>0.054409529422713</v>
      </c>
      <c r="V220" s="2" t="str">
        <f aca="false">IF(S220&lt;=5,"Late night (0-5)",IF(S220&lt;=11,"Morning (6-11)",IF(S220&lt;=17,"Afternoon (12-17)","Evening (18-23)")))</f>
        <v>Afternoon (12-17)</v>
      </c>
    </row>
    <row r="221" customFormat="false" ht="15" hidden="false" customHeight="false" outlineLevel="0" collapsed="false">
      <c r="A221" s="2" t="s">
        <v>521</v>
      </c>
      <c r="B221" s="2" t="s">
        <v>409</v>
      </c>
      <c r="C221" s="2" t="s">
        <v>48</v>
      </c>
      <c r="D221" s="3" t="n">
        <v>45894</v>
      </c>
      <c r="E221" s="2" t="s">
        <v>522</v>
      </c>
      <c r="F221" s="2" t="s">
        <v>38</v>
      </c>
      <c r="G221" s="2" t="n">
        <v>31525</v>
      </c>
      <c r="H221" s="2" t="n">
        <v>11</v>
      </c>
      <c r="I221" s="2" t="n">
        <v>192</v>
      </c>
      <c r="J221" s="2" t="n">
        <v>1</v>
      </c>
      <c r="K221" s="2" t="n">
        <v>23057</v>
      </c>
      <c r="L221" s="2" t="n">
        <v>18591</v>
      </c>
      <c r="M221" s="2" t="n">
        <v>597</v>
      </c>
      <c r="N221" s="2" t="n">
        <v>44</v>
      </c>
      <c r="O221" s="2" t="n">
        <v>106</v>
      </c>
      <c r="P221" s="2" t="n">
        <v>57</v>
      </c>
      <c r="Q221" s="2" t="n">
        <v>216</v>
      </c>
      <c r="R221" s="2" t="n">
        <v>20</v>
      </c>
      <c r="S221" s="2" t="n">
        <v>12</v>
      </c>
      <c r="T221" s="2" t="s">
        <v>33</v>
      </c>
      <c r="U221" s="4" t="n">
        <f aca="false">(M221+N221+O221+P221)/L221</f>
        <v>0.0432467322898177</v>
      </c>
      <c r="V221" s="2" t="str">
        <f aca="false">IF(S221&lt;=5,"Late night (0-5)",IF(S221&lt;=11,"Morning (6-11)",IF(S221&lt;=17,"Afternoon (12-17)","Evening (18-23)")))</f>
        <v>Afternoon (12-17)</v>
      </c>
    </row>
    <row r="222" customFormat="false" ht="15" hidden="false" customHeight="false" outlineLevel="0" collapsed="false">
      <c r="A222" s="2" t="s">
        <v>523</v>
      </c>
      <c r="B222" s="2" t="s">
        <v>23</v>
      </c>
      <c r="C222" s="2" t="s">
        <v>24</v>
      </c>
      <c r="D222" s="3" t="n">
        <v>45784</v>
      </c>
      <c r="E222" s="2" t="s">
        <v>524</v>
      </c>
      <c r="F222" s="2" t="s">
        <v>26</v>
      </c>
      <c r="G222" s="2" t="n">
        <v>63447</v>
      </c>
      <c r="H222" s="2" t="n">
        <v>13</v>
      </c>
      <c r="I222" s="2" t="n">
        <v>182</v>
      </c>
      <c r="J222" s="2" t="n">
        <v>0</v>
      </c>
      <c r="K222" s="2" t="n">
        <v>28578</v>
      </c>
      <c r="L222" s="2" t="n">
        <v>16206</v>
      </c>
      <c r="M222" s="2" t="n">
        <v>984</v>
      </c>
      <c r="N222" s="2" t="n">
        <v>65</v>
      </c>
      <c r="O222" s="2" t="n">
        <v>167</v>
      </c>
      <c r="P222" s="2" t="n">
        <v>233</v>
      </c>
      <c r="Q222" s="2" t="n">
        <v>381</v>
      </c>
      <c r="R222" s="2" t="n">
        <v>53</v>
      </c>
      <c r="S222" s="2" t="n">
        <v>15</v>
      </c>
      <c r="T222" s="2" t="s">
        <v>66</v>
      </c>
      <c r="U222" s="4" t="n">
        <f aca="false">(M222+N222+O222+P222)/L222</f>
        <v>0.0894113291373565</v>
      </c>
      <c r="V222" s="2" t="str">
        <f aca="false">IF(S222&lt;=5,"Late night (0-5)",IF(S222&lt;=11,"Morning (6-11)",IF(S222&lt;=17,"Afternoon (12-17)","Evening (18-23)")))</f>
        <v>Afternoon (12-17)</v>
      </c>
    </row>
    <row r="223" customFormat="false" ht="15" hidden="false" customHeight="false" outlineLevel="0" collapsed="false">
      <c r="A223" s="2" t="s">
        <v>525</v>
      </c>
      <c r="B223" s="2" t="s">
        <v>264</v>
      </c>
      <c r="C223" s="2" t="s">
        <v>36</v>
      </c>
      <c r="D223" s="3" t="n">
        <v>45883</v>
      </c>
      <c r="E223" s="2" t="s">
        <v>526</v>
      </c>
      <c r="F223" s="2" t="s">
        <v>26</v>
      </c>
      <c r="G223" s="2" t="n">
        <v>22362</v>
      </c>
      <c r="H223" s="2" t="n">
        <v>12</v>
      </c>
      <c r="I223" s="2" t="n">
        <v>215</v>
      </c>
      <c r="J223" s="2" t="n">
        <v>1</v>
      </c>
      <c r="K223" s="2" t="n">
        <v>7674</v>
      </c>
      <c r="L223" s="2" t="n">
        <v>5067</v>
      </c>
      <c r="M223" s="2" t="n">
        <v>348</v>
      </c>
      <c r="N223" s="2" t="n">
        <v>19</v>
      </c>
      <c r="O223" s="2" t="n">
        <v>11</v>
      </c>
      <c r="P223" s="2" t="n">
        <v>45</v>
      </c>
      <c r="Q223" s="2" t="n">
        <v>46</v>
      </c>
      <c r="R223" s="2" t="n">
        <v>3</v>
      </c>
      <c r="S223" s="2" t="n">
        <v>1</v>
      </c>
      <c r="T223" s="2" t="s">
        <v>79</v>
      </c>
      <c r="U223" s="4" t="n">
        <f aca="false">(M223+N223+O223+P223)/L223</f>
        <v>0.0834813499111901</v>
      </c>
      <c r="V223" s="2" t="str">
        <f aca="false">IF(S223&lt;=5,"Late night (0-5)",IF(S223&lt;=11,"Morning (6-11)",IF(S223&lt;=17,"Afternoon (12-17)","Evening (18-23)")))</f>
        <v>Late night (0-5)</v>
      </c>
    </row>
    <row r="224" customFormat="false" ht="15" hidden="false" customHeight="false" outlineLevel="0" collapsed="false">
      <c r="A224" s="2" t="s">
        <v>527</v>
      </c>
      <c r="B224" s="2" t="s">
        <v>462</v>
      </c>
      <c r="C224" s="2" t="s">
        <v>84</v>
      </c>
      <c r="D224" s="3" t="n">
        <v>45696</v>
      </c>
      <c r="E224" s="2" t="s">
        <v>528</v>
      </c>
      <c r="F224" s="2" t="s">
        <v>32</v>
      </c>
      <c r="G224" s="2" t="n">
        <v>43510</v>
      </c>
      <c r="H224" s="2" t="n">
        <v>10</v>
      </c>
      <c r="I224" s="2" t="n">
        <v>252</v>
      </c>
      <c r="J224" s="2" t="n">
        <v>1</v>
      </c>
      <c r="K224" s="2" t="n">
        <v>119645</v>
      </c>
      <c r="L224" s="2" t="n">
        <v>91589</v>
      </c>
      <c r="M224" s="2" t="n">
        <v>9550</v>
      </c>
      <c r="N224" s="2" t="n">
        <v>263</v>
      </c>
      <c r="O224" s="2" t="n">
        <v>2584</v>
      </c>
      <c r="P224" s="2" t="n">
        <v>625</v>
      </c>
      <c r="Q224" s="2" t="n">
        <v>1404</v>
      </c>
      <c r="R224" s="2" t="n">
        <v>291</v>
      </c>
      <c r="S224" s="2" t="n">
        <v>7</v>
      </c>
      <c r="T224" s="2" t="s">
        <v>62</v>
      </c>
      <c r="U224" s="4" t="n">
        <f aca="false">(M224+N224+O224+P224)/L224</f>
        <v>0.14217864590726</v>
      </c>
      <c r="V224" s="2" t="str">
        <f aca="false">IF(S224&lt;=5,"Late night (0-5)",IF(S224&lt;=11,"Morning (6-11)",IF(S224&lt;=17,"Afternoon (12-17)","Evening (18-23)")))</f>
        <v>Morning (6-11)</v>
      </c>
    </row>
    <row r="225" customFormat="false" ht="15" hidden="false" customHeight="false" outlineLevel="0" collapsed="false">
      <c r="A225" s="2" t="s">
        <v>529</v>
      </c>
      <c r="B225" s="2" t="s">
        <v>87</v>
      </c>
      <c r="C225" s="2" t="s">
        <v>36</v>
      </c>
      <c r="D225" s="3" t="n">
        <v>45966</v>
      </c>
      <c r="E225" s="2" t="s">
        <v>530</v>
      </c>
      <c r="F225" s="2" t="s">
        <v>26</v>
      </c>
      <c r="G225" s="2" t="n">
        <v>25592</v>
      </c>
      <c r="H225" s="2" t="n">
        <v>5</v>
      </c>
      <c r="I225" s="2" t="n">
        <v>258</v>
      </c>
      <c r="J225" s="2" t="n">
        <v>0</v>
      </c>
      <c r="K225" s="2" t="n">
        <v>23195</v>
      </c>
      <c r="L225" s="2" t="n">
        <v>15144</v>
      </c>
      <c r="M225" s="2" t="n">
        <v>719</v>
      </c>
      <c r="N225" s="2" t="n">
        <v>17</v>
      </c>
      <c r="O225" s="2" t="n">
        <v>111</v>
      </c>
      <c r="P225" s="2" t="n">
        <v>75</v>
      </c>
      <c r="Q225" s="2" t="n">
        <v>108</v>
      </c>
      <c r="R225" s="2" t="n">
        <v>13</v>
      </c>
      <c r="S225" s="2" t="n">
        <v>15</v>
      </c>
      <c r="T225" s="2" t="s">
        <v>66</v>
      </c>
      <c r="U225" s="4" t="n">
        <f aca="false">(M225+N225+O225+P225)/L225</f>
        <v>0.0608821975699947</v>
      </c>
      <c r="V225" s="2" t="str">
        <f aca="false">IF(S225&lt;=5,"Late night (0-5)",IF(S225&lt;=11,"Morning (6-11)",IF(S225&lt;=17,"Afternoon (12-17)","Evening (18-23)")))</f>
        <v>Afternoon (12-17)</v>
      </c>
    </row>
    <row r="226" customFormat="false" ht="15" hidden="false" customHeight="false" outlineLevel="0" collapsed="false">
      <c r="A226" s="2" t="s">
        <v>531</v>
      </c>
      <c r="B226" s="2" t="s">
        <v>126</v>
      </c>
      <c r="C226" s="2" t="s">
        <v>36</v>
      </c>
      <c r="D226" s="3" t="n">
        <v>45959</v>
      </c>
      <c r="E226" s="2" t="s">
        <v>532</v>
      </c>
      <c r="F226" s="2" t="s">
        <v>26</v>
      </c>
      <c r="G226" s="2" t="n">
        <v>28784</v>
      </c>
      <c r="H226" s="2" t="n">
        <v>17</v>
      </c>
      <c r="I226" s="2" t="n">
        <v>152</v>
      </c>
      <c r="J226" s="2" t="n">
        <v>1</v>
      </c>
      <c r="K226" s="2" t="n">
        <v>61668</v>
      </c>
      <c r="L226" s="2" t="n">
        <v>39569</v>
      </c>
      <c r="M226" s="2" t="n">
        <v>3550</v>
      </c>
      <c r="N226" s="2" t="n">
        <v>74</v>
      </c>
      <c r="O226" s="2" t="n">
        <v>443</v>
      </c>
      <c r="P226" s="2" t="n">
        <v>1181</v>
      </c>
      <c r="Q226" s="2" t="n">
        <v>1015</v>
      </c>
      <c r="R226" s="2" t="n">
        <v>189</v>
      </c>
      <c r="S226" s="2" t="n">
        <v>14</v>
      </c>
      <c r="T226" s="2" t="s">
        <v>66</v>
      </c>
      <c r="U226" s="4" t="n">
        <f aca="false">(M226+N226+O226+P226)/L226</f>
        <v>0.132629078318886</v>
      </c>
      <c r="V226" s="2" t="str">
        <f aca="false">IF(S226&lt;=5,"Late night (0-5)",IF(S226&lt;=11,"Morning (6-11)",IF(S226&lt;=17,"Afternoon (12-17)","Evening (18-23)")))</f>
        <v>Afternoon (12-17)</v>
      </c>
    </row>
    <row r="227" customFormat="false" ht="15" hidden="false" customHeight="false" outlineLevel="0" collapsed="false">
      <c r="A227" s="2" t="s">
        <v>533</v>
      </c>
      <c r="B227" s="2" t="s">
        <v>94</v>
      </c>
      <c r="C227" s="2" t="s">
        <v>30</v>
      </c>
      <c r="D227" s="3" t="n">
        <v>45834</v>
      </c>
      <c r="E227" s="2" t="s">
        <v>534</v>
      </c>
      <c r="F227" s="2" t="s">
        <v>32</v>
      </c>
      <c r="G227" s="2" t="n">
        <v>58559</v>
      </c>
      <c r="H227" s="2" t="n">
        <v>6</v>
      </c>
      <c r="I227" s="2" t="n">
        <v>184</v>
      </c>
      <c r="J227" s="2" t="n">
        <v>1</v>
      </c>
      <c r="K227" s="2" t="n">
        <v>26591</v>
      </c>
      <c r="L227" s="2" t="n">
        <v>21651</v>
      </c>
      <c r="M227" s="2" t="n">
        <v>1331</v>
      </c>
      <c r="N227" s="2" t="n">
        <v>56</v>
      </c>
      <c r="O227" s="2" t="n">
        <v>229</v>
      </c>
      <c r="P227" s="2" t="n">
        <v>356</v>
      </c>
      <c r="Q227" s="2" t="n">
        <v>560</v>
      </c>
      <c r="R227" s="2" t="n">
        <v>29</v>
      </c>
      <c r="S227" s="2" t="n">
        <v>3</v>
      </c>
      <c r="T227" s="2" t="s">
        <v>79</v>
      </c>
      <c r="U227" s="4" t="n">
        <f aca="false">(M227+N227+O227+P227)/L227</f>
        <v>0.0910812433605838</v>
      </c>
      <c r="V227" s="2" t="str">
        <f aca="false">IF(S227&lt;=5,"Late night (0-5)",IF(S227&lt;=11,"Morning (6-11)",IF(S227&lt;=17,"Afternoon (12-17)","Evening (18-23)")))</f>
        <v>Late night (0-5)</v>
      </c>
    </row>
    <row r="228" customFormat="false" ht="15" hidden="false" customHeight="false" outlineLevel="0" collapsed="false">
      <c r="A228" s="2" t="s">
        <v>535</v>
      </c>
      <c r="B228" s="2" t="s">
        <v>151</v>
      </c>
      <c r="C228" s="2" t="s">
        <v>36</v>
      </c>
      <c r="D228" s="3" t="n">
        <v>45993</v>
      </c>
      <c r="E228" s="2" t="s">
        <v>536</v>
      </c>
      <c r="F228" s="2" t="s">
        <v>50</v>
      </c>
      <c r="G228" s="2" t="n">
        <v>19247</v>
      </c>
      <c r="H228" s="2" t="n">
        <v>20</v>
      </c>
      <c r="I228" s="2" t="n">
        <v>199</v>
      </c>
      <c r="J228" s="2" t="n">
        <v>0</v>
      </c>
      <c r="K228" s="2" t="n">
        <v>6132</v>
      </c>
      <c r="L228" s="2" t="n">
        <v>5241</v>
      </c>
      <c r="M228" s="2" t="n">
        <v>333</v>
      </c>
      <c r="N228" s="2" t="n">
        <v>23</v>
      </c>
      <c r="O228" s="2" t="n">
        <v>13</v>
      </c>
      <c r="P228" s="2" t="n">
        <v>57</v>
      </c>
      <c r="Q228" s="2" t="n">
        <v>35</v>
      </c>
      <c r="R228" s="2" t="n">
        <v>5</v>
      </c>
      <c r="S228" s="2" t="n">
        <v>8</v>
      </c>
      <c r="T228" s="2" t="s">
        <v>51</v>
      </c>
      <c r="U228" s="4" t="n">
        <f aca="false">(M228+N228+O228+P228)/L228</f>
        <v>0.0812821980538065</v>
      </c>
      <c r="V228" s="2" t="str">
        <f aca="false">IF(S228&lt;=5,"Late night (0-5)",IF(S228&lt;=11,"Morning (6-11)",IF(S228&lt;=17,"Afternoon (12-17)","Evening (18-23)")))</f>
        <v>Morning (6-11)</v>
      </c>
    </row>
    <row r="229" customFormat="false" ht="15" hidden="false" customHeight="false" outlineLevel="0" collapsed="false">
      <c r="A229" s="2" t="s">
        <v>537</v>
      </c>
      <c r="B229" s="2" t="s">
        <v>74</v>
      </c>
      <c r="C229" s="2" t="s">
        <v>30</v>
      </c>
      <c r="D229" s="3" t="n">
        <v>45843</v>
      </c>
      <c r="E229" s="2" t="s">
        <v>538</v>
      </c>
      <c r="F229" s="2" t="s">
        <v>32</v>
      </c>
      <c r="G229" s="2" t="n">
        <v>20432</v>
      </c>
      <c r="H229" s="2" t="n">
        <v>8</v>
      </c>
      <c r="I229" s="2" t="n">
        <v>147</v>
      </c>
      <c r="J229" s="2" t="n">
        <v>0</v>
      </c>
      <c r="K229" s="2" t="n">
        <v>10572</v>
      </c>
      <c r="L229" s="2" t="n">
        <v>8007</v>
      </c>
      <c r="M229" s="2" t="n">
        <v>409</v>
      </c>
      <c r="N229" s="2" t="n">
        <v>32</v>
      </c>
      <c r="O229" s="2" t="n">
        <v>20</v>
      </c>
      <c r="P229" s="2" t="n">
        <v>33</v>
      </c>
      <c r="Q229" s="2" t="n">
        <v>207</v>
      </c>
      <c r="R229" s="2" t="n">
        <v>17</v>
      </c>
      <c r="S229" s="2" t="n">
        <v>3</v>
      </c>
      <c r="T229" s="2" t="s">
        <v>62</v>
      </c>
      <c r="U229" s="4" t="n">
        <f aca="false">(M229+N229+O229+P229)/L229</f>
        <v>0.0616960159860122</v>
      </c>
      <c r="V229" s="2" t="str">
        <f aca="false">IF(S229&lt;=5,"Late night (0-5)",IF(S229&lt;=11,"Morning (6-11)",IF(S229&lt;=17,"Afternoon (12-17)","Evening (18-23)")))</f>
        <v>Late night (0-5)</v>
      </c>
    </row>
    <row r="230" customFormat="false" ht="15" hidden="false" customHeight="false" outlineLevel="0" collapsed="false">
      <c r="A230" s="2" t="s">
        <v>539</v>
      </c>
      <c r="B230" s="2" t="s">
        <v>77</v>
      </c>
      <c r="C230" s="2" t="s">
        <v>30</v>
      </c>
      <c r="D230" s="3" t="n">
        <v>45857</v>
      </c>
      <c r="E230" s="2" t="s">
        <v>540</v>
      </c>
      <c r="F230" s="2" t="s">
        <v>26</v>
      </c>
      <c r="G230" s="2" t="n">
        <v>17548</v>
      </c>
      <c r="H230" s="2" t="n">
        <v>15</v>
      </c>
      <c r="I230" s="2" t="n">
        <v>230</v>
      </c>
      <c r="J230" s="2" t="n">
        <v>0</v>
      </c>
      <c r="K230" s="2" t="n">
        <v>26812</v>
      </c>
      <c r="L230" s="2" t="n">
        <v>16574</v>
      </c>
      <c r="M230" s="2" t="n">
        <v>999</v>
      </c>
      <c r="N230" s="2" t="n">
        <v>41</v>
      </c>
      <c r="O230" s="2" t="n">
        <v>54</v>
      </c>
      <c r="P230" s="2" t="n">
        <v>159</v>
      </c>
      <c r="Q230" s="2" t="n">
        <v>348</v>
      </c>
      <c r="R230" s="2" t="n">
        <v>49</v>
      </c>
      <c r="S230" s="2" t="n">
        <v>6</v>
      </c>
      <c r="T230" s="2" t="s">
        <v>62</v>
      </c>
      <c r="U230" s="4" t="n">
        <f aca="false">(M230+N230+O230+P230)/L230</f>
        <v>0.075600337878605</v>
      </c>
      <c r="V230" s="2" t="str">
        <f aca="false">IF(S230&lt;=5,"Late night (0-5)",IF(S230&lt;=11,"Morning (6-11)",IF(S230&lt;=17,"Afternoon (12-17)","Evening (18-23)")))</f>
        <v>Morning (6-11)</v>
      </c>
    </row>
    <row r="231" customFormat="false" ht="15" hidden="false" customHeight="false" outlineLevel="0" collapsed="false">
      <c r="A231" s="2" t="s">
        <v>541</v>
      </c>
      <c r="B231" s="2" t="s">
        <v>141</v>
      </c>
      <c r="C231" s="2" t="s">
        <v>48</v>
      </c>
      <c r="D231" s="3" t="n">
        <v>45696</v>
      </c>
      <c r="E231" s="2" t="s">
        <v>542</v>
      </c>
      <c r="F231" s="2" t="s">
        <v>32</v>
      </c>
      <c r="G231" s="2" t="n">
        <v>16119</v>
      </c>
      <c r="H231" s="2" t="n">
        <v>20</v>
      </c>
      <c r="I231" s="2" t="n">
        <v>180</v>
      </c>
      <c r="J231" s="2" t="n">
        <v>0</v>
      </c>
      <c r="K231" s="2" t="n">
        <v>25207</v>
      </c>
      <c r="L231" s="2" t="n">
        <v>15687</v>
      </c>
      <c r="M231" s="2" t="n">
        <v>592</v>
      </c>
      <c r="N231" s="2" t="n">
        <v>36</v>
      </c>
      <c r="O231" s="2" t="n">
        <v>176</v>
      </c>
      <c r="P231" s="2" t="n">
        <v>65</v>
      </c>
      <c r="Q231" s="2" t="n">
        <v>185</v>
      </c>
      <c r="R231" s="2" t="n">
        <v>46</v>
      </c>
      <c r="S231" s="2" t="n">
        <v>15</v>
      </c>
      <c r="T231" s="2" t="s">
        <v>62</v>
      </c>
      <c r="U231" s="4" t="n">
        <f aca="false">(M231+N231+O231+P231)/L231</f>
        <v>0.0553961879263084</v>
      </c>
      <c r="V231" s="2" t="str">
        <f aca="false">IF(S231&lt;=5,"Late night (0-5)",IF(S231&lt;=11,"Morning (6-11)",IF(S231&lt;=17,"Afternoon (12-17)","Evening (18-23)")))</f>
        <v>Afternoon (12-17)</v>
      </c>
    </row>
    <row r="232" customFormat="false" ht="15" hidden="false" customHeight="false" outlineLevel="0" collapsed="false">
      <c r="A232" s="2" t="s">
        <v>543</v>
      </c>
      <c r="B232" s="2" t="s">
        <v>64</v>
      </c>
      <c r="C232" s="2" t="s">
        <v>36</v>
      </c>
      <c r="D232" s="3" t="n">
        <v>45675</v>
      </c>
      <c r="E232" s="2" t="s">
        <v>544</v>
      </c>
      <c r="F232" s="2" t="s">
        <v>26</v>
      </c>
      <c r="G232" s="2" t="n">
        <v>43781</v>
      </c>
      <c r="H232" s="2" t="n">
        <v>16</v>
      </c>
      <c r="I232" s="2" t="n">
        <v>228</v>
      </c>
      <c r="J232" s="2" t="n">
        <v>0</v>
      </c>
      <c r="K232" s="2" t="n">
        <v>17671</v>
      </c>
      <c r="L232" s="2" t="n">
        <v>12597</v>
      </c>
      <c r="M232" s="2" t="n">
        <v>1005</v>
      </c>
      <c r="N232" s="2" t="n">
        <v>30</v>
      </c>
      <c r="O232" s="2" t="n">
        <v>181</v>
      </c>
      <c r="P232" s="2" t="n">
        <v>87</v>
      </c>
      <c r="Q232" s="2" t="n">
        <v>353</v>
      </c>
      <c r="R232" s="2" t="n">
        <v>29</v>
      </c>
      <c r="S232" s="2" t="n">
        <v>1</v>
      </c>
      <c r="T232" s="2" t="s">
        <v>62</v>
      </c>
      <c r="U232" s="4" t="n">
        <f aca="false">(M232+N232+O232+P232)/L232</f>
        <v>0.103437326347543</v>
      </c>
      <c r="V232" s="2" t="str">
        <f aca="false">IF(S232&lt;=5,"Late night (0-5)",IF(S232&lt;=11,"Morning (6-11)",IF(S232&lt;=17,"Afternoon (12-17)","Evening (18-23)")))</f>
        <v>Late night (0-5)</v>
      </c>
    </row>
    <row r="233" customFormat="false" ht="15" hidden="false" customHeight="false" outlineLevel="0" collapsed="false">
      <c r="A233" s="2" t="s">
        <v>545</v>
      </c>
      <c r="B233" s="2" t="s">
        <v>141</v>
      </c>
      <c r="C233" s="2" t="s">
        <v>48</v>
      </c>
      <c r="D233" s="3" t="n">
        <v>45871</v>
      </c>
      <c r="E233" s="2" t="s">
        <v>546</v>
      </c>
      <c r="F233" s="2" t="s">
        <v>38</v>
      </c>
      <c r="G233" s="2" t="n">
        <v>16119</v>
      </c>
      <c r="H233" s="2" t="n">
        <v>5</v>
      </c>
      <c r="I233" s="2" t="n">
        <v>126</v>
      </c>
      <c r="J233" s="2" t="n">
        <v>0</v>
      </c>
      <c r="K233" s="2" t="n">
        <v>14472</v>
      </c>
      <c r="L233" s="2" t="n">
        <v>12245</v>
      </c>
      <c r="M233" s="2" t="n">
        <v>383</v>
      </c>
      <c r="N233" s="2" t="n">
        <v>19</v>
      </c>
      <c r="O233" s="2" t="n">
        <v>58</v>
      </c>
      <c r="P233" s="2" t="n">
        <v>29</v>
      </c>
      <c r="Q233" s="2" t="n">
        <v>192</v>
      </c>
      <c r="R233" s="2" t="n">
        <v>21</v>
      </c>
      <c r="S233" s="2" t="n">
        <v>9</v>
      </c>
      <c r="T233" s="2" t="s">
        <v>62</v>
      </c>
      <c r="U233" s="4" t="n">
        <f aca="false">(M233+N233+O233+P233)/L233</f>
        <v>0.0399346672111066</v>
      </c>
      <c r="V233" s="2" t="str">
        <f aca="false">IF(S233&lt;=5,"Late night (0-5)",IF(S233&lt;=11,"Morning (6-11)",IF(S233&lt;=17,"Afternoon (12-17)","Evening (18-23)")))</f>
        <v>Morning (6-11)</v>
      </c>
    </row>
    <row r="234" customFormat="false" ht="15" hidden="false" customHeight="false" outlineLevel="0" collapsed="false">
      <c r="A234" s="2" t="s">
        <v>547</v>
      </c>
      <c r="B234" s="2" t="s">
        <v>264</v>
      </c>
      <c r="C234" s="2" t="s">
        <v>36</v>
      </c>
      <c r="D234" s="3" t="n">
        <v>45993</v>
      </c>
      <c r="E234" s="2" t="s">
        <v>475</v>
      </c>
      <c r="F234" s="2" t="s">
        <v>26</v>
      </c>
      <c r="G234" s="2" t="n">
        <v>22362</v>
      </c>
      <c r="H234" s="2" t="n">
        <v>10</v>
      </c>
      <c r="I234" s="2" t="n">
        <v>49</v>
      </c>
      <c r="J234" s="2" t="n">
        <v>1</v>
      </c>
      <c r="K234" s="2" t="n">
        <v>14526</v>
      </c>
      <c r="L234" s="2" t="n">
        <v>9891</v>
      </c>
      <c r="M234" s="2" t="n">
        <v>457</v>
      </c>
      <c r="N234" s="2" t="n">
        <v>24</v>
      </c>
      <c r="O234" s="2" t="n">
        <v>51</v>
      </c>
      <c r="P234" s="2" t="n">
        <v>159</v>
      </c>
      <c r="Q234" s="2" t="n">
        <v>285</v>
      </c>
      <c r="R234" s="2" t="n">
        <v>23</v>
      </c>
      <c r="S234" s="2" t="n">
        <v>9</v>
      </c>
      <c r="T234" s="2" t="s">
        <v>51</v>
      </c>
      <c r="U234" s="4" t="n">
        <f aca="false">(M234+N234+O234+P234)/L234</f>
        <v>0.0698614902436558</v>
      </c>
      <c r="V234" s="2" t="str">
        <f aca="false">IF(S234&lt;=5,"Late night (0-5)",IF(S234&lt;=11,"Morning (6-11)",IF(S234&lt;=17,"Afternoon (12-17)","Evening (18-23)")))</f>
        <v>Morning (6-11)</v>
      </c>
    </row>
    <row r="235" customFormat="false" ht="15" hidden="false" customHeight="false" outlineLevel="0" collapsed="false">
      <c r="A235" s="2" t="s">
        <v>548</v>
      </c>
      <c r="B235" s="2" t="s">
        <v>94</v>
      </c>
      <c r="C235" s="2" t="s">
        <v>30</v>
      </c>
      <c r="D235" s="3" t="n">
        <v>45884</v>
      </c>
      <c r="E235" s="2" t="s">
        <v>549</v>
      </c>
      <c r="F235" s="2" t="s">
        <v>32</v>
      </c>
      <c r="G235" s="2" t="n">
        <v>58559</v>
      </c>
      <c r="H235" s="2" t="n">
        <v>22</v>
      </c>
      <c r="I235" s="2" t="n">
        <v>145</v>
      </c>
      <c r="J235" s="2" t="n">
        <v>0</v>
      </c>
      <c r="K235" s="2" t="n">
        <v>83451</v>
      </c>
      <c r="L235" s="2" t="n">
        <v>46383</v>
      </c>
      <c r="M235" s="2" t="n">
        <v>2906</v>
      </c>
      <c r="N235" s="2" t="n">
        <v>61</v>
      </c>
      <c r="O235" s="2" t="n">
        <v>496</v>
      </c>
      <c r="P235" s="2" t="n">
        <v>346</v>
      </c>
      <c r="Q235" s="2" t="n">
        <v>1267</v>
      </c>
      <c r="R235" s="2" t="n">
        <v>288</v>
      </c>
      <c r="S235" s="2" t="n">
        <v>6</v>
      </c>
      <c r="T235" s="2" t="s">
        <v>96</v>
      </c>
      <c r="U235" s="4" t="n">
        <f aca="false">(M235+N235+O235+P235)/L235</f>
        <v>0.0821206045318328</v>
      </c>
      <c r="V235" s="2" t="str">
        <f aca="false">IF(S235&lt;=5,"Late night (0-5)",IF(S235&lt;=11,"Morning (6-11)",IF(S235&lt;=17,"Afternoon (12-17)","Evening (18-23)")))</f>
        <v>Morning (6-11)</v>
      </c>
    </row>
    <row r="236" customFormat="false" ht="15" hidden="false" customHeight="false" outlineLevel="0" collapsed="false">
      <c r="A236" s="2" t="s">
        <v>550</v>
      </c>
      <c r="B236" s="2" t="s">
        <v>371</v>
      </c>
      <c r="C236" s="2" t="s">
        <v>48</v>
      </c>
      <c r="D236" s="3" t="n">
        <v>45748</v>
      </c>
      <c r="E236" s="2" t="s">
        <v>551</v>
      </c>
      <c r="F236" s="2" t="s">
        <v>32</v>
      </c>
      <c r="G236" s="2" t="n">
        <v>42479</v>
      </c>
      <c r="H236" s="2" t="n">
        <v>2</v>
      </c>
      <c r="I236" s="2" t="n">
        <v>78</v>
      </c>
      <c r="J236" s="2" t="n">
        <v>1</v>
      </c>
      <c r="K236" s="2" t="n">
        <v>38511</v>
      </c>
      <c r="L236" s="2" t="n">
        <v>24779</v>
      </c>
      <c r="M236" s="2" t="n">
        <v>2200</v>
      </c>
      <c r="N236" s="2" t="n">
        <v>92</v>
      </c>
      <c r="O236" s="2" t="n">
        <v>517</v>
      </c>
      <c r="P236" s="2" t="n">
        <v>178</v>
      </c>
      <c r="Q236" s="2" t="n">
        <v>329</v>
      </c>
      <c r="R236" s="2" t="n">
        <v>75</v>
      </c>
      <c r="S236" s="2" t="n">
        <v>11</v>
      </c>
      <c r="T236" s="2" t="s">
        <v>51</v>
      </c>
      <c r="U236" s="4" t="n">
        <f aca="false">(M236+N236+O236+P236)/L236</f>
        <v>0.120545623310061</v>
      </c>
      <c r="V236" s="2" t="str">
        <f aca="false">IF(S236&lt;=5,"Late night (0-5)",IF(S236&lt;=11,"Morning (6-11)",IF(S236&lt;=17,"Afternoon (12-17)","Evening (18-23)")))</f>
        <v>Morning (6-11)</v>
      </c>
    </row>
    <row r="237" customFormat="false" ht="15" hidden="false" customHeight="false" outlineLevel="0" collapsed="false">
      <c r="A237" s="2" t="s">
        <v>552</v>
      </c>
      <c r="B237" s="2" t="s">
        <v>310</v>
      </c>
      <c r="C237" s="2" t="s">
        <v>91</v>
      </c>
      <c r="D237" s="3" t="n">
        <v>45721</v>
      </c>
      <c r="E237" s="2" t="s">
        <v>553</v>
      </c>
      <c r="F237" s="2" t="s">
        <v>38</v>
      </c>
      <c r="G237" s="2" t="n">
        <v>56571</v>
      </c>
      <c r="H237" s="2" t="n">
        <v>28</v>
      </c>
      <c r="I237" s="2" t="n">
        <v>257</v>
      </c>
      <c r="J237" s="2" t="n">
        <v>1</v>
      </c>
      <c r="K237" s="2" t="n">
        <v>39897</v>
      </c>
      <c r="L237" s="2" t="n">
        <v>32342</v>
      </c>
      <c r="M237" s="2" t="n">
        <v>2150</v>
      </c>
      <c r="N237" s="2" t="n">
        <v>65</v>
      </c>
      <c r="O237" s="2" t="n">
        <v>386</v>
      </c>
      <c r="P237" s="2" t="n">
        <v>220</v>
      </c>
      <c r="Q237" s="2" t="n">
        <v>235</v>
      </c>
      <c r="R237" s="2" t="n">
        <v>63</v>
      </c>
      <c r="S237" s="2" t="n">
        <v>14</v>
      </c>
      <c r="T237" s="2" t="s">
        <v>66</v>
      </c>
      <c r="U237" s="4" t="n">
        <f aca="false">(M237+N237+O237+P237)/L237</f>
        <v>0.0872240430400099</v>
      </c>
      <c r="V237" s="2" t="str">
        <f aca="false">IF(S237&lt;=5,"Late night (0-5)",IF(S237&lt;=11,"Morning (6-11)",IF(S237&lt;=17,"Afternoon (12-17)","Evening (18-23)")))</f>
        <v>Afternoon (12-17)</v>
      </c>
    </row>
    <row r="238" customFormat="false" ht="15" hidden="false" customHeight="false" outlineLevel="0" collapsed="false">
      <c r="A238" s="2" t="s">
        <v>554</v>
      </c>
      <c r="B238" s="2" t="s">
        <v>181</v>
      </c>
      <c r="C238" s="2" t="s">
        <v>91</v>
      </c>
      <c r="D238" s="3" t="n">
        <v>45725</v>
      </c>
      <c r="E238" s="2" t="s">
        <v>555</v>
      </c>
      <c r="F238" s="2" t="s">
        <v>38</v>
      </c>
      <c r="G238" s="2" t="n">
        <v>31658</v>
      </c>
      <c r="H238" s="2" t="n">
        <v>16</v>
      </c>
      <c r="I238" s="2" t="n">
        <v>173</v>
      </c>
      <c r="J238" s="2" t="n">
        <v>1</v>
      </c>
      <c r="K238" s="2" t="n">
        <v>26529</v>
      </c>
      <c r="L238" s="2" t="n">
        <v>17773</v>
      </c>
      <c r="M238" s="2" t="n">
        <v>899</v>
      </c>
      <c r="N238" s="2" t="n">
        <v>19</v>
      </c>
      <c r="O238" s="2" t="n">
        <v>140</v>
      </c>
      <c r="P238" s="2" t="n">
        <v>99</v>
      </c>
      <c r="Q238" s="2" t="n">
        <v>375</v>
      </c>
      <c r="R238" s="2" t="n">
        <v>71</v>
      </c>
      <c r="S238" s="2" t="n">
        <v>14</v>
      </c>
      <c r="T238" s="2" t="s">
        <v>27</v>
      </c>
      <c r="U238" s="4" t="n">
        <f aca="false">(M238+N238+O238+P238)/L238</f>
        <v>0.0650987452877961</v>
      </c>
      <c r="V238" s="2" t="str">
        <f aca="false">IF(S238&lt;=5,"Late night (0-5)",IF(S238&lt;=11,"Morning (6-11)",IF(S238&lt;=17,"Afternoon (12-17)","Evening (18-23)")))</f>
        <v>Afternoon (12-17)</v>
      </c>
    </row>
    <row r="239" customFormat="false" ht="15" hidden="false" customHeight="false" outlineLevel="0" collapsed="false">
      <c r="A239" s="2" t="s">
        <v>556</v>
      </c>
      <c r="B239" s="2" t="s">
        <v>431</v>
      </c>
      <c r="C239" s="2" t="s">
        <v>36</v>
      </c>
      <c r="D239" s="3" t="n">
        <v>45995</v>
      </c>
      <c r="E239" s="2" t="s">
        <v>557</v>
      </c>
      <c r="F239" s="2" t="s">
        <v>32</v>
      </c>
      <c r="G239" s="2" t="n">
        <v>64821</v>
      </c>
      <c r="H239" s="2" t="n">
        <v>13</v>
      </c>
      <c r="I239" s="2" t="n">
        <v>55</v>
      </c>
      <c r="J239" s="2" t="n">
        <v>0</v>
      </c>
      <c r="K239" s="2" t="n">
        <v>91514</v>
      </c>
      <c r="L239" s="2" t="n">
        <v>68888</v>
      </c>
      <c r="M239" s="2" t="n">
        <v>7035</v>
      </c>
      <c r="N239" s="2" t="n">
        <v>450</v>
      </c>
      <c r="O239" s="2" t="n">
        <v>1760</v>
      </c>
      <c r="P239" s="2" t="n">
        <v>1619</v>
      </c>
      <c r="Q239" s="2" t="n">
        <v>961</v>
      </c>
      <c r="R239" s="2" t="n">
        <v>116</v>
      </c>
      <c r="S239" s="2" t="n">
        <v>13</v>
      </c>
      <c r="T239" s="2" t="s">
        <v>79</v>
      </c>
      <c r="U239" s="4" t="n">
        <f aca="false">(M239+N239+O239+P239)/L239</f>
        <v>0.157705260713041</v>
      </c>
      <c r="V239" s="2" t="str">
        <f aca="false">IF(S239&lt;=5,"Late night (0-5)",IF(S239&lt;=11,"Morning (6-11)",IF(S239&lt;=17,"Afternoon (12-17)","Evening (18-23)")))</f>
        <v>Afternoon (12-17)</v>
      </c>
    </row>
    <row r="240" customFormat="false" ht="15" hidden="false" customHeight="false" outlineLevel="0" collapsed="false">
      <c r="A240" s="2" t="s">
        <v>558</v>
      </c>
      <c r="B240" s="2" t="s">
        <v>240</v>
      </c>
      <c r="C240" s="2" t="s">
        <v>41</v>
      </c>
      <c r="D240" s="3" t="n">
        <v>45802</v>
      </c>
      <c r="E240" s="2" t="s">
        <v>559</v>
      </c>
      <c r="F240" s="2" t="s">
        <v>50</v>
      </c>
      <c r="G240" s="2" t="n">
        <v>83197</v>
      </c>
      <c r="H240" s="2" t="n">
        <v>23</v>
      </c>
      <c r="I240" s="2" t="n">
        <v>222</v>
      </c>
      <c r="J240" s="2" t="n">
        <v>0</v>
      </c>
      <c r="K240" s="2" t="n">
        <v>57034</v>
      </c>
      <c r="L240" s="2" t="n">
        <v>43125</v>
      </c>
      <c r="M240" s="2" t="n">
        <v>2290</v>
      </c>
      <c r="N240" s="2" t="n">
        <v>78</v>
      </c>
      <c r="O240" s="2" t="n">
        <v>291</v>
      </c>
      <c r="P240" s="2" t="n">
        <v>491</v>
      </c>
      <c r="Q240" s="2" t="n">
        <v>558</v>
      </c>
      <c r="R240" s="2" t="n">
        <v>31</v>
      </c>
      <c r="S240" s="2" t="n">
        <v>14</v>
      </c>
      <c r="T240" s="2" t="s">
        <v>27</v>
      </c>
      <c r="U240" s="4" t="n">
        <f aca="false">(M240+N240+O240+P240)/L240</f>
        <v>0.0730434782608696</v>
      </c>
      <c r="V240" s="2" t="str">
        <f aca="false">IF(S240&lt;=5,"Late night (0-5)",IF(S240&lt;=11,"Morning (6-11)",IF(S240&lt;=17,"Afternoon (12-17)","Evening (18-23)")))</f>
        <v>Afternoon (12-17)</v>
      </c>
    </row>
    <row r="241" customFormat="false" ht="15" hidden="false" customHeight="false" outlineLevel="0" collapsed="false">
      <c r="A241" s="2" t="s">
        <v>560</v>
      </c>
      <c r="B241" s="2" t="s">
        <v>129</v>
      </c>
      <c r="C241" s="2" t="s">
        <v>54</v>
      </c>
      <c r="D241" s="3" t="n">
        <v>45835</v>
      </c>
      <c r="E241" s="2" t="s">
        <v>561</v>
      </c>
      <c r="F241" s="2" t="s">
        <v>26</v>
      </c>
      <c r="G241" s="2" t="n">
        <v>10312</v>
      </c>
      <c r="H241" s="2" t="n">
        <v>9</v>
      </c>
      <c r="I241" s="2" t="n">
        <v>332</v>
      </c>
      <c r="J241" s="2" t="n">
        <v>1</v>
      </c>
      <c r="K241" s="2" t="n">
        <v>11639</v>
      </c>
      <c r="L241" s="2" t="n">
        <v>6720</v>
      </c>
      <c r="M241" s="2" t="n">
        <v>318</v>
      </c>
      <c r="N241" s="2" t="n">
        <v>9</v>
      </c>
      <c r="O241" s="2" t="n">
        <v>26</v>
      </c>
      <c r="P241" s="2" t="n">
        <v>106</v>
      </c>
      <c r="Q241" s="2" t="n">
        <v>178</v>
      </c>
      <c r="R241" s="2" t="n">
        <v>13</v>
      </c>
      <c r="S241" s="2" t="n">
        <v>23</v>
      </c>
      <c r="T241" s="2" t="s">
        <v>96</v>
      </c>
      <c r="U241" s="4" t="n">
        <f aca="false">(M241+N241+O241+P241)/L241</f>
        <v>0.0683035714285714</v>
      </c>
      <c r="V241" s="2" t="str">
        <f aca="false">IF(S241&lt;=5,"Late night (0-5)",IF(S241&lt;=11,"Morning (6-11)",IF(S241&lt;=17,"Afternoon (12-17)","Evening (18-23)")))</f>
        <v>Evening (18-23)</v>
      </c>
    </row>
    <row r="242" customFormat="false" ht="15" hidden="false" customHeight="false" outlineLevel="0" collapsed="false">
      <c r="A242" s="2" t="s">
        <v>562</v>
      </c>
      <c r="B242" s="2" t="s">
        <v>23</v>
      </c>
      <c r="C242" s="2" t="s">
        <v>24</v>
      </c>
      <c r="D242" s="3" t="n">
        <v>45959</v>
      </c>
      <c r="E242" s="2" t="s">
        <v>563</v>
      </c>
      <c r="F242" s="2" t="s">
        <v>38</v>
      </c>
      <c r="G242" s="2" t="n">
        <v>63447</v>
      </c>
      <c r="H242" s="2" t="n">
        <v>17</v>
      </c>
      <c r="I242" s="2" t="n">
        <v>10</v>
      </c>
      <c r="J242" s="2" t="n">
        <v>0</v>
      </c>
      <c r="K242" s="2" t="n">
        <v>62176</v>
      </c>
      <c r="L242" s="2" t="n">
        <v>41765</v>
      </c>
      <c r="M242" s="2" t="n">
        <v>2744</v>
      </c>
      <c r="N242" s="2" t="n">
        <v>174</v>
      </c>
      <c r="O242" s="2" t="n">
        <v>175</v>
      </c>
      <c r="P242" s="2" t="n">
        <v>384</v>
      </c>
      <c r="Q242" s="2" t="n">
        <v>1161</v>
      </c>
      <c r="R242" s="2" t="n">
        <v>209</v>
      </c>
      <c r="S242" s="2" t="n">
        <v>7</v>
      </c>
      <c r="T242" s="2" t="s">
        <v>66</v>
      </c>
      <c r="U242" s="4" t="n">
        <f aca="false">(M242+N242+O242+P242)/L242</f>
        <v>0.0832515263977014</v>
      </c>
      <c r="V242" s="2" t="str">
        <f aca="false">IF(S242&lt;=5,"Late night (0-5)",IF(S242&lt;=11,"Morning (6-11)",IF(S242&lt;=17,"Afternoon (12-17)","Evening (18-23)")))</f>
        <v>Morning (6-11)</v>
      </c>
    </row>
    <row r="243" customFormat="false" ht="15" hidden="false" customHeight="false" outlineLevel="0" collapsed="false">
      <c r="A243" s="2" t="s">
        <v>564</v>
      </c>
      <c r="B243" s="2" t="s">
        <v>53</v>
      </c>
      <c r="C243" s="2" t="s">
        <v>54</v>
      </c>
      <c r="D243" s="3" t="n">
        <v>45751</v>
      </c>
      <c r="E243" s="2" t="s">
        <v>565</v>
      </c>
      <c r="F243" s="2" t="s">
        <v>32</v>
      </c>
      <c r="G243" s="2" t="n">
        <v>11318</v>
      </c>
      <c r="H243" s="2" t="n">
        <v>15</v>
      </c>
      <c r="I243" s="2" t="n">
        <v>260</v>
      </c>
      <c r="J243" s="2" t="n">
        <v>0</v>
      </c>
      <c r="K243" s="2" t="n">
        <v>27626</v>
      </c>
      <c r="L243" s="2" t="n">
        <v>22368</v>
      </c>
      <c r="M243" s="2" t="n">
        <v>1677</v>
      </c>
      <c r="N243" s="2" t="n">
        <v>46</v>
      </c>
      <c r="O243" s="2" t="n">
        <v>370</v>
      </c>
      <c r="P243" s="2" t="n">
        <v>479</v>
      </c>
      <c r="Q243" s="2" t="n">
        <v>350</v>
      </c>
      <c r="R243" s="2" t="n">
        <v>96</v>
      </c>
      <c r="S243" s="2" t="n">
        <v>10</v>
      </c>
      <c r="T243" s="2" t="s">
        <v>96</v>
      </c>
      <c r="U243" s="4" t="n">
        <f aca="false">(M243+N243+O243+P243)/L243</f>
        <v>0.114985693848355</v>
      </c>
      <c r="V243" s="2" t="str">
        <f aca="false">IF(S243&lt;=5,"Late night (0-5)",IF(S243&lt;=11,"Morning (6-11)",IF(S243&lt;=17,"Afternoon (12-17)","Evening (18-23)")))</f>
        <v>Morning (6-11)</v>
      </c>
    </row>
    <row r="244" customFormat="false" ht="15" hidden="false" customHeight="false" outlineLevel="0" collapsed="false">
      <c r="A244" s="2" t="s">
        <v>566</v>
      </c>
      <c r="B244" s="2" t="s">
        <v>188</v>
      </c>
      <c r="C244" s="2" t="s">
        <v>30</v>
      </c>
      <c r="D244" s="3" t="n">
        <v>45703</v>
      </c>
      <c r="E244" s="2" t="s">
        <v>567</v>
      </c>
      <c r="F244" s="2" t="s">
        <v>50</v>
      </c>
      <c r="G244" s="2" t="n">
        <v>38900</v>
      </c>
      <c r="H244" s="2" t="n">
        <v>9</v>
      </c>
      <c r="I244" s="2" t="n">
        <v>200</v>
      </c>
      <c r="J244" s="2" t="n">
        <v>0</v>
      </c>
      <c r="K244" s="2" t="n">
        <v>16840</v>
      </c>
      <c r="L244" s="2" t="n">
        <v>15203</v>
      </c>
      <c r="M244" s="2" t="n">
        <v>1082</v>
      </c>
      <c r="N244" s="2" t="n">
        <v>43</v>
      </c>
      <c r="O244" s="2" t="n">
        <v>60</v>
      </c>
      <c r="P244" s="2" t="n">
        <v>96</v>
      </c>
      <c r="Q244" s="2" t="n">
        <v>368</v>
      </c>
      <c r="R244" s="2" t="n">
        <v>35</v>
      </c>
      <c r="S244" s="2" t="n">
        <v>7</v>
      </c>
      <c r="T244" s="2" t="s">
        <v>62</v>
      </c>
      <c r="U244" s="4" t="n">
        <f aca="false">(M244+N244+O244+P244)/L244</f>
        <v>0.0842596855883707</v>
      </c>
      <c r="V244" s="2" t="str">
        <f aca="false">IF(S244&lt;=5,"Late night (0-5)",IF(S244&lt;=11,"Morning (6-11)",IF(S244&lt;=17,"Afternoon (12-17)","Evening (18-23)")))</f>
        <v>Morning (6-11)</v>
      </c>
    </row>
    <row r="245" customFormat="false" ht="15" hidden="false" customHeight="false" outlineLevel="0" collapsed="false">
      <c r="A245" s="2" t="s">
        <v>568</v>
      </c>
      <c r="B245" s="2" t="s">
        <v>374</v>
      </c>
      <c r="C245" s="2" t="s">
        <v>24</v>
      </c>
      <c r="D245" s="3" t="n">
        <v>45671</v>
      </c>
      <c r="E245" s="2" t="s">
        <v>569</v>
      </c>
      <c r="F245" s="2" t="s">
        <v>38</v>
      </c>
      <c r="G245" s="2" t="n">
        <v>9509</v>
      </c>
      <c r="H245" s="2" t="n">
        <v>2</v>
      </c>
      <c r="I245" s="2" t="n">
        <v>404</v>
      </c>
      <c r="J245" s="2" t="n">
        <v>1</v>
      </c>
      <c r="K245" s="2" t="n">
        <v>8498</v>
      </c>
      <c r="L245" s="2" t="n">
        <v>6838</v>
      </c>
      <c r="M245" s="2" t="n">
        <v>460</v>
      </c>
      <c r="N245" s="2" t="n">
        <v>20</v>
      </c>
      <c r="O245" s="2" t="n">
        <v>43</v>
      </c>
      <c r="P245" s="2" t="n">
        <v>130</v>
      </c>
      <c r="Q245" s="2" t="n">
        <v>59</v>
      </c>
      <c r="R245" s="2" t="n">
        <v>17</v>
      </c>
      <c r="S245" s="2" t="n">
        <v>15</v>
      </c>
      <c r="T245" s="2" t="s">
        <v>51</v>
      </c>
      <c r="U245" s="4" t="n">
        <f aca="false">(M245+N245+O245+P245)/L245</f>
        <v>0.0954957589938579</v>
      </c>
      <c r="V245" s="2" t="str">
        <f aca="false">IF(S245&lt;=5,"Late night (0-5)",IF(S245&lt;=11,"Morning (6-11)",IF(S245&lt;=17,"Afternoon (12-17)","Evening (18-23)")))</f>
        <v>Afternoon (12-17)</v>
      </c>
    </row>
    <row r="246" customFormat="false" ht="15" hidden="false" customHeight="false" outlineLevel="0" collapsed="false">
      <c r="A246" s="2" t="s">
        <v>570</v>
      </c>
      <c r="B246" s="2" t="s">
        <v>126</v>
      </c>
      <c r="C246" s="2" t="s">
        <v>36</v>
      </c>
      <c r="D246" s="3" t="n">
        <v>45669</v>
      </c>
      <c r="E246" s="2" t="s">
        <v>571</v>
      </c>
      <c r="F246" s="2" t="s">
        <v>32</v>
      </c>
      <c r="G246" s="2" t="n">
        <v>28784</v>
      </c>
      <c r="H246" s="2" t="n">
        <v>20</v>
      </c>
      <c r="I246" s="2" t="n">
        <v>207</v>
      </c>
      <c r="J246" s="2" t="n">
        <v>1</v>
      </c>
      <c r="K246" s="2" t="n">
        <v>43765</v>
      </c>
      <c r="L246" s="2" t="n">
        <v>25131</v>
      </c>
      <c r="M246" s="2" t="n">
        <v>1525</v>
      </c>
      <c r="N246" s="2" t="n">
        <v>106</v>
      </c>
      <c r="O246" s="2" t="n">
        <v>93</v>
      </c>
      <c r="P246" s="2" t="n">
        <v>450</v>
      </c>
      <c r="Q246" s="2" t="n">
        <v>606</v>
      </c>
      <c r="R246" s="2" t="n">
        <v>167</v>
      </c>
      <c r="S246" s="2" t="n">
        <v>0</v>
      </c>
      <c r="T246" s="2" t="s">
        <v>27</v>
      </c>
      <c r="U246" s="4" t="n">
        <f aca="false">(M246+N246+O246+P246)/L246</f>
        <v>0.0865067048664995</v>
      </c>
      <c r="V246" s="2" t="str">
        <f aca="false">IF(S246&lt;=5,"Late night (0-5)",IF(S246&lt;=11,"Morning (6-11)",IF(S246&lt;=17,"Afternoon (12-17)","Evening (18-23)")))</f>
        <v>Late night (0-5)</v>
      </c>
    </row>
    <row r="247" customFormat="false" ht="15" hidden="false" customHeight="false" outlineLevel="0" collapsed="false">
      <c r="A247" s="2" t="s">
        <v>572</v>
      </c>
      <c r="B247" s="2" t="s">
        <v>148</v>
      </c>
      <c r="C247" s="2" t="s">
        <v>48</v>
      </c>
      <c r="D247" s="3" t="n">
        <v>45853</v>
      </c>
      <c r="E247" s="2" t="s">
        <v>159</v>
      </c>
      <c r="F247" s="2" t="s">
        <v>32</v>
      </c>
      <c r="G247" s="2" t="n">
        <v>46311</v>
      </c>
      <c r="H247" s="2" t="n">
        <v>6</v>
      </c>
      <c r="I247" s="2" t="n">
        <v>343</v>
      </c>
      <c r="J247" s="2" t="n">
        <v>0</v>
      </c>
      <c r="K247" s="2" t="n">
        <v>82198</v>
      </c>
      <c r="L247" s="2" t="n">
        <v>52367</v>
      </c>
      <c r="M247" s="2" t="n">
        <v>3010</v>
      </c>
      <c r="N247" s="2" t="n">
        <v>120</v>
      </c>
      <c r="O247" s="2" t="n">
        <v>636</v>
      </c>
      <c r="P247" s="2" t="n">
        <v>563</v>
      </c>
      <c r="Q247" s="2" t="n">
        <v>388</v>
      </c>
      <c r="R247" s="2" t="n">
        <v>104</v>
      </c>
      <c r="S247" s="2" t="n">
        <v>19</v>
      </c>
      <c r="T247" s="2" t="s">
        <v>51</v>
      </c>
      <c r="U247" s="4" t="n">
        <f aca="false">(M247+N247+O247+P247)/L247</f>
        <v>0.082666564821357</v>
      </c>
      <c r="V247" s="2" t="str">
        <f aca="false">IF(S247&lt;=5,"Late night (0-5)",IF(S247&lt;=11,"Morning (6-11)",IF(S247&lt;=17,"Afternoon (12-17)","Evening (18-23)")))</f>
        <v>Evening (18-23)</v>
      </c>
    </row>
    <row r="248" customFormat="false" ht="15" hidden="false" customHeight="false" outlineLevel="0" collapsed="false">
      <c r="A248" s="2" t="s">
        <v>573</v>
      </c>
      <c r="B248" s="2" t="s">
        <v>310</v>
      </c>
      <c r="C248" s="2" t="s">
        <v>91</v>
      </c>
      <c r="D248" s="3" t="n">
        <v>45691</v>
      </c>
      <c r="E248" s="2" t="s">
        <v>574</v>
      </c>
      <c r="F248" s="2" t="s">
        <v>50</v>
      </c>
      <c r="G248" s="2" t="n">
        <v>56571</v>
      </c>
      <c r="H248" s="2" t="n">
        <v>23</v>
      </c>
      <c r="I248" s="2" t="n">
        <v>300</v>
      </c>
      <c r="J248" s="2" t="n">
        <v>1</v>
      </c>
      <c r="K248" s="2" t="n">
        <v>61782</v>
      </c>
      <c r="L248" s="2" t="n">
        <v>40127</v>
      </c>
      <c r="M248" s="2" t="n">
        <v>2843</v>
      </c>
      <c r="N248" s="2" t="n">
        <v>71</v>
      </c>
      <c r="O248" s="2" t="n">
        <v>482</v>
      </c>
      <c r="P248" s="2" t="n">
        <v>698</v>
      </c>
      <c r="Q248" s="2" t="n">
        <v>831</v>
      </c>
      <c r="R248" s="2" t="n">
        <v>132</v>
      </c>
      <c r="S248" s="2" t="n">
        <v>6</v>
      </c>
      <c r="T248" s="2" t="s">
        <v>33</v>
      </c>
      <c r="U248" s="4" t="n">
        <f aca="false">(M248+N248+O248+P248)/L248</f>
        <v>0.102026067236524</v>
      </c>
      <c r="V248" s="2" t="str">
        <f aca="false">IF(S248&lt;=5,"Late night (0-5)",IF(S248&lt;=11,"Morning (6-11)",IF(S248&lt;=17,"Afternoon (12-17)","Evening (18-23)")))</f>
        <v>Morning (6-11)</v>
      </c>
    </row>
    <row r="249" customFormat="false" ht="15" hidden="false" customHeight="false" outlineLevel="0" collapsed="false">
      <c r="A249" s="2" t="s">
        <v>575</v>
      </c>
      <c r="B249" s="2" t="s">
        <v>462</v>
      </c>
      <c r="C249" s="2" t="s">
        <v>84</v>
      </c>
      <c r="D249" s="3" t="n">
        <v>45947</v>
      </c>
      <c r="E249" s="2" t="s">
        <v>576</v>
      </c>
      <c r="F249" s="2" t="s">
        <v>32</v>
      </c>
      <c r="G249" s="2" t="n">
        <v>43510</v>
      </c>
      <c r="H249" s="2" t="n">
        <v>8</v>
      </c>
      <c r="I249" s="2" t="n">
        <v>219</v>
      </c>
      <c r="J249" s="2" t="n">
        <v>1</v>
      </c>
      <c r="K249" s="2" t="n">
        <v>53111</v>
      </c>
      <c r="L249" s="2" t="n">
        <v>29649</v>
      </c>
      <c r="M249" s="2" t="n">
        <v>1102</v>
      </c>
      <c r="N249" s="2" t="n">
        <v>51</v>
      </c>
      <c r="O249" s="2" t="n">
        <v>286</v>
      </c>
      <c r="P249" s="2" t="n">
        <v>144</v>
      </c>
      <c r="Q249" s="2" t="n">
        <v>503</v>
      </c>
      <c r="R249" s="2" t="n">
        <v>148</v>
      </c>
      <c r="S249" s="2" t="n">
        <v>14</v>
      </c>
      <c r="T249" s="2" t="s">
        <v>96</v>
      </c>
      <c r="U249" s="4" t="n">
        <f aca="false">(M249+N249+O249+P249)/L249</f>
        <v>0.0533913454079396</v>
      </c>
      <c r="V249" s="2" t="str">
        <f aca="false">IF(S249&lt;=5,"Late night (0-5)",IF(S249&lt;=11,"Morning (6-11)",IF(S249&lt;=17,"Afternoon (12-17)","Evening (18-23)")))</f>
        <v>Afternoon (12-17)</v>
      </c>
    </row>
    <row r="250" customFormat="false" ht="15" hidden="false" customHeight="false" outlineLevel="0" collapsed="false">
      <c r="A250" s="2" t="s">
        <v>577</v>
      </c>
      <c r="B250" s="2" t="s">
        <v>227</v>
      </c>
      <c r="C250" s="2" t="s">
        <v>54</v>
      </c>
      <c r="D250" s="3" t="n">
        <v>45754</v>
      </c>
      <c r="E250" s="2" t="s">
        <v>578</v>
      </c>
      <c r="F250" s="2" t="s">
        <v>26</v>
      </c>
      <c r="G250" s="2" t="n">
        <v>11796</v>
      </c>
      <c r="H250" s="2" t="n">
        <v>14</v>
      </c>
      <c r="I250" s="2" t="n">
        <v>343</v>
      </c>
      <c r="J250" s="2" t="n">
        <v>1</v>
      </c>
      <c r="K250" s="2" t="n">
        <v>9502</v>
      </c>
      <c r="L250" s="2" t="n">
        <v>6836</v>
      </c>
      <c r="M250" s="2" t="n">
        <v>222</v>
      </c>
      <c r="N250" s="2" t="n">
        <v>16</v>
      </c>
      <c r="O250" s="2" t="n">
        <v>31</v>
      </c>
      <c r="P250" s="2" t="n">
        <v>81</v>
      </c>
      <c r="Q250" s="2" t="n">
        <v>110</v>
      </c>
      <c r="R250" s="2" t="n">
        <v>11</v>
      </c>
      <c r="S250" s="2" t="n">
        <v>13</v>
      </c>
      <c r="T250" s="2" t="s">
        <v>33</v>
      </c>
      <c r="U250" s="4" t="n">
        <f aca="false">(M250+N250+O250+P250)/L250</f>
        <v>0.0511995318899942</v>
      </c>
      <c r="V250" s="2" t="str">
        <f aca="false">IF(S250&lt;=5,"Late night (0-5)",IF(S250&lt;=11,"Morning (6-11)",IF(S250&lt;=17,"Afternoon (12-17)","Evening (18-23)")))</f>
        <v>Afternoon (12-17)</v>
      </c>
    </row>
    <row r="251" customFormat="false" ht="15" hidden="false" customHeight="false" outlineLevel="0" collapsed="false">
      <c r="A251" s="2" t="s">
        <v>579</v>
      </c>
      <c r="B251" s="2" t="s">
        <v>220</v>
      </c>
      <c r="C251" s="2" t="s">
        <v>48</v>
      </c>
      <c r="D251" s="3" t="n">
        <v>45723</v>
      </c>
      <c r="E251" s="2" t="s">
        <v>580</v>
      </c>
      <c r="F251" s="2" t="s">
        <v>38</v>
      </c>
      <c r="G251" s="2" t="n">
        <v>18917</v>
      </c>
      <c r="H251" s="2" t="n">
        <v>17</v>
      </c>
      <c r="I251" s="2" t="n">
        <v>377</v>
      </c>
      <c r="J251" s="2" t="n">
        <v>0</v>
      </c>
      <c r="K251" s="2" t="n">
        <v>23102</v>
      </c>
      <c r="L251" s="2" t="n">
        <v>14103</v>
      </c>
      <c r="M251" s="2" t="n">
        <v>1010</v>
      </c>
      <c r="N251" s="2" t="n">
        <v>20</v>
      </c>
      <c r="O251" s="2" t="n">
        <v>163</v>
      </c>
      <c r="P251" s="2" t="n">
        <v>203</v>
      </c>
      <c r="Q251" s="2" t="n">
        <v>418</v>
      </c>
      <c r="R251" s="2" t="n">
        <v>100</v>
      </c>
      <c r="S251" s="2" t="n">
        <v>12</v>
      </c>
      <c r="T251" s="2" t="s">
        <v>96</v>
      </c>
      <c r="U251" s="4" t="n">
        <f aca="false">(M251+N251+O251+P251)/L251</f>
        <v>0.0989860313408495</v>
      </c>
      <c r="V251" s="2" t="str">
        <f aca="false">IF(S251&lt;=5,"Late night (0-5)",IF(S251&lt;=11,"Morning (6-11)",IF(S251&lt;=17,"Afternoon (12-17)","Evening (18-23)")))</f>
        <v>Afternoon (12-17)</v>
      </c>
    </row>
    <row r="252" customFormat="false" ht="15" hidden="false" customHeight="false" outlineLevel="0" collapsed="false">
      <c r="A252" s="2" t="s">
        <v>581</v>
      </c>
      <c r="B252" s="2" t="s">
        <v>64</v>
      </c>
      <c r="C252" s="2" t="s">
        <v>36</v>
      </c>
      <c r="D252" s="3" t="n">
        <v>45722</v>
      </c>
      <c r="E252" s="2" t="s">
        <v>582</v>
      </c>
      <c r="F252" s="2" t="s">
        <v>38</v>
      </c>
      <c r="G252" s="2" t="n">
        <v>43781</v>
      </c>
      <c r="H252" s="2" t="n">
        <v>25</v>
      </c>
      <c r="I252" s="2" t="n">
        <v>236</v>
      </c>
      <c r="J252" s="2" t="n">
        <v>1</v>
      </c>
      <c r="K252" s="2" t="n">
        <v>49855</v>
      </c>
      <c r="L252" s="2" t="n">
        <v>34721</v>
      </c>
      <c r="M252" s="2" t="n">
        <v>2236</v>
      </c>
      <c r="N252" s="2" t="n">
        <v>157</v>
      </c>
      <c r="O252" s="2" t="n">
        <v>359</v>
      </c>
      <c r="P252" s="2" t="n">
        <v>489</v>
      </c>
      <c r="Q252" s="2" t="n">
        <v>402</v>
      </c>
      <c r="R252" s="2" t="n">
        <v>68</v>
      </c>
      <c r="S252" s="2" t="n">
        <v>12</v>
      </c>
      <c r="T252" s="2" t="s">
        <v>79</v>
      </c>
      <c r="U252" s="4" t="n">
        <f aca="false">(M252+N252+O252+P252)/L252</f>
        <v>0.0933440857118171</v>
      </c>
      <c r="V252" s="2" t="str">
        <f aca="false">IF(S252&lt;=5,"Late night (0-5)",IF(S252&lt;=11,"Morning (6-11)",IF(S252&lt;=17,"Afternoon (12-17)","Evening (18-23)")))</f>
        <v>Afternoon (12-17)</v>
      </c>
    </row>
    <row r="253" customFormat="false" ht="15" hidden="false" customHeight="false" outlineLevel="0" collapsed="false">
      <c r="A253" s="2" t="s">
        <v>583</v>
      </c>
      <c r="B253" s="2" t="s">
        <v>44</v>
      </c>
      <c r="C253" s="2" t="s">
        <v>36</v>
      </c>
      <c r="D253" s="3" t="n">
        <v>45684</v>
      </c>
      <c r="E253" s="2" t="s">
        <v>393</v>
      </c>
      <c r="F253" s="2" t="s">
        <v>38</v>
      </c>
      <c r="G253" s="2" t="n">
        <v>6265</v>
      </c>
      <c r="H253" s="2" t="n">
        <v>4</v>
      </c>
      <c r="I253" s="2" t="n">
        <v>114</v>
      </c>
      <c r="J253" s="2" t="n">
        <v>0</v>
      </c>
      <c r="K253" s="2" t="n">
        <v>4836</v>
      </c>
      <c r="L253" s="2" t="n">
        <v>3080</v>
      </c>
      <c r="M253" s="2" t="n">
        <v>139</v>
      </c>
      <c r="N253" s="2" t="n">
        <v>9</v>
      </c>
      <c r="O253" s="2" t="n">
        <v>5</v>
      </c>
      <c r="P253" s="2" t="n">
        <v>16</v>
      </c>
      <c r="Q253" s="2" t="n">
        <v>23</v>
      </c>
      <c r="R253" s="2" t="n">
        <v>3</v>
      </c>
      <c r="S253" s="2" t="n">
        <v>14</v>
      </c>
      <c r="T253" s="2" t="s">
        <v>33</v>
      </c>
      <c r="U253" s="4" t="n">
        <f aca="false">(M253+N253+O253+P253)/L253</f>
        <v>0.0548701298701299</v>
      </c>
      <c r="V253" s="2" t="str">
        <f aca="false">IF(S253&lt;=5,"Late night (0-5)",IF(S253&lt;=11,"Morning (6-11)",IF(S253&lt;=17,"Afternoon (12-17)","Evening (18-23)")))</f>
        <v>Afternoon (12-17)</v>
      </c>
    </row>
    <row r="254" customFormat="false" ht="15" hidden="false" customHeight="false" outlineLevel="0" collapsed="false">
      <c r="A254" s="2" t="s">
        <v>584</v>
      </c>
      <c r="B254" s="2" t="s">
        <v>132</v>
      </c>
      <c r="C254" s="2" t="s">
        <v>36</v>
      </c>
      <c r="D254" s="3" t="n">
        <v>45726</v>
      </c>
      <c r="E254" s="2" t="s">
        <v>341</v>
      </c>
      <c r="F254" s="2" t="s">
        <v>50</v>
      </c>
      <c r="G254" s="2" t="n">
        <v>83053</v>
      </c>
      <c r="H254" s="2" t="n">
        <v>18</v>
      </c>
      <c r="I254" s="2" t="n">
        <v>234</v>
      </c>
      <c r="J254" s="2" t="n">
        <v>1</v>
      </c>
      <c r="K254" s="2" t="n">
        <v>99062</v>
      </c>
      <c r="L254" s="2" t="n">
        <v>56083</v>
      </c>
      <c r="M254" s="2" t="n">
        <v>1723</v>
      </c>
      <c r="N254" s="2" t="n">
        <v>113</v>
      </c>
      <c r="O254" s="2" t="n">
        <v>335</v>
      </c>
      <c r="P254" s="2" t="n">
        <v>476</v>
      </c>
      <c r="Q254" s="2" t="n">
        <v>1641</v>
      </c>
      <c r="R254" s="2" t="n">
        <v>307</v>
      </c>
      <c r="S254" s="2" t="n">
        <v>16</v>
      </c>
      <c r="T254" s="2" t="s">
        <v>33</v>
      </c>
      <c r="U254" s="4" t="n">
        <f aca="false">(M254+N254+O254+P254)/L254</f>
        <v>0.0471979031078937</v>
      </c>
      <c r="V254" s="2" t="str">
        <f aca="false">IF(S254&lt;=5,"Late night (0-5)",IF(S254&lt;=11,"Morning (6-11)",IF(S254&lt;=17,"Afternoon (12-17)","Evening (18-23)")))</f>
        <v>Afternoon (12-17)</v>
      </c>
    </row>
    <row r="255" customFormat="false" ht="15" hidden="false" customHeight="false" outlineLevel="0" collapsed="false">
      <c r="A255" s="2" t="s">
        <v>585</v>
      </c>
      <c r="B255" s="2" t="s">
        <v>132</v>
      </c>
      <c r="C255" s="2" t="s">
        <v>36</v>
      </c>
      <c r="D255" s="3" t="n">
        <v>45731</v>
      </c>
      <c r="E255" s="2" t="s">
        <v>586</v>
      </c>
      <c r="F255" s="2" t="s">
        <v>50</v>
      </c>
      <c r="G255" s="2" t="n">
        <v>83053</v>
      </c>
      <c r="H255" s="2" t="n">
        <v>23</v>
      </c>
      <c r="I255" s="2" t="n">
        <v>248</v>
      </c>
      <c r="J255" s="2" t="n">
        <v>0</v>
      </c>
      <c r="K255" s="2" t="n">
        <v>128717</v>
      </c>
      <c r="L255" s="2" t="n">
        <v>90570</v>
      </c>
      <c r="M255" s="2" t="n">
        <v>7343</v>
      </c>
      <c r="N255" s="2" t="n">
        <v>281</v>
      </c>
      <c r="O255" s="2" t="n">
        <v>782</v>
      </c>
      <c r="P255" s="2" t="n">
        <v>1589</v>
      </c>
      <c r="Q255" s="2" t="n">
        <v>748</v>
      </c>
      <c r="R255" s="2" t="n">
        <v>116</v>
      </c>
      <c r="S255" s="2" t="n">
        <v>21</v>
      </c>
      <c r="T255" s="2" t="s">
        <v>62</v>
      </c>
      <c r="U255" s="4" t="n">
        <f aca="false">(M255+N255+O255+P255)/L255</f>
        <v>0.110356630230761</v>
      </c>
      <c r="V255" s="2" t="str">
        <f aca="false">IF(S255&lt;=5,"Late night (0-5)",IF(S255&lt;=11,"Morning (6-11)",IF(S255&lt;=17,"Afternoon (12-17)","Evening (18-23)")))</f>
        <v>Evening (18-23)</v>
      </c>
    </row>
    <row r="256" customFormat="false" ht="15" hidden="false" customHeight="false" outlineLevel="0" collapsed="false">
      <c r="A256" s="2" t="s">
        <v>587</v>
      </c>
      <c r="B256" s="2" t="s">
        <v>264</v>
      </c>
      <c r="C256" s="2" t="s">
        <v>36</v>
      </c>
      <c r="D256" s="3" t="n">
        <v>45949</v>
      </c>
      <c r="E256" s="2" t="s">
        <v>588</v>
      </c>
      <c r="F256" s="2" t="s">
        <v>26</v>
      </c>
      <c r="G256" s="2" t="n">
        <v>22362</v>
      </c>
      <c r="H256" s="2" t="n">
        <v>6</v>
      </c>
      <c r="I256" s="2" t="n">
        <v>16</v>
      </c>
      <c r="J256" s="2" t="n">
        <v>0</v>
      </c>
      <c r="K256" s="2" t="n">
        <v>20984</v>
      </c>
      <c r="L256" s="2" t="n">
        <v>14564</v>
      </c>
      <c r="M256" s="2" t="n">
        <v>440</v>
      </c>
      <c r="N256" s="2" t="n">
        <v>31</v>
      </c>
      <c r="O256" s="2" t="n">
        <v>36</v>
      </c>
      <c r="P256" s="2" t="n">
        <v>72</v>
      </c>
      <c r="Q256" s="2" t="n">
        <v>436</v>
      </c>
      <c r="R256" s="2" t="n">
        <v>85</v>
      </c>
      <c r="S256" s="2" t="n">
        <v>22</v>
      </c>
      <c r="T256" s="2" t="s">
        <v>27</v>
      </c>
      <c r="U256" s="4" t="n">
        <f aca="false">(M256+N256+O256+P256)/L256</f>
        <v>0.0397555616588849</v>
      </c>
      <c r="V256" s="2" t="str">
        <f aca="false">IF(S256&lt;=5,"Late night (0-5)",IF(S256&lt;=11,"Morning (6-11)",IF(S256&lt;=17,"Afternoon (12-17)","Evening (18-23)")))</f>
        <v>Evening (18-23)</v>
      </c>
    </row>
    <row r="257" customFormat="false" ht="15" hidden="false" customHeight="false" outlineLevel="0" collapsed="false">
      <c r="A257" s="2" t="s">
        <v>589</v>
      </c>
      <c r="B257" s="2" t="s">
        <v>103</v>
      </c>
      <c r="C257" s="2" t="s">
        <v>36</v>
      </c>
      <c r="D257" s="3" t="n">
        <v>45806</v>
      </c>
      <c r="E257" s="2" t="s">
        <v>590</v>
      </c>
      <c r="F257" s="2" t="s">
        <v>26</v>
      </c>
      <c r="G257" s="2" t="n">
        <v>56979</v>
      </c>
      <c r="H257" s="2" t="n">
        <v>7</v>
      </c>
      <c r="I257" s="2" t="n">
        <v>200</v>
      </c>
      <c r="J257" s="2" t="n">
        <v>0</v>
      </c>
      <c r="K257" s="2" t="n">
        <v>71502</v>
      </c>
      <c r="L257" s="2" t="n">
        <v>41639</v>
      </c>
      <c r="M257" s="2" t="n">
        <v>3134</v>
      </c>
      <c r="N257" s="2" t="n">
        <v>235</v>
      </c>
      <c r="O257" s="2" t="n">
        <v>477</v>
      </c>
      <c r="P257" s="2" t="n">
        <v>487</v>
      </c>
      <c r="Q257" s="2" t="n">
        <v>656</v>
      </c>
      <c r="R257" s="2" t="n">
        <v>96</v>
      </c>
      <c r="S257" s="2" t="n">
        <v>21</v>
      </c>
      <c r="T257" s="2" t="s">
        <v>79</v>
      </c>
      <c r="U257" s="4" t="n">
        <f aca="false">(M257+N257+O257+P257)/L257</f>
        <v>0.104061096568121</v>
      </c>
      <c r="V257" s="2" t="str">
        <f aca="false">IF(S257&lt;=5,"Late night (0-5)",IF(S257&lt;=11,"Morning (6-11)",IF(S257&lt;=17,"Afternoon (12-17)","Evening (18-23)")))</f>
        <v>Evening (18-23)</v>
      </c>
    </row>
    <row r="258" customFormat="false" ht="15" hidden="false" customHeight="false" outlineLevel="0" collapsed="false">
      <c r="A258" s="2" t="s">
        <v>591</v>
      </c>
      <c r="B258" s="2" t="s">
        <v>74</v>
      </c>
      <c r="C258" s="2" t="s">
        <v>30</v>
      </c>
      <c r="D258" s="3" t="n">
        <v>45985</v>
      </c>
      <c r="E258" s="2" t="s">
        <v>592</v>
      </c>
      <c r="F258" s="2" t="s">
        <v>38</v>
      </c>
      <c r="G258" s="2" t="n">
        <v>20432</v>
      </c>
      <c r="H258" s="2" t="n">
        <v>12</v>
      </c>
      <c r="I258" s="2" t="n">
        <v>164</v>
      </c>
      <c r="J258" s="2" t="n">
        <v>1</v>
      </c>
      <c r="K258" s="2" t="n">
        <v>6588</v>
      </c>
      <c r="L258" s="2" t="n">
        <v>3788</v>
      </c>
      <c r="M258" s="2" t="n">
        <v>133</v>
      </c>
      <c r="N258" s="2" t="n">
        <v>5</v>
      </c>
      <c r="O258" s="2" t="n">
        <v>25</v>
      </c>
      <c r="P258" s="2" t="n">
        <v>38</v>
      </c>
      <c r="Q258" s="2" t="n">
        <v>57</v>
      </c>
      <c r="R258" s="2" t="n">
        <v>12</v>
      </c>
      <c r="S258" s="2" t="n">
        <v>2</v>
      </c>
      <c r="T258" s="2" t="s">
        <v>33</v>
      </c>
      <c r="U258" s="4" t="n">
        <f aca="false">(M258+N258+O258+P258)/L258</f>
        <v>0.0530623020063358</v>
      </c>
      <c r="V258" s="2" t="str">
        <f aca="false">IF(S258&lt;=5,"Late night (0-5)",IF(S258&lt;=11,"Morning (6-11)",IF(S258&lt;=17,"Afternoon (12-17)","Evening (18-23)")))</f>
        <v>Late night (0-5)</v>
      </c>
    </row>
    <row r="259" customFormat="false" ht="15" hidden="false" customHeight="false" outlineLevel="0" collapsed="false">
      <c r="A259" s="2" t="s">
        <v>593</v>
      </c>
      <c r="B259" s="2" t="s">
        <v>240</v>
      </c>
      <c r="C259" s="2" t="s">
        <v>41</v>
      </c>
      <c r="D259" s="3" t="n">
        <v>45807</v>
      </c>
      <c r="E259" s="2" t="s">
        <v>594</v>
      </c>
      <c r="F259" s="2" t="s">
        <v>26</v>
      </c>
      <c r="G259" s="2" t="n">
        <v>83197</v>
      </c>
      <c r="H259" s="2" t="n">
        <v>2</v>
      </c>
      <c r="I259" s="2" t="n">
        <v>286</v>
      </c>
      <c r="J259" s="2" t="n">
        <v>0</v>
      </c>
      <c r="K259" s="2" t="n">
        <v>102648</v>
      </c>
      <c r="L259" s="2" t="n">
        <v>61539</v>
      </c>
      <c r="M259" s="2" t="n">
        <v>5345</v>
      </c>
      <c r="N259" s="2" t="n">
        <v>256</v>
      </c>
      <c r="O259" s="2" t="n">
        <v>753</v>
      </c>
      <c r="P259" s="2" t="n">
        <v>689</v>
      </c>
      <c r="Q259" s="2" t="n">
        <v>1810</v>
      </c>
      <c r="R259" s="2" t="n">
        <v>353</v>
      </c>
      <c r="S259" s="2" t="n">
        <v>8</v>
      </c>
      <c r="T259" s="2" t="s">
        <v>96</v>
      </c>
      <c r="U259" s="4" t="n">
        <f aca="false">(M259+N259+O259+P259)/L259</f>
        <v>0.1144477485822</v>
      </c>
      <c r="V259" s="2" t="str">
        <f aca="false">IF(S259&lt;=5,"Late night (0-5)",IF(S259&lt;=11,"Morning (6-11)",IF(S259&lt;=17,"Afternoon (12-17)","Evening (18-23)")))</f>
        <v>Morning (6-11)</v>
      </c>
    </row>
    <row r="260" customFormat="false" ht="15" hidden="false" customHeight="false" outlineLevel="0" collapsed="false">
      <c r="A260" s="2" t="s">
        <v>595</v>
      </c>
      <c r="B260" s="2" t="s">
        <v>57</v>
      </c>
      <c r="C260" s="2" t="s">
        <v>24</v>
      </c>
      <c r="D260" s="3" t="n">
        <v>45778</v>
      </c>
      <c r="E260" s="2" t="s">
        <v>596</v>
      </c>
      <c r="F260" s="2" t="s">
        <v>32</v>
      </c>
      <c r="G260" s="2" t="n">
        <v>31021</v>
      </c>
      <c r="H260" s="2" t="n">
        <v>0</v>
      </c>
      <c r="I260" s="2" t="n">
        <v>287</v>
      </c>
      <c r="J260" s="2" t="n">
        <v>0</v>
      </c>
      <c r="K260" s="2" t="n">
        <v>28969</v>
      </c>
      <c r="L260" s="2" t="n">
        <v>19309</v>
      </c>
      <c r="M260" s="2" t="n">
        <v>908</v>
      </c>
      <c r="N260" s="2" t="n">
        <v>58</v>
      </c>
      <c r="O260" s="2" t="n">
        <v>58</v>
      </c>
      <c r="P260" s="2" t="n">
        <v>211</v>
      </c>
      <c r="Q260" s="2" t="n">
        <v>506</v>
      </c>
      <c r="R260" s="2" t="n">
        <v>85</v>
      </c>
      <c r="S260" s="2" t="n">
        <v>9</v>
      </c>
      <c r="T260" s="2" t="s">
        <v>79</v>
      </c>
      <c r="U260" s="4" t="n">
        <f aca="false">(M260+N260+O260+P260)/L260</f>
        <v>0.0639598114868714</v>
      </c>
      <c r="V260" s="2" t="str">
        <f aca="false">IF(S260&lt;=5,"Late night (0-5)",IF(S260&lt;=11,"Morning (6-11)",IF(S260&lt;=17,"Afternoon (12-17)","Evening (18-23)")))</f>
        <v>Morning (6-11)</v>
      </c>
    </row>
    <row r="261" customFormat="false" ht="15" hidden="false" customHeight="false" outlineLevel="0" collapsed="false">
      <c r="A261" s="2" t="s">
        <v>597</v>
      </c>
      <c r="B261" s="2" t="s">
        <v>57</v>
      </c>
      <c r="C261" s="2" t="s">
        <v>24</v>
      </c>
      <c r="D261" s="3" t="n">
        <v>45821</v>
      </c>
      <c r="E261" s="2" t="s">
        <v>130</v>
      </c>
      <c r="F261" s="2" t="s">
        <v>32</v>
      </c>
      <c r="G261" s="2" t="n">
        <v>31021</v>
      </c>
      <c r="H261" s="2" t="n">
        <v>4</v>
      </c>
      <c r="I261" s="2" t="n">
        <v>176</v>
      </c>
      <c r="J261" s="2" t="n">
        <v>1</v>
      </c>
      <c r="K261" s="2" t="n">
        <v>8471</v>
      </c>
      <c r="L261" s="2" t="n">
        <v>6372</v>
      </c>
      <c r="M261" s="2" t="n">
        <v>270</v>
      </c>
      <c r="N261" s="2" t="n">
        <v>5</v>
      </c>
      <c r="O261" s="2" t="n">
        <v>26</v>
      </c>
      <c r="P261" s="2" t="n">
        <v>64</v>
      </c>
      <c r="Q261" s="2" t="n">
        <v>189</v>
      </c>
      <c r="R261" s="2" t="n">
        <v>53</v>
      </c>
      <c r="S261" s="2" t="n">
        <v>4</v>
      </c>
      <c r="T261" s="2" t="s">
        <v>96</v>
      </c>
      <c r="U261" s="4" t="n">
        <f aca="false">(M261+N261+O261+P261)/L261</f>
        <v>0.0572818581293158</v>
      </c>
      <c r="V261" s="2" t="str">
        <f aca="false">IF(S261&lt;=5,"Late night (0-5)",IF(S261&lt;=11,"Morning (6-11)",IF(S261&lt;=17,"Afternoon (12-17)","Evening (18-23)")))</f>
        <v>Late night (0-5)</v>
      </c>
    </row>
    <row r="262" customFormat="false" ht="15" hidden="false" customHeight="false" outlineLevel="0" collapsed="false">
      <c r="A262" s="2" t="s">
        <v>598</v>
      </c>
      <c r="B262" s="2" t="s">
        <v>452</v>
      </c>
      <c r="C262" s="2" t="s">
        <v>91</v>
      </c>
      <c r="D262" s="3" t="n">
        <v>45793</v>
      </c>
      <c r="E262" s="2" t="s">
        <v>284</v>
      </c>
      <c r="F262" s="2" t="s">
        <v>26</v>
      </c>
      <c r="G262" s="2" t="n">
        <v>14201</v>
      </c>
      <c r="H262" s="2" t="n">
        <v>12</v>
      </c>
      <c r="I262" s="2" t="n">
        <v>128</v>
      </c>
      <c r="J262" s="2" t="n">
        <v>0</v>
      </c>
      <c r="K262" s="2" t="n">
        <v>10581</v>
      </c>
      <c r="L262" s="2" t="n">
        <v>6677</v>
      </c>
      <c r="M262" s="2" t="n">
        <v>475</v>
      </c>
      <c r="N262" s="2" t="n">
        <v>24</v>
      </c>
      <c r="O262" s="2" t="n">
        <v>42</v>
      </c>
      <c r="P262" s="2" t="n">
        <v>153</v>
      </c>
      <c r="Q262" s="2" t="n">
        <v>52</v>
      </c>
      <c r="R262" s="2" t="n">
        <v>4</v>
      </c>
      <c r="S262" s="2" t="n">
        <v>23</v>
      </c>
      <c r="T262" s="2" t="s">
        <v>96</v>
      </c>
      <c r="U262" s="4" t="n">
        <f aca="false">(M262+N262+O262+P262)/L262</f>
        <v>0.103938894713195</v>
      </c>
      <c r="V262" s="2" t="str">
        <f aca="false">IF(S262&lt;=5,"Late night (0-5)",IF(S262&lt;=11,"Morning (6-11)",IF(S262&lt;=17,"Afternoon (12-17)","Evening (18-23)")))</f>
        <v>Evening (18-23)</v>
      </c>
    </row>
    <row r="263" customFormat="false" ht="15" hidden="false" customHeight="false" outlineLevel="0" collapsed="false">
      <c r="A263" s="2" t="s">
        <v>599</v>
      </c>
      <c r="B263" s="2" t="s">
        <v>426</v>
      </c>
      <c r="C263" s="2" t="s">
        <v>30</v>
      </c>
      <c r="D263" s="3" t="n">
        <v>45665</v>
      </c>
      <c r="E263" s="2" t="s">
        <v>600</v>
      </c>
      <c r="F263" s="2" t="s">
        <v>38</v>
      </c>
      <c r="G263" s="2" t="n">
        <v>40649</v>
      </c>
      <c r="H263" s="2" t="n">
        <v>16</v>
      </c>
      <c r="I263" s="2" t="n">
        <v>214</v>
      </c>
      <c r="J263" s="2" t="n">
        <v>0</v>
      </c>
      <c r="K263" s="2" t="n">
        <v>18585</v>
      </c>
      <c r="L263" s="2" t="n">
        <v>13706</v>
      </c>
      <c r="M263" s="2" t="n">
        <v>643</v>
      </c>
      <c r="N263" s="2" t="n">
        <v>25</v>
      </c>
      <c r="O263" s="2" t="n">
        <v>65</v>
      </c>
      <c r="P263" s="2" t="n">
        <v>43</v>
      </c>
      <c r="Q263" s="2" t="n">
        <v>149</v>
      </c>
      <c r="R263" s="2" t="n">
        <v>31</v>
      </c>
      <c r="S263" s="2" t="n">
        <v>15</v>
      </c>
      <c r="T263" s="2" t="s">
        <v>66</v>
      </c>
      <c r="U263" s="4" t="n">
        <f aca="false">(M263+N263+O263+P263)/L263</f>
        <v>0.0566175397636072</v>
      </c>
      <c r="V263" s="2" t="str">
        <f aca="false">IF(S263&lt;=5,"Late night (0-5)",IF(S263&lt;=11,"Morning (6-11)",IF(S263&lt;=17,"Afternoon (12-17)","Evening (18-23)")))</f>
        <v>Afternoon (12-17)</v>
      </c>
    </row>
    <row r="264" customFormat="false" ht="15" hidden="false" customHeight="false" outlineLevel="0" collapsed="false">
      <c r="A264" s="2" t="s">
        <v>601</v>
      </c>
      <c r="B264" s="2" t="s">
        <v>94</v>
      </c>
      <c r="C264" s="2" t="s">
        <v>30</v>
      </c>
      <c r="D264" s="3" t="n">
        <v>45838</v>
      </c>
      <c r="E264" s="2" t="s">
        <v>602</v>
      </c>
      <c r="F264" s="2" t="s">
        <v>50</v>
      </c>
      <c r="G264" s="2" t="n">
        <v>58559</v>
      </c>
      <c r="H264" s="2" t="n">
        <v>14</v>
      </c>
      <c r="I264" s="2" t="n">
        <v>197</v>
      </c>
      <c r="J264" s="2" t="n">
        <v>1</v>
      </c>
      <c r="K264" s="2" t="n">
        <v>35545</v>
      </c>
      <c r="L264" s="2" t="n">
        <v>28579</v>
      </c>
      <c r="M264" s="2" t="n">
        <v>2347</v>
      </c>
      <c r="N264" s="2" t="n">
        <v>89</v>
      </c>
      <c r="O264" s="2" t="n">
        <v>266</v>
      </c>
      <c r="P264" s="2" t="n">
        <v>428</v>
      </c>
      <c r="Q264" s="2" t="n">
        <v>362</v>
      </c>
      <c r="R264" s="2" t="n">
        <v>84</v>
      </c>
      <c r="S264" s="2" t="n">
        <v>7</v>
      </c>
      <c r="T264" s="2" t="s">
        <v>33</v>
      </c>
      <c r="U264" s="4" t="n">
        <f aca="false">(M264+N264+O264+P264)/L264</f>
        <v>0.109520976941111</v>
      </c>
      <c r="V264" s="2" t="str">
        <f aca="false">IF(S264&lt;=5,"Late night (0-5)",IF(S264&lt;=11,"Morning (6-11)",IF(S264&lt;=17,"Afternoon (12-17)","Evening (18-23)")))</f>
        <v>Morning (6-11)</v>
      </c>
    </row>
    <row r="265" customFormat="false" ht="15" hidden="false" customHeight="false" outlineLevel="0" collapsed="false">
      <c r="A265" s="2" t="s">
        <v>603</v>
      </c>
      <c r="B265" s="2" t="s">
        <v>44</v>
      </c>
      <c r="C265" s="2" t="s">
        <v>36</v>
      </c>
      <c r="D265" s="3" t="n">
        <v>45928</v>
      </c>
      <c r="E265" s="2" t="s">
        <v>604</v>
      </c>
      <c r="F265" s="2" t="s">
        <v>32</v>
      </c>
      <c r="G265" s="2" t="n">
        <v>6265</v>
      </c>
      <c r="H265" s="2" t="n">
        <v>14</v>
      </c>
      <c r="I265" s="2" t="n">
        <v>256</v>
      </c>
      <c r="J265" s="2" t="n">
        <v>0</v>
      </c>
      <c r="K265" s="2" t="n">
        <v>9724</v>
      </c>
      <c r="L265" s="2" t="n">
        <v>5734</v>
      </c>
      <c r="M265" s="2" t="n">
        <v>395</v>
      </c>
      <c r="N265" s="2" t="n">
        <v>31</v>
      </c>
      <c r="O265" s="2" t="n">
        <v>53</v>
      </c>
      <c r="P265" s="2" t="n">
        <v>36</v>
      </c>
      <c r="Q265" s="2" t="n">
        <v>149</v>
      </c>
      <c r="R265" s="2" t="n">
        <v>22</v>
      </c>
      <c r="S265" s="2" t="n">
        <v>1</v>
      </c>
      <c r="T265" s="2" t="s">
        <v>27</v>
      </c>
      <c r="U265" s="4" t="n">
        <f aca="false">(M265+N265+O265+P265)/L265</f>
        <v>0.0898151377746774</v>
      </c>
      <c r="V265" s="2" t="str">
        <f aca="false">IF(S265&lt;=5,"Late night (0-5)",IF(S265&lt;=11,"Morning (6-11)",IF(S265&lt;=17,"Afternoon (12-17)","Evening (18-23)")))</f>
        <v>Late night (0-5)</v>
      </c>
    </row>
    <row r="266" customFormat="false" ht="15" hidden="false" customHeight="false" outlineLevel="0" collapsed="false">
      <c r="A266" s="2" t="s">
        <v>605</v>
      </c>
      <c r="B266" s="2" t="s">
        <v>459</v>
      </c>
      <c r="C266" s="2" t="s">
        <v>84</v>
      </c>
      <c r="D266" s="3" t="n">
        <v>45937</v>
      </c>
      <c r="E266" s="2" t="s">
        <v>606</v>
      </c>
      <c r="F266" s="2" t="s">
        <v>50</v>
      </c>
      <c r="G266" s="2" t="n">
        <v>19744</v>
      </c>
      <c r="H266" s="2" t="n">
        <v>20</v>
      </c>
      <c r="I266" s="2" t="n">
        <v>10</v>
      </c>
      <c r="J266" s="2" t="n">
        <v>0</v>
      </c>
      <c r="K266" s="2" t="n">
        <v>65062</v>
      </c>
      <c r="L266" s="2" t="n">
        <v>49671</v>
      </c>
      <c r="M266" s="2" t="n">
        <v>3823</v>
      </c>
      <c r="N266" s="2" t="n">
        <v>171</v>
      </c>
      <c r="O266" s="2" t="n">
        <v>215</v>
      </c>
      <c r="P266" s="2" t="n">
        <v>897</v>
      </c>
      <c r="Q266" s="2" t="n">
        <v>1278</v>
      </c>
      <c r="R266" s="2" t="n">
        <v>339</v>
      </c>
      <c r="S266" s="2" t="n">
        <v>13</v>
      </c>
      <c r="T266" s="2" t="s">
        <v>51</v>
      </c>
      <c r="U266" s="4" t="n">
        <f aca="false">(M266+N266+O266+P266)/L266</f>
        <v>0.102796400314067</v>
      </c>
      <c r="V266" s="2" t="str">
        <f aca="false">IF(S266&lt;=5,"Late night (0-5)",IF(S266&lt;=11,"Morning (6-11)",IF(S266&lt;=17,"Afternoon (12-17)","Evening (18-23)")))</f>
        <v>Afternoon (12-17)</v>
      </c>
    </row>
    <row r="267" customFormat="false" ht="15" hidden="false" customHeight="false" outlineLevel="0" collapsed="false">
      <c r="A267" s="2" t="s">
        <v>607</v>
      </c>
      <c r="B267" s="2" t="s">
        <v>240</v>
      </c>
      <c r="C267" s="2" t="s">
        <v>41</v>
      </c>
      <c r="D267" s="3" t="n">
        <v>45943</v>
      </c>
      <c r="E267" s="2" t="s">
        <v>608</v>
      </c>
      <c r="F267" s="2" t="s">
        <v>50</v>
      </c>
      <c r="G267" s="2" t="n">
        <v>83197</v>
      </c>
      <c r="H267" s="2" t="n">
        <v>19</v>
      </c>
      <c r="I267" s="2" t="n">
        <v>340</v>
      </c>
      <c r="J267" s="2" t="n">
        <v>0</v>
      </c>
      <c r="K267" s="2" t="n">
        <v>81817</v>
      </c>
      <c r="L267" s="2" t="n">
        <v>50316</v>
      </c>
      <c r="M267" s="2" t="n">
        <v>3042</v>
      </c>
      <c r="N267" s="2" t="n">
        <v>192</v>
      </c>
      <c r="O267" s="2" t="n">
        <v>540</v>
      </c>
      <c r="P267" s="2" t="n">
        <v>630</v>
      </c>
      <c r="Q267" s="2" t="n">
        <v>1021</v>
      </c>
      <c r="R267" s="2" t="n">
        <v>243</v>
      </c>
      <c r="S267" s="2" t="n">
        <v>16</v>
      </c>
      <c r="T267" s="2" t="s">
        <v>33</v>
      </c>
      <c r="U267" s="4" t="n">
        <f aca="false">(M267+N267+O267+P267)/L267</f>
        <v>0.0875268304316718</v>
      </c>
      <c r="V267" s="2" t="str">
        <f aca="false">IF(S267&lt;=5,"Late night (0-5)",IF(S267&lt;=11,"Morning (6-11)",IF(S267&lt;=17,"Afternoon (12-17)","Evening (18-23)")))</f>
        <v>Afternoon (12-17)</v>
      </c>
    </row>
    <row r="268" customFormat="false" ht="15" hidden="false" customHeight="false" outlineLevel="0" collapsed="false">
      <c r="A268" s="2" t="s">
        <v>609</v>
      </c>
      <c r="B268" s="2" t="s">
        <v>114</v>
      </c>
      <c r="C268" s="2" t="s">
        <v>84</v>
      </c>
      <c r="D268" s="3" t="n">
        <v>45890</v>
      </c>
      <c r="E268" s="2" t="s">
        <v>610</v>
      </c>
      <c r="F268" s="2" t="s">
        <v>38</v>
      </c>
      <c r="G268" s="2" t="n">
        <v>64307</v>
      </c>
      <c r="H268" s="2" t="n">
        <v>8</v>
      </c>
      <c r="I268" s="2" t="n">
        <v>176</v>
      </c>
      <c r="J268" s="2" t="n">
        <v>0</v>
      </c>
      <c r="K268" s="2" t="n">
        <v>287097</v>
      </c>
      <c r="L268" s="2" t="n">
        <v>185206</v>
      </c>
      <c r="M268" s="2" t="n">
        <v>5943</v>
      </c>
      <c r="N268" s="2" t="n">
        <v>131</v>
      </c>
      <c r="O268" s="2" t="n">
        <v>531</v>
      </c>
      <c r="P268" s="2" t="n">
        <v>1320</v>
      </c>
      <c r="Q268" s="2" t="n">
        <v>4012</v>
      </c>
      <c r="R268" s="2" t="n">
        <v>479</v>
      </c>
      <c r="S268" s="2" t="n">
        <v>22</v>
      </c>
      <c r="T268" s="2" t="s">
        <v>79</v>
      </c>
      <c r="U268" s="4" t="n">
        <f aca="false">(M268+N268+O268+P268)/L268</f>
        <v>0.042790190382601</v>
      </c>
      <c r="V268" s="2" t="str">
        <f aca="false">IF(S268&lt;=5,"Late night (0-5)",IF(S268&lt;=11,"Morning (6-11)",IF(S268&lt;=17,"Afternoon (12-17)","Evening (18-23)")))</f>
        <v>Evening (18-23)</v>
      </c>
    </row>
    <row r="269" customFormat="false" ht="15" hidden="false" customHeight="false" outlineLevel="0" collapsed="false">
      <c r="A269" s="2" t="s">
        <v>611</v>
      </c>
      <c r="B269" s="2" t="s">
        <v>35</v>
      </c>
      <c r="C269" s="2" t="s">
        <v>36</v>
      </c>
      <c r="D269" s="3" t="n">
        <v>45951</v>
      </c>
      <c r="E269" s="2" t="s">
        <v>612</v>
      </c>
      <c r="F269" s="2" t="s">
        <v>32</v>
      </c>
      <c r="G269" s="2" t="n">
        <v>33933</v>
      </c>
      <c r="H269" s="2" t="n">
        <v>9</v>
      </c>
      <c r="I269" s="2" t="n">
        <v>375</v>
      </c>
      <c r="J269" s="2" t="n">
        <v>0</v>
      </c>
      <c r="K269" s="2" t="n">
        <v>82410</v>
      </c>
      <c r="L269" s="2" t="n">
        <v>69759</v>
      </c>
      <c r="M269" s="2" t="n">
        <v>2943</v>
      </c>
      <c r="N269" s="2" t="n">
        <v>200</v>
      </c>
      <c r="O269" s="2" t="n">
        <v>191</v>
      </c>
      <c r="P269" s="2" t="n">
        <v>200</v>
      </c>
      <c r="Q269" s="2" t="n">
        <v>1746</v>
      </c>
      <c r="R269" s="2" t="n">
        <v>483</v>
      </c>
      <c r="S269" s="2" t="n">
        <v>19</v>
      </c>
      <c r="T269" s="2" t="s">
        <v>51</v>
      </c>
      <c r="U269" s="4" t="n">
        <f aca="false">(M269+N269+O269+P269)/L269</f>
        <v>0.050660129875715</v>
      </c>
      <c r="V269" s="2" t="str">
        <f aca="false">IF(S269&lt;=5,"Late night (0-5)",IF(S269&lt;=11,"Morning (6-11)",IF(S269&lt;=17,"Afternoon (12-17)","Evening (18-23)")))</f>
        <v>Evening (18-23)</v>
      </c>
    </row>
    <row r="270" customFormat="false" ht="15" hidden="false" customHeight="false" outlineLevel="0" collapsed="false">
      <c r="A270" s="2" t="s">
        <v>613</v>
      </c>
      <c r="B270" s="2" t="s">
        <v>310</v>
      </c>
      <c r="C270" s="2" t="s">
        <v>91</v>
      </c>
      <c r="D270" s="3" t="n">
        <v>45773</v>
      </c>
      <c r="E270" s="2" t="s">
        <v>614</v>
      </c>
      <c r="F270" s="2" t="s">
        <v>38</v>
      </c>
      <c r="G270" s="2" t="n">
        <v>56571</v>
      </c>
      <c r="H270" s="2" t="n">
        <v>10</v>
      </c>
      <c r="I270" s="2" t="n">
        <v>182</v>
      </c>
      <c r="J270" s="2" t="n">
        <v>0</v>
      </c>
      <c r="K270" s="2" t="n">
        <v>30523</v>
      </c>
      <c r="L270" s="2" t="n">
        <v>20435</v>
      </c>
      <c r="M270" s="2" t="n">
        <v>1251</v>
      </c>
      <c r="N270" s="2" t="n">
        <v>35</v>
      </c>
      <c r="O270" s="2" t="n">
        <v>89</v>
      </c>
      <c r="P270" s="2" t="n">
        <v>70</v>
      </c>
      <c r="Q270" s="2" t="n">
        <v>405</v>
      </c>
      <c r="R270" s="2" t="n">
        <v>49</v>
      </c>
      <c r="S270" s="2" t="n">
        <v>8</v>
      </c>
      <c r="T270" s="2" t="s">
        <v>62</v>
      </c>
      <c r="U270" s="4" t="n">
        <f aca="false">(M270+N270+O270+P270)/L270</f>
        <v>0.0707120137019819</v>
      </c>
      <c r="V270" s="2" t="str">
        <f aca="false">IF(S270&lt;=5,"Late night (0-5)",IF(S270&lt;=11,"Morning (6-11)",IF(S270&lt;=17,"Afternoon (12-17)","Evening (18-23)")))</f>
        <v>Morning (6-11)</v>
      </c>
    </row>
    <row r="271" customFormat="false" ht="15" hidden="false" customHeight="false" outlineLevel="0" collapsed="false">
      <c r="A271" s="2" t="s">
        <v>615</v>
      </c>
      <c r="B271" s="2" t="s">
        <v>243</v>
      </c>
      <c r="C271" s="2" t="s">
        <v>91</v>
      </c>
      <c r="D271" s="3" t="n">
        <v>45846</v>
      </c>
      <c r="E271" s="2" t="s">
        <v>616</v>
      </c>
      <c r="F271" s="2" t="s">
        <v>38</v>
      </c>
      <c r="G271" s="2" t="n">
        <v>42046</v>
      </c>
      <c r="H271" s="2" t="n">
        <v>11</v>
      </c>
      <c r="I271" s="2" t="n">
        <v>131</v>
      </c>
      <c r="J271" s="2" t="n">
        <v>0</v>
      </c>
      <c r="K271" s="2" t="n">
        <v>22664</v>
      </c>
      <c r="L271" s="2" t="n">
        <v>14036</v>
      </c>
      <c r="M271" s="2" t="n">
        <v>625</v>
      </c>
      <c r="N271" s="2" t="n">
        <v>45</v>
      </c>
      <c r="O271" s="2" t="n">
        <v>59</v>
      </c>
      <c r="P271" s="2" t="n">
        <v>73</v>
      </c>
      <c r="Q271" s="2" t="n">
        <v>138</v>
      </c>
      <c r="R271" s="2" t="n">
        <v>34</v>
      </c>
      <c r="S271" s="2" t="n">
        <v>23</v>
      </c>
      <c r="T271" s="2" t="s">
        <v>51</v>
      </c>
      <c r="U271" s="4" t="n">
        <f aca="false">(M271+N271+O271+P271)/L271</f>
        <v>0.0571387859789114</v>
      </c>
      <c r="V271" s="2" t="str">
        <f aca="false">IF(S271&lt;=5,"Late night (0-5)",IF(S271&lt;=11,"Morning (6-11)",IF(S271&lt;=17,"Afternoon (12-17)","Evening (18-23)")))</f>
        <v>Evening (18-23)</v>
      </c>
    </row>
    <row r="272" customFormat="false" ht="15" hidden="false" customHeight="false" outlineLevel="0" collapsed="false">
      <c r="A272" s="2" t="s">
        <v>617</v>
      </c>
      <c r="B272" s="2" t="s">
        <v>77</v>
      </c>
      <c r="C272" s="2" t="s">
        <v>30</v>
      </c>
      <c r="D272" s="3" t="n">
        <v>45916</v>
      </c>
      <c r="E272" s="2" t="s">
        <v>356</v>
      </c>
      <c r="F272" s="2" t="s">
        <v>32</v>
      </c>
      <c r="G272" s="2" t="n">
        <v>17548</v>
      </c>
      <c r="H272" s="2" t="n">
        <v>18</v>
      </c>
      <c r="I272" s="2" t="n">
        <v>116</v>
      </c>
      <c r="J272" s="2" t="n">
        <v>0</v>
      </c>
      <c r="K272" s="2" t="n">
        <v>41153</v>
      </c>
      <c r="L272" s="2" t="n">
        <v>25903</v>
      </c>
      <c r="M272" s="2" t="n">
        <v>1649</v>
      </c>
      <c r="N272" s="2" t="n">
        <v>65</v>
      </c>
      <c r="O272" s="2" t="n">
        <v>375</v>
      </c>
      <c r="P272" s="2" t="n">
        <v>377</v>
      </c>
      <c r="Q272" s="2" t="n">
        <v>745</v>
      </c>
      <c r="R272" s="2" t="n">
        <v>143</v>
      </c>
      <c r="S272" s="2" t="n">
        <v>19</v>
      </c>
      <c r="T272" s="2" t="s">
        <v>51</v>
      </c>
      <c r="U272" s="4" t="n">
        <f aca="false">(M272+N272+O272+P272)/L272</f>
        <v>0.0952013280315021</v>
      </c>
      <c r="V272" s="2" t="str">
        <f aca="false">IF(S272&lt;=5,"Late night (0-5)",IF(S272&lt;=11,"Morning (6-11)",IF(S272&lt;=17,"Afternoon (12-17)","Evening (18-23)")))</f>
        <v>Evening (18-23)</v>
      </c>
    </row>
    <row r="273" customFormat="false" ht="15" hidden="false" customHeight="false" outlineLevel="0" collapsed="false">
      <c r="A273" s="2" t="s">
        <v>618</v>
      </c>
      <c r="B273" s="2" t="s">
        <v>44</v>
      </c>
      <c r="C273" s="2" t="s">
        <v>36</v>
      </c>
      <c r="D273" s="3" t="n">
        <v>45967</v>
      </c>
      <c r="E273" s="2" t="s">
        <v>619</v>
      </c>
      <c r="F273" s="2" t="s">
        <v>38</v>
      </c>
      <c r="G273" s="2" t="n">
        <v>6265</v>
      </c>
      <c r="H273" s="2" t="n">
        <v>4</v>
      </c>
      <c r="I273" s="2" t="n">
        <v>277</v>
      </c>
      <c r="J273" s="2" t="n">
        <v>0</v>
      </c>
      <c r="K273" s="2" t="n">
        <v>3082</v>
      </c>
      <c r="L273" s="2" t="n">
        <v>2032</v>
      </c>
      <c r="M273" s="2" t="n">
        <v>178</v>
      </c>
      <c r="N273" s="2" t="n">
        <v>4</v>
      </c>
      <c r="O273" s="2" t="n">
        <v>24</v>
      </c>
      <c r="P273" s="2" t="n">
        <v>40</v>
      </c>
      <c r="Q273" s="2" t="n">
        <v>34</v>
      </c>
      <c r="R273" s="2" t="n">
        <v>4</v>
      </c>
      <c r="S273" s="2" t="n">
        <v>17</v>
      </c>
      <c r="T273" s="2" t="s">
        <v>79</v>
      </c>
      <c r="U273" s="4" t="n">
        <f aca="false">(M273+N273+O273+P273)/L273</f>
        <v>0.121062992125984</v>
      </c>
      <c r="V273" s="2" t="str">
        <f aca="false">IF(S273&lt;=5,"Late night (0-5)",IF(S273&lt;=11,"Morning (6-11)",IF(S273&lt;=17,"Afternoon (12-17)","Evening (18-23)")))</f>
        <v>Afternoon (12-17)</v>
      </c>
    </row>
    <row r="274" customFormat="false" ht="15" hidden="false" customHeight="false" outlineLevel="0" collapsed="false">
      <c r="A274" s="2" t="s">
        <v>620</v>
      </c>
      <c r="B274" s="2" t="s">
        <v>71</v>
      </c>
      <c r="C274" s="2" t="s">
        <v>48</v>
      </c>
      <c r="D274" s="3" t="n">
        <v>45936</v>
      </c>
      <c r="E274" s="2" t="s">
        <v>621</v>
      </c>
      <c r="F274" s="2" t="s">
        <v>38</v>
      </c>
      <c r="G274" s="2" t="n">
        <v>7316</v>
      </c>
      <c r="H274" s="2" t="n">
        <v>10</v>
      </c>
      <c r="I274" s="2" t="n">
        <v>165</v>
      </c>
      <c r="J274" s="2" t="n">
        <v>0</v>
      </c>
      <c r="K274" s="2" t="n">
        <v>3374</v>
      </c>
      <c r="L274" s="2" t="n">
        <v>2218</v>
      </c>
      <c r="M274" s="2" t="n">
        <v>105</v>
      </c>
      <c r="N274" s="2" t="n">
        <v>3</v>
      </c>
      <c r="O274" s="2" t="n">
        <v>20</v>
      </c>
      <c r="P274" s="2" t="n">
        <v>24</v>
      </c>
      <c r="Q274" s="2" t="n">
        <v>18</v>
      </c>
      <c r="R274" s="2" t="n">
        <v>5</v>
      </c>
      <c r="S274" s="2" t="n">
        <v>7</v>
      </c>
      <c r="T274" s="2" t="s">
        <v>33</v>
      </c>
      <c r="U274" s="4" t="n">
        <f aca="false">(M274+N274+O274+P274)/L274</f>
        <v>0.0685302073940487</v>
      </c>
      <c r="V274" s="2" t="str">
        <f aca="false">IF(S274&lt;=5,"Late night (0-5)",IF(S274&lt;=11,"Morning (6-11)",IF(S274&lt;=17,"Afternoon (12-17)","Evening (18-23)")))</f>
        <v>Morning (6-11)</v>
      </c>
    </row>
    <row r="275" customFormat="false" ht="15" hidden="false" customHeight="false" outlineLevel="0" collapsed="false">
      <c r="A275" s="2" t="s">
        <v>622</v>
      </c>
      <c r="B275" s="2" t="s">
        <v>77</v>
      </c>
      <c r="C275" s="2" t="s">
        <v>30</v>
      </c>
      <c r="D275" s="3" t="n">
        <v>45692</v>
      </c>
      <c r="E275" s="2" t="s">
        <v>623</v>
      </c>
      <c r="F275" s="2" t="s">
        <v>38</v>
      </c>
      <c r="G275" s="2" t="n">
        <v>17548</v>
      </c>
      <c r="H275" s="2" t="n">
        <v>12</v>
      </c>
      <c r="I275" s="2" t="n">
        <v>216</v>
      </c>
      <c r="J275" s="2" t="n">
        <v>0</v>
      </c>
      <c r="K275" s="2" t="n">
        <v>8576</v>
      </c>
      <c r="L275" s="2" t="n">
        <v>7219</v>
      </c>
      <c r="M275" s="2" t="n">
        <v>373</v>
      </c>
      <c r="N275" s="2" t="n">
        <v>12</v>
      </c>
      <c r="O275" s="2" t="n">
        <v>44</v>
      </c>
      <c r="P275" s="2" t="n">
        <v>53</v>
      </c>
      <c r="Q275" s="2" t="n">
        <v>122</v>
      </c>
      <c r="R275" s="2" t="n">
        <v>29</v>
      </c>
      <c r="S275" s="2" t="n">
        <v>22</v>
      </c>
      <c r="T275" s="2" t="s">
        <v>51</v>
      </c>
      <c r="U275" s="4" t="n">
        <f aca="false">(M275+N275+O275+P275)/L275</f>
        <v>0.0667682504502009</v>
      </c>
      <c r="V275" s="2" t="str">
        <f aca="false">IF(S275&lt;=5,"Late night (0-5)",IF(S275&lt;=11,"Morning (6-11)",IF(S275&lt;=17,"Afternoon (12-17)","Evening (18-23)")))</f>
        <v>Evening (18-23)</v>
      </c>
    </row>
    <row r="276" customFormat="false" ht="15" hidden="false" customHeight="false" outlineLevel="0" collapsed="false">
      <c r="A276" s="2" t="s">
        <v>624</v>
      </c>
      <c r="B276" s="2" t="s">
        <v>138</v>
      </c>
      <c r="C276" s="2" t="s">
        <v>41</v>
      </c>
      <c r="D276" s="3" t="n">
        <v>45688</v>
      </c>
      <c r="E276" s="2" t="s">
        <v>625</v>
      </c>
      <c r="F276" s="2" t="s">
        <v>32</v>
      </c>
      <c r="G276" s="2" t="n">
        <v>18712</v>
      </c>
      <c r="H276" s="2" t="n">
        <v>4</v>
      </c>
      <c r="I276" s="2" t="n">
        <v>182</v>
      </c>
      <c r="J276" s="2" t="n">
        <v>0</v>
      </c>
      <c r="K276" s="2" t="n">
        <v>62148</v>
      </c>
      <c r="L276" s="2" t="n">
        <v>36881</v>
      </c>
      <c r="M276" s="2" t="n">
        <v>2070</v>
      </c>
      <c r="N276" s="2" t="n">
        <v>105</v>
      </c>
      <c r="O276" s="2" t="n">
        <v>155</v>
      </c>
      <c r="P276" s="2" t="n">
        <v>561</v>
      </c>
      <c r="Q276" s="2" t="n">
        <v>345</v>
      </c>
      <c r="R276" s="2" t="n">
        <v>26</v>
      </c>
      <c r="S276" s="2" t="n">
        <v>19</v>
      </c>
      <c r="T276" s="2" t="s">
        <v>96</v>
      </c>
      <c r="U276" s="4" t="n">
        <f aca="false">(M276+N276+O276+P276)/L276</f>
        <v>0.0783872454651447</v>
      </c>
      <c r="V276" s="2" t="str">
        <f aca="false">IF(S276&lt;=5,"Late night (0-5)",IF(S276&lt;=11,"Morning (6-11)",IF(S276&lt;=17,"Afternoon (12-17)","Evening (18-23)")))</f>
        <v>Evening (18-23)</v>
      </c>
    </row>
    <row r="277" customFormat="false" ht="15" hidden="false" customHeight="false" outlineLevel="0" collapsed="false">
      <c r="A277" s="2" t="s">
        <v>626</v>
      </c>
      <c r="B277" s="2" t="s">
        <v>35</v>
      </c>
      <c r="C277" s="2" t="s">
        <v>36</v>
      </c>
      <c r="D277" s="3" t="n">
        <v>45731</v>
      </c>
      <c r="E277" s="2" t="s">
        <v>627</v>
      </c>
      <c r="F277" s="2" t="s">
        <v>32</v>
      </c>
      <c r="G277" s="2" t="n">
        <v>33933</v>
      </c>
      <c r="H277" s="2" t="n">
        <v>12</v>
      </c>
      <c r="I277" s="2" t="n">
        <v>36</v>
      </c>
      <c r="J277" s="2" t="n">
        <v>0</v>
      </c>
      <c r="K277" s="2" t="n">
        <v>34956</v>
      </c>
      <c r="L277" s="2" t="n">
        <v>22811</v>
      </c>
      <c r="M277" s="2" t="n">
        <v>829</v>
      </c>
      <c r="N277" s="2" t="n">
        <v>25</v>
      </c>
      <c r="O277" s="2" t="n">
        <v>171</v>
      </c>
      <c r="P277" s="2" t="n">
        <v>120</v>
      </c>
      <c r="Q277" s="2" t="n">
        <v>641</v>
      </c>
      <c r="R277" s="2" t="n">
        <v>154</v>
      </c>
      <c r="S277" s="2" t="n">
        <v>23</v>
      </c>
      <c r="T277" s="2" t="s">
        <v>62</v>
      </c>
      <c r="U277" s="4" t="n">
        <f aca="false">(M277+N277+O277+P277)/L277</f>
        <v>0.0501950813204156</v>
      </c>
      <c r="V277" s="2" t="str">
        <f aca="false">IF(S277&lt;=5,"Late night (0-5)",IF(S277&lt;=11,"Morning (6-11)",IF(S277&lt;=17,"Afternoon (12-17)","Evening (18-23)")))</f>
        <v>Evening (18-23)</v>
      </c>
    </row>
    <row r="278" customFormat="false" ht="15" hidden="false" customHeight="false" outlineLevel="0" collapsed="false">
      <c r="A278" s="2" t="s">
        <v>628</v>
      </c>
      <c r="B278" s="2" t="s">
        <v>129</v>
      </c>
      <c r="C278" s="2" t="s">
        <v>54</v>
      </c>
      <c r="D278" s="3" t="n">
        <v>45931</v>
      </c>
      <c r="E278" s="2" t="s">
        <v>629</v>
      </c>
      <c r="F278" s="2" t="s">
        <v>32</v>
      </c>
      <c r="G278" s="2" t="n">
        <v>10312</v>
      </c>
      <c r="H278" s="2" t="n">
        <v>22</v>
      </c>
      <c r="I278" s="2" t="n">
        <v>85</v>
      </c>
      <c r="J278" s="2" t="n">
        <v>1</v>
      </c>
      <c r="K278" s="2" t="n">
        <v>25896</v>
      </c>
      <c r="L278" s="2" t="n">
        <v>14511</v>
      </c>
      <c r="M278" s="2" t="n">
        <v>976</v>
      </c>
      <c r="N278" s="2" t="n">
        <v>30</v>
      </c>
      <c r="O278" s="2" t="n">
        <v>126</v>
      </c>
      <c r="P278" s="2" t="n">
        <v>145</v>
      </c>
      <c r="Q278" s="2" t="n">
        <v>298</v>
      </c>
      <c r="R278" s="2" t="n">
        <v>83</v>
      </c>
      <c r="S278" s="2" t="n">
        <v>7</v>
      </c>
      <c r="T278" s="2" t="s">
        <v>66</v>
      </c>
      <c r="U278" s="4" t="n">
        <f aca="false">(M278+N278+O278+P278)/L278</f>
        <v>0.0880022052236235</v>
      </c>
      <c r="V278" s="2" t="str">
        <f aca="false">IF(S278&lt;=5,"Late night (0-5)",IF(S278&lt;=11,"Morning (6-11)",IF(S278&lt;=17,"Afternoon (12-17)","Evening (18-23)")))</f>
        <v>Morning (6-11)</v>
      </c>
    </row>
    <row r="279" customFormat="false" ht="15" hidden="false" customHeight="false" outlineLevel="0" collapsed="false">
      <c r="A279" s="2" t="s">
        <v>630</v>
      </c>
      <c r="B279" s="2" t="s">
        <v>459</v>
      </c>
      <c r="C279" s="2" t="s">
        <v>84</v>
      </c>
      <c r="D279" s="3" t="n">
        <v>45758</v>
      </c>
      <c r="E279" s="2" t="s">
        <v>631</v>
      </c>
      <c r="F279" s="2" t="s">
        <v>26</v>
      </c>
      <c r="G279" s="2" t="n">
        <v>19744</v>
      </c>
      <c r="H279" s="2" t="n">
        <v>13</v>
      </c>
      <c r="I279" s="2" t="n">
        <v>197</v>
      </c>
      <c r="J279" s="2" t="n">
        <v>1</v>
      </c>
      <c r="K279" s="2" t="n">
        <v>29719</v>
      </c>
      <c r="L279" s="2" t="n">
        <v>18761</v>
      </c>
      <c r="M279" s="2" t="n">
        <v>941</v>
      </c>
      <c r="N279" s="2" t="n">
        <v>21</v>
      </c>
      <c r="O279" s="2" t="n">
        <v>46</v>
      </c>
      <c r="P279" s="2" t="n">
        <v>284</v>
      </c>
      <c r="Q279" s="2" t="n">
        <v>534</v>
      </c>
      <c r="R279" s="2" t="n">
        <v>81</v>
      </c>
      <c r="S279" s="2" t="n">
        <v>10</v>
      </c>
      <c r="T279" s="2" t="s">
        <v>96</v>
      </c>
      <c r="U279" s="4" t="n">
        <f aca="false">(M279+N279+O279+P279)/L279</f>
        <v>0.0688662651244603</v>
      </c>
      <c r="V279" s="2" t="str">
        <f aca="false">IF(S279&lt;=5,"Late night (0-5)",IF(S279&lt;=11,"Morning (6-11)",IF(S279&lt;=17,"Afternoon (12-17)","Evening (18-23)")))</f>
        <v>Morning (6-11)</v>
      </c>
    </row>
    <row r="280" customFormat="false" ht="15" hidden="false" customHeight="false" outlineLevel="0" collapsed="false">
      <c r="A280" s="2" t="s">
        <v>632</v>
      </c>
      <c r="B280" s="2" t="s">
        <v>181</v>
      </c>
      <c r="C280" s="2" t="s">
        <v>91</v>
      </c>
      <c r="D280" s="3" t="n">
        <v>45959</v>
      </c>
      <c r="E280" s="2" t="s">
        <v>510</v>
      </c>
      <c r="F280" s="2" t="s">
        <v>38</v>
      </c>
      <c r="G280" s="2" t="n">
        <v>31658</v>
      </c>
      <c r="H280" s="2" t="n">
        <v>11</v>
      </c>
      <c r="I280" s="2" t="n">
        <v>93</v>
      </c>
      <c r="J280" s="2" t="n">
        <v>0</v>
      </c>
      <c r="K280" s="2" t="n">
        <v>30732</v>
      </c>
      <c r="L280" s="2" t="n">
        <v>20220</v>
      </c>
      <c r="M280" s="2" t="n">
        <v>1519</v>
      </c>
      <c r="N280" s="2" t="n">
        <v>100</v>
      </c>
      <c r="O280" s="2" t="n">
        <v>221</v>
      </c>
      <c r="P280" s="2" t="n">
        <v>121</v>
      </c>
      <c r="Q280" s="2" t="n">
        <v>539</v>
      </c>
      <c r="R280" s="2" t="n">
        <v>62</v>
      </c>
      <c r="S280" s="2" t="n">
        <v>11</v>
      </c>
      <c r="T280" s="2" t="s">
        <v>66</v>
      </c>
      <c r="U280" s="4" t="n">
        <f aca="false">(M280+N280+O280+P280)/L280</f>
        <v>0.0969831849653808</v>
      </c>
      <c r="V280" s="2" t="str">
        <f aca="false">IF(S280&lt;=5,"Late night (0-5)",IF(S280&lt;=11,"Morning (6-11)",IF(S280&lt;=17,"Afternoon (12-17)","Evening (18-23)")))</f>
        <v>Morning (6-11)</v>
      </c>
    </row>
    <row r="281" customFormat="false" ht="15" hidden="false" customHeight="false" outlineLevel="0" collapsed="false">
      <c r="A281" s="2" t="s">
        <v>633</v>
      </c>
      <c r="B281" s="2" t="s">
        <v>345</v>
      </c>
      <c r="C281" s="2" t="s">
        <v>30</v>
      </c>
      <c r="D281" s="3" t="n">
        <v>45797</v>
      </c>
      <c r="E281" s="2" t="s">
        <v>634</v>
      </c>
      <c r="F281" s="2" t="s">
        <v>50</v>
      </c>
      <c r="G281" s="2" t="n">
        <v>8662</v>
      </c>
      <c r="H281" s="2" t="n">
        <v>11</v>
      </c>
      <c r="I281" s="2" t="n">
        <v>322</v>
      </c>
      <c r="J281" s="2" t="n">
        <v>0</v>
      </c>
      <c r="K281" s="2" t="n">
        <v>5254</v>
      </c>
      <c r="L281" s="2" t="n">
        <v>3972</v>
      </c>
      <c r="M281" s="2" t="n">
        <v>229</v>
      </c>
      <c r="N281" s="2" t="n">
        <v>10</v>
      </c>
      <c r="O281" s="2" t="n">
        <v>8</v>
      </c>
      <c r="P281" s="2" t="n">
        <v>49</v>
      </c>
      <c r="Q281" s="2" t="n">
        <v>54</v>
      </c>
      <c r="R281" s="2" t="n">
        <v>13</v>
      </c>
      <c r="S281" s="2" t="n">
        <v>1</v>
      </c>
      <c r="T281" s="2" t="s">
        <v>51</v>
      </c>
      <c r="U281" s="4" t="n">
        <f aca="false">(M281+N281+O281+P281)/L281</f>
        <v>0.0745216515609265</v>
      </c>
      <c r="V281" s="2" t="str">
        <f aca="false">IF(S281&lt;=5,"Late night (0-5)",IF(S281&lt;=11,"Morning (6-11)",IF(S281&lt;=17,"Afternoon (12-17)","Evening (18-23)")))</f>
        <v>Late night (0-5)</v>
      </c>
    </row>
    <row r="282" customFormat="false" ht="15" hidden="false" customHeight="false" outlineLevel="0" collapsed="false">
      <c r="A282" s="2" t="s">
        <v>635</v>
      </c>
      <c r="B282" s="2" t="s">
        <v>345</v>
      </c>
      <c r="C282" s="2" t="s">
        <v>30</v>
      </c>
      <c r="D282" s="3" t="n">
        <v>45956</v>
      </c>
      <c r="E282" s="2" t="s">
        <v>636</v>
      </c>
      <c r="F282" s="2" t="s">
        <v>26</v>
      </c>
      <c r="G282" s="2" t="n">
        <v>8662</v>
      </c>
      <c r="H282" s="2" t="n">
        <v>21</v>
      </c>
      <c r="I282" s="2" t="n">
        <v>174</v>
      </c>
      <c r="J282" s="2" t="n">
        <v>0</v>
      </c>
      <c r="K282" s="2" t="n">
        <v>7066</v>
      </c>
      <c r="L282" s="2" t="n">
        <v>4043</v>
      </c>
      <c r="M282" s="2" t="n">
        <v>154</v>
      </c>
      <c r="N282" s="2" t="n">
        <v>4</v>
      </c>
      <c r="O282" s="2" t="n">
        <v>7</v>
      </c>
      <c r="P282" s="2" t="n">
        <v>21</v>
      </c>
      <c r="Q282" s="2" t="n">
        <v>49</v>
      </c>
      <c r="R282" s="2" t="n">
        <v>12</v>
      </c>
      <c r="S282" s="2" t="n">
        <v>16</v>
      </c>
      <c r="T282" s="2" t="s">
        <v>27</v>
      </c>
      <c r="U282" s="4" t="n">
        <f aca="false">(M282+N282+O282+P282)/L282</f>
        <v>0.0460054415038338</v>
      </c>
      <c r="V282" s="2" t="str">
        <f aca="false">IF(S282&lt;=5,"Late night (0-5)",IF(S282&lt;=11,"Morning (6-11)",IF(S282&lt;=17,"Afternoon (12-17)","Evening (18-23)")))</f>
        <v>Afternoon (12-17)</v>
      </c>
    </row>
    <row r="283" customFormat="false" ht="15" hidden="false" customHeight="false" outlineLevel="0" collapsed="false">
      <c r="A283" s="2" t="s">
        <v>637</v>
      </c>
      <c r="B283" s="2" t="s">
        <v>431</v>
      </c>
      <c r="C283" s="2" t="s">
        <v>36</v>
      </c>
      <c r="D283" s="3" t="n">
        <v>45893</v>
      </c>
      <c r="E283" s="2" t="s">
        <v>638</v>
      </c>
      <c r="F283" s="2" t="s">
        <v>38</v>
      </c>
      <c r="G283" s="2" t="n">
        <v>64821</v>
      </c>
      <c r="H283" s="2" t="n">
        <v>13</v>
      </c>
      <c r="I283" s="2" t="n">
        <v>300</v>
      </c>
      <c r="J283" s="2" t="n">
        <v>0</v>
      </c>
      <c r="K283" s="2" t="n">
        <v>30704</v>
      </c>
      <c r="L283" s="2" t="n">
        <v>23640</v>
      </c>
      <c r="M283" s="2" t="n">
        <v>1881</v>
      </c>
      <c r="N283" s="2" t="n">
        <v>51</v>
      </c>
      <c r="O283" s="2" t="n">
        <v>73</v>
      </c>
      <c r="P283" s="2" t="n">
        <v>548</v>
      </c>
      <c r="Q283" s="2" t="n">
        <v>357</v>
      </c>
      <c r="R283" s="2" t="n">
        <v>76</v>
      </c>
      <c r="S283" s="2" t="n">
        <v>17</v>
      </c>
      <c r="T283" s="2" t="s">
        <v>27</v>
      </c>
      <c r="U283" s="4" t="n">
        <f aca="false">(M283+N283+O283+P283)/L283</f>
        <v>0.107994923857868</v>
      </c>
      <c r="V283" s="2" t="str">
        <f aca="false">IF(S283&lt;=5,"Late night (0-5)",IF(S283&lt;=11,"Morning (6-11)",IF(S283&lt;=17,"Afternoon (12-17)","Evening (18-23)")))</f>
        <v>Afternoon (12-17)</v>
      </c>
    </row>
    <row r="284" customFormat="false" ht="15" hidden="false" customHeight="false" outlineLevel="0" collapsed="false">
      <c r="A284" s="2" t="s">
        <v>639</v>
      </c>
      <c r="B284" s="2" t="s">
        <v>123</v>
      </c>
      <c r="C284" s="2" t="s">
        <v>24</v>
      </c>
      <c r="D284" s="3" t="n">
        <v>45926</v>
      </c>
      <c r="E284" s="2" t="s">
        <v>104</v>
      </c>
      <c r="F284" s="2" t="s">
        <v>32</v>
      </c>
      <c r="G284" s="2" t="n">
        <v>41391</v>
      </c>
      <c r="H284" s="2" t="n">
        <v>15</v>
      </c>
      <c r="I284" s="2" t="n">
        <v>142</v>
      </c>
      <c r="J284" s="2" t="n">
        <v>0</v>
      </c>
      <c r="K284" s="2" t="n">
        <v>115739</v>
      </c>
      <c r="L284" s="2" t="n">
        <v>64412</v>
      </c>
      <c r="M284" s="2" t="n">
        <v>6930</v>
      </c>
      <c r="N284" s="2" t="n">
        <v>331</v>
      </c>
      <c r="O284" s="2" t="n">
        <v>1842</v>
      </c>
      <c r="P284" s="2" t="n">
        <v>768</v>
      </c>
      <c r="Q284" s="2" t="n">
        <v>1509</v>
      </c>
      <c r="R284" s="2" t="n">
        <v>407</v>
      </c>
      <c r="S284" s="2" t="n">
        <v>15</v>
      </c>
      <c r="T284" s="2" t="s">
        <v>96</v>
      </c>
      <c r="U284" s="4" t="n">
        <f aca="false">(M284+N284+O284+P284)/L284</f>
        <v>0.153247842017015</v>
      </c>
      <c r="V284" s="2" t="str">
        <f aca="false">IF(S284&lt;=5,"Late night (0-5)",IF(S284&lt;=11,"Morning (6-11)",IF(S284&lt;=17,"Afternoon (12-17)","Evening (18-23)")))</f>
        <v>Afternoon (12-17)</v>
      </c>
    </row>
    <row r="285" customFormat="false" ht="15" hidden="false" customHeight="false" outlineLevel="0" collapsed="false">
      <c r="A285" s="2" t="s">
        <v>640</v>
      </c>
      <c r="B285" s="2" t="s">
        <v>40</v>
      </c>
      <c r="C285" s="2" t="s">
        <v>41</v>
      </c>
      <c r="D285" s="3" t="n">
        <v>45783</v>
      </c>
      <c r="E285" s="2" t="s">
        <v>641</v>
      </c>
      <c r="F285" s="2" t="s">
        <v>32</v>
      </c>
      <c r="G285" s="2" t="n">
        <v>23051</v>
      </c>
      <c r="H285" s="2" t="n">
        <v>20</v>
      </c>
      <c r="I285" s="2" t="n">
        <v>228</v>
      </c>
      <c r="J285" s="2" t="n">
        <v>1</v>
      </c>
      <c r="K285" s="2" t="n">
        <v>24118</v>
      </c>
      <c r="L285" s="2" t="n">
        <v>14172</v>
      </c>
      <c r="M285" s="2" t="n">
        <v>834</v>
      </c>
      <c r="N285" s="2" t="n">
        <v>60</v>
      </c>
      <c r="O285" s="2" t="n">
        <v>182</v>
      </c>
      <c r="P285" s="2" t="n">
        <v>180</v>
      </c>
      <c r="Q285" s="2" t="n">
        <v>120</v>
      </c>
      <c r="R285" s="2" t="n">
        <v>33</v>
      </c>
      <c r="S285" s="2" t="n">
        <v>9</v>
      </c>
      <c r="T285" s="2" t="s">
        <v>51</v>
      </c>
      <c r="U285" s="4" t="n">
        <f aca="false">(M285+N285+O285+P285)/L285</f>
        <v>0.0886254586508609</v>
      </c>
      <c r="V285" s="2" t="str">
        <f aca="false">IF(S285&lt;=5,"Late night (0-5)",IF(S285&lt;=11,"Morning (6-11)",IF(S285&lt;=17,"Afternoon (12-17)","Evening (18-23)")))</f>
        <v>Morning (6-11)</v>
      </c>
    </row>
    <row r="286" customFormat="false" ht="15" hidden="false" customHeight="false" outlineLevel="0" collapsed="false">
      <c r="A286" s="2" t="s">
        <v>642</v>
      </c>
      <c r="B286" s="2" t="s">
        <v>371</v>
      </c>
      <c r="C286" s="2" t="s">
        <v>48</v>
      </c>
      <c r="D286" s="3" t="n">
        <v>45810</v>
      </c>
      <c r="E286" s="2" t="s">
        <v>643</v>
      </c>
      <c r="F286" s="2" t="s">
        <v>26</v>
      </c>
      <c r="G286" s="2" t="n">
        <v>42479</v>
      </c>
      <c r="H286" s="2" t="n">
        <v>13</v>
      </c>
      <c r="I286" s="2" t="n">
        <v>212</v>
      </c>
      <c r="J286" s="2" t="n">
        <v>0</v>
      </c>
      <c r="K286" s="2" t="n">
        <v>14893</v>
      </c>
      <c r="L286" s="2" t="n">
        <v>11261</v>
      </c>
      <c r="M286" s="2" t="n">
        <v>664</v>
      </c>
      <c r="N286" s="2" t="n">
        <v>51</v>
      </c>
      <c r="O286" s="2" t="n">
        <v>110</v>
      </c>
      <c r="P286" s="2" t="n">
        <v>252</v>
      </c>
      <c r="Q286" s="2" t="n">
        <v>164</v>
      </c>
      <c r="R286" s="2" t="n">
        <v>49</v>
      </c>
      <c r="S286" s="2" t="n">
        <v>5</v>
      </c>
      <c r="T286" s="2" t="s">
        <v>33</v>
      </c>
      <c r="U286" s="4" t="n">
        <f aca="false">(M286+N286+O286+P286)/L286</f>
        <v>0.0956398188437972</v>
      </c>
      <c r="V286" s="2" t="str">
        <f aca="false">IF(S286&lt;=5,"Late night (0-5)",IF(S286&lt;=11,"Morning (6-11)",IF(S286&lt;=17,"Afternoon (12-17)","Evening (18-23)")))</f>
        <v>Late night (0-5)</v>
      </c>
    </row>
    <row r="287" customFormat="false" ht="15" hidden="false" customHeight="false" outlineLevel="0" collapsed="false">
      <c r="A287" s="2" t="s">
        <v>644</v>
      </c>
      <c r="B287" s="2" t="s">
        <v>360</v>
      </c>
      <c r="C287" s="2" t="s">
        <v>48</v>
      </c>
      <c r="D287" s="3" t="n">
        <v>45718</v>
      </c>
      <c r="E287" s="2" t="s">
        <v>155</v>
      </c>
      <c r="F287" s="2" t="s">
        <v>32</v>
      </c>
      <c r="G287" s="2" t="n">
        <v>19542</v>
      </c>
      <c r="H287" s="2" t="n">
        <v>12</v>
      </c>
      <c r="I287" s="2" t="n">
        <v>143</v>
      </c>
      <c r="J287" s="2" t="n">
        <v>1</v>
      </c>
      <c r="K287" s="2" t="n">
        <v>12765</v>
      </c>
      <c r="L287" s="2" t="n">
        <v>10434</v>
      </c>
      <c r="M287" s="2" t="n">
        <v>693</v>
      </c>
      <c r="N287" s="2" t="n">
        <v>36</v>
      </c>
      <c r="O287" s="2" t="n">
        <v>119</v>
      </c>
      <c r="P287" s="2" t="n">
        <v>153</v>
      </c>
      <c r="Q287" s="2" t="n">
        <v>222</v>
      </c>
      <c r="R287" s="2" t="n">
        <v>66</v>
      </c>
      <c r="S287" s="2" t="n">
        <v>16</v>
      </c>
      <c r="T287" s="2" t="s">
        <v>27</v>
      </c>
      <c r="U287" s="4" t="n">
        <f aca="false">(M287+N287+O287+P287)/L287</f>
        <v>0.0959363618938087</v>
      </c>
      <c r="V287" s="2" t="str">
        <f aca="false">IF(S287&lt;=5,"Late night (0-5)",IF(S287&lt;=11,"Morning (6-11)",IF(S287&lt;=17,"Afternoon (12-17)","Evening (18-23)")))</f>
        <v>Afternoon (12-17)</v>
      </c>
    </row>
    <row r="288" customFormat="false" ht="15" hidden="false" customHeight="false" outlineLevel="0" collapsed="false">
      <c r="A288" s="2" t="s">
        <v>645</v>
      </c>
      <c r="B288" s="2" t="s">
        <v>57</v>
      </c>
      <c r="C288" s="2" t="s">
        <v>24</v>
      </c>
      <c r="D288" s="3" t="n">
        <v>45978</v>
      </c>
      <c r="E288" s="2" t="s">
        <v>646</v>
      </c>
      <c r="F288" s="2" t="s">
        <v>38</v>
      </c>
      <c r="G288" s="2" t="n">
        <v>31021</v>
      </c>
      <c r="H288" s="2" t="n">
        <v>15</v>
      </c>
      <c r="I288" s="2" t="n">
        <v>76</v>
      </c>
      <c r="J288" s="2" t="n">
        <v>1</v>
      </c>
      <c r="K288" s="2" t="n">
        <v>47105</v>
      </c>
      <c r="L288" s="2" t="n">
        <v>27428</v>
      </c>
      <c r="M288" s="2" t="n">
        <v>1119</v>
      </c>
      <c r="N288" s="2" t="n">
        <v>31</v>
      </c>
      <c r="O288" s="2" t="n">
        <v>103</v>
      </c>
      <c r="P288" s="2" t="n">
        <v>175</v>
      </c>
      <c r="Q288" s="2" t="n">
        <v>777</v>
      </c>
      <c r="R288" s="2" t="n">
        <v>201</v>
      </c>
      <c r="S288" s="2" t="n">
        <v>21</v>
      </c>
      <c r="T288" s="2" t="s">
        <v>33</v>
      </c>
      <c r="U288" s="4" t="n">
        <f aca="false">(M288+N288+O288+P288)/L288</f>
        <v>0.0520635846580137</v>
      </c>
      <c r="V288" s="2" t="str">
        <f aca="false">IF(S288&lt;=5,"Late night (0-5)",IF(S288&lt;=11,"Morning (6-11)",IF(S288&lt;=17,"Afternoon (12-17)","Evening (18-23)")))</f>
        <v>Evening (18-23)</v>
      </c>
    </row>
    <row r="289" customFormat="false" ht="15" hidden="false" customHeight="false" outlineLevel="0" collapsed="false">
      <c r="A289" s="2" t="s">
        <v>647</v>
      </c>
      <c r="B289" s="2" t="s">
        <v>138</v>
      </c>
      <c r="C289" s="2" t="s">
        <v>41</v>
      </c>
      <c r="D289" s="3" t="n">
        <v>45921</v>
      </c>
      <c r="E289" s="2" t="s">
        <v>648</v>
      </c>
      <c r="F289" s="2" t="s">
        <v>50</v>
      </c>
      <c r="G289" s="2" t="n">
        <v>18712</v>
      </c>
      <c r="H289" s="2" t="n">
        <v>15</v>
      </c>
      <c r="I289" s="2" t="n">
        <v>274</v>
      </c>
      <c r="J289" s="2" t="n">
        <v>1</v>
      </c>
      <c r="K289" s="2" t="n">
        <v>9677</v>
      </c>
      <c r="L289" s="2" t="n">
        <v>5781</v>
      </c>
      <c r="M289" s="2" t="n">
        <v>275</v>
      </c>
      <c r="N289" s="2" t="n">
        <v>5</v>
      </c>
      <c r="O289" s="2" t="n">
        <v>28</v>
      </c>
      <c r="P289" s="2" t="n">
        <v>25</v>
      </c>
      <c r="Q289" s="2" t="n">
        <v>147</v>
      </c>
      <c r="R289" s="2" t="n">
        <v>16</v>
      </c>
      <c r="S289" s="2" t="n">
        <v>1</v>
      </c>
      <c r="T289" s="2" t="s">
        <v>27</v>
      </c>
      <c r="U289" s="4" t="n">
        <f aca="false">(M289+N289+O289+P289)/L289</f>
        <v>0.0576024909185262</v>
      </c>
      <c r="V289" s="2" t="str">
        <f aca="false">IF(S289&lt;=5,"Late night (0-5)",IF(S289&lt;=11,"Morning (6-11)",IF(S289&lt;=17,"Afternoon (12-17)","Evening (18-23)")))</f>
        <v>Late night (0-5)</v>
      </c>
    </row>
    <row r="290" customFormat="false" ht="15" hidden="false" customHeight="false" outlineLevel="0" collapsed="false">
      <c r="A290" s="2" t="s">
        <v>649</v>
      </c>
      <c r="B290" s="2" t="s">
        <v>29</v>
      </c>
      <c r="C290" s="2" t="s">
        <v>30</v>
      </c>
      <c r="D290" s="3" t="n">
        <v>45782</v>
      </c>
      <c r="E290" s="2" t="s">
        <v>277</v>
      </c>
      <c r="F290" s="2" t="s">
        <v>32</v>
      </c>
      <c r="G290" s="2" t="n">
        <v>11612</v>
      </c>
      <c r="H290" s="2" t="n">
        <v>1</v>
      </c>
      <c r="I290" s="2" t="n">
        <v>187</v>
      </c>
      <c r="J290" s="2" t="n">
        <v>0</v>
      </c>
      <c r="K290" s="2" t="n">
        <v>7949</v>
      </c>
      <c r="L290" s="2" t="n">
        <v>6189</v>
      </c>
      <c r="M290" s="2" t="n">
        <v>226</v>
      </c>
      <c r="N290" s="2" t="n">
        <v>12</v>
      </c>
      <c r="O290" s="2" t="n">
        <v>59</v>
      </c>
      <c r="P290" s="2" t="n">
        <v>46</v>
      </c>
      <c r="Q290" s="2" t="n">
        <v>131</v>
      </c>
      <c r="R290" s="2" t="n">
        <v>8</v>
      </c>
      <c r="S290" s="2" t="n">
        <v>23</v>
      </c>
      <c r="T290" s="2" t="s">
        <v>33</v>
      </c>
      <c r="U290" s="4" t="n">
        <f aca="false">(M290+N290+O290+P290)/L290</f>
        <v>0.0554209080626919</v>
      </c>
      <c r="V290" s="2" t="str">
        <f aca="false">IF(S290&lt;=5,"Late night (0-5)",IF(S290&lt;=11,"Morning (6-11)",IF(S290&lt;=17,"Afternoon (12-17)","Evening (18-23)")))</f>
        <v>Evening (18-23)</v>
      </c>
    </row>
    <row r="291" customFormat="false" ht="15" hidden="false" customHeight="false" outlineLevel="0" collapsed="false">
      <c r="A291" s="2" t="s">
        <v>650</v>
      </c>
      <c r="B291" s="2" t="s">
        <v>29</v>
      </c>
      <c r="C291" s="2" t="s">
        <v>30</v>
      </c>
      <c r="D291" s="3" t="n">
        <v>45995</v>
      </c>
      <c r="E291" s="2" t="s">
        <v>651</v>
      </c>
      <c r="F291" s="2" t="s">
        <v>32</v>
      </c>
      <c r="G291" s="2" t="n">
        <v>11612</v>
      </c>
      <c r="H291" s="2" t="n">
        <v>13</v>
      </c>
      <c r="I291" s="2" t="n">
        <v>188</v>
      </c>
      <c r="J291" s="2" t="n">
        <v>0</v>
      </c>
      <c r="K291" s="2" t="n">
        <v>27475</v>
      </c>
      <c r="L291" s="2" t="n">
        <v>16191</v>
      </c>
      <c r="M291" s="2" t="n">
        <v>1458</v>
      </c>
      <c r="N291" s="2" t="n">
        <v>84</v>
      </c>
      <c r="O291" s="2" t="n">
        <v>403</v>
      </c>
      <c r="P291" s="2" t="n">
        <v>262</v>
      </c>
      <c r="Q291" s="2" t="n">
        <v>337</v>
      </c>
      <c r="R291" s="2" t="n">
        <v>51</v>
      </c>
      <c r="S291" s="2" t="n">
        <v>20</v>
      </c>
      <c r="T291" s="2" t="s">
        <v>79</v>
      </c>
      <c r="U291" s="4" t="n">
        <f aca="false">(M291+N291+O291+P291)/L291</f>
        <v>0.13631029584337</v>
      </c>
      <c r="V291" s="2" t="str">
        <f aca="false">IF(S291&lt;=5,"Late night (0-5)",IF(S291&lt;=11,"Morning (6-11)",IF(S291&lt;=17,"Afternoon (12-17)","Evening (18-23)")))</f>
        <v>Evening (18-23)</v>
      </c>
    </row>
    <row r="292" customFormat="false" ht="15" hidden="false" customHeight="false" outlineLevel="0" collapsed="false">
      <c r="A292" s="2" t="s">
        <v>652</v>
      </c>
      <c r="B292" s="2" t="s">
        <v>35</v>
      </c>
      <c r="C292" s="2" t="s">
        <v>36</v>
      </c>
      <c r="D292" s="3" t="n">
        <v>45824</v>
      </c>
      <c r="E292" s="2" t="s">
        <v>653</v>
      </c>
      <c r="F292" s="2" t="s">
        <v>26</v>
      </c>
      <c r="G292" s="2" t="n">
        <v>33933</v>
      </c>
      <c r="H292" s="2" t="n">
        <v>10</v>
      </c>
      <c r="I292" s="2" t="n">
        <v>10</v>
      </c>
      <c r="J292" s="2" t="n">
        <v>0</v>
      </c>
      <c r="K292" s="2" t="n">
        <v>9079</v>
      </c>
      <c r="L292" s="2" t="n">
        <v>5270</v>
      </c>
      <c r="M292" s="2" t="n">
        <v>445</v>
      </c>
      <c r="N292" s="2" t="n">
        <v>30</v>
      </c>
      <c r="O292" s="2" t="n">
        <v>48</v>
      </c>
      <c r="P292" s="2" t="n">
        <v>43</v>
      </c>
      <c r="Q292" s="2" t="n">
        <v>28</v>
      </c>
      <c r="R292" s="2" t="n">
        <v>4</v>
      </c>
      <c r="S292" s="2" t="n">
        <v>8</v>
      </c>
      <c r="T292" s="2" t="s">
        <v>33</v>
      </c>
      <c r="U292" s="4" t="n">
        <f aca="false">(M292+N292+O292+P292)/L292</f>
        <v>0.107400379506641</v>
      </c>
      <c r="V292" s="2" t="str">
        <f aca="false">IF(S292&lt;=5,"Late night (0-5)",IF(S292&lt;=11,"Morning (6-11)",IF(S292&lt;=17,"Afternoon (12-17)","Evening (18-23)")))</f>
        <v>Morning (6-11)</v>
      </c>
    </row>
    <row r="293" customFormat="false" ht="15" hidden="false" customHeight="false" outlineLevel="0" collapsed="false">
      <c r="A293" s="2" t="s">
        <v>654</v>
      </c>
      <c r="B293" s="2" t="s">
        <v>64</v>
      </c>
      <c r="C293" s="2" t="s">
        <v>36</v>
      </c>
      <c r="D293" s="3" t="n">
        <v>45998</v>
      </c>
      <c r="E293" s="2" t="s">
        <v>492</v>
      </c>
      <c r="F293" s="2" t="s">
        <v>38</v>
      </c>
      <c r="G293" s="2" t="n">
        <v>43781</v>
      </c>
      <c r="H293" s="2" t="n">
        <v>10</v>
      </c>
      <c r="I293" s="2" t="n">
        <v>271</v>
      </c>
      <c r="J293" s="2" t="n">
        <v>1</v>
      </c>
      <c r="K293" s="2" t="n">
        <v>12246</v>
      </c>
      <c r="L293" s="2" t="n">
        <v>10998</v>
      </c>
      <c r="M293" s="2" t="n">
        <v>408</v>
      </c>
      <c r="N293" s="2" t="n">
        <v>12</v>
      </c>
      <c r="O293" s="2" t="n">
        <v>17</v>
      </c>
      <c r="P293" s="2" t="n">
        <v>65</v>
      </c>
      <c r="Q293" s="2" t="n">
        <v>292</v>
      </c>
      <c r="R293" s="2" t="n">
        <v>74</v>
      </c>
      <c r="S293" s="2" t="n">
        <v>12</v>
      </c>
      <c r="T293" s="2" t="s">
        <v>27</v>
      </c>
      <c r="U293" s="4" t="n">
        <f aca="false">(M293+N293+O293+P293)/L293</f>
        <v>0.0456446626659393</v>
      </c>
      <c r="V293" s="2" t="str">
        <f aca="false">IF(S293&lt;=5,"Late night (0-5)",IF(S293&lt;=11,"Morning (6-11)",IF(S293&lt;=17,"Afternoon (12-17)","Evening (18-23)")))</f>
        <v>Afternoon (12-17)</v>
      </c>
    </row>
    <row r="294" customFormat="false" ht="15" hidden="false" customHeight="false" outlineLevel="0" collapsed="false">
      <c r="A294" s="2" t="s">
        <v>655</v>
      </c>
      <c r="B294" s="2" t="s">
        <v>68</v>
      </c>
      <c r="C294" s="2" t="s">
        <v>54</v>
      </c>
      <c r="D294" s="3" t="n">
        <v>45748</v>
      </c>
      <c r="E294" s="2" t="s">
        <v>656</v>
      </c>
      <c r="F294" s="2" t="s">
        <v>38</v>
      </c>
      <c r="G294" s="2" t="n">
        <v>35922</v>
      </c>
      <c r="H294" s="2" t="n">
        <v>6</v>
      </c>
      <c r="I294" s="2" t="n">
        <v>213</v>
      </c>
      <c r="J294" s="2" t="n">
        <v>1</v>
      </c>
      <c r="K294" s="2" t="n">
        <v>10056</v>
      </c>
      <c r="L294" s="2" t="n">
        <v>6934</v>
      </c>
      <c r="M294" s="2" t="n">
        <v>374</v>
      </c>
      <c r="N294" s="2" t="n">
        <v>22</v>
      </c>
      <c r="O294" s="2" t="n">
        <v>20</v>
      </c>
      <c r="P294" s="2" t="n">
        <v>67</v>
      </c>
      <c r="Q294" s="2" t="n">
        <v>58</v>
      </c>
      <c r="R294" s="2" t="n">
        <v>12</v>
      </c>
      <c r="S294" s="2" t="n">
        <v>2</v>
      </c>
      <c r="T294" s="2" t="s">
        <v>51</v>
      </c>
      <c r="U294" s="4" t="n">
        <f aca="false">(M294+N294+O294+P294)/L294</f>
        <v>0.0696567637727142</v>
      </c>
      <c r="V294" s="2" t="str">
        <f aca="false">IF(S294&lt;=5,"Late night (0-5)",IF(S294&lt;=11,"Morning (6-11)",IF(S294&lt;=17,"Afternoon (12-17)","Evening (18-23)")))</f>
        <v>Late night (0-5)</v>
      </c>
    </row>
    <row r="295" customFormat="false" ht="15" hidden="false" customHeight="false" outlineLevel="0" collapsed="false">
      <c r="A295" s="2" t="s">
        <v>657</v>
      </c>
      <c r="B295" s="2" t="s">
        <v>60</v>
      </c>
      <c r="C295" s="2" t="s">
        <v>41</v>
      </c>
      <c r="D295" s="3" t="n">
        <v>45937</v>
      </c>
      <c r="E295" s="2" t="s">
        <v>467</v>
      </c>
      <c r="F295" s="2" t="s">
        <v>32</v>
      </c>
      <c r="G295" s="2" t="n">
        <v>7512</v>
      </c>
      <c r="H295" s="2" t="n">
        <v>19</v>
      </c>
      <c r="I295" s="2" t="n">
        <v>345</v>
      </c>
      <c r="J295" s="2" t="n">
        <v>1</v>
      </c>
      <c r="K295" s="2" t="n">
        <v>18486</v>
      </c>
      <c r="L295" s="2" t="n">
        <v>10436</v>
      </c>
      <c r="M295" s="2" t="n">
        <v>942</v>
      </c>
      <c r="N295" s="2" t="n">
        <v>25</v>
      </c>
      <c r="O295" s="2" t="n">
        <v>117</v>
      </c>
      <c r="P295" s="2" t="n">
        <v>234</v>
      </c>
      <c r="Q295" s="2" t="n">
        <v>123</v>
      </c>
      <c r="R295" s="2" t="n">
        <v>28</v>
      </c>
      <c r="S295" s="2" t="n">
        <v>2</v>
      </c>
      <c r="T295" s="2" t="s">
        <v>51</v>
      </c>
      <c r="U295" s="4" t="n">
        <f aca="false">(M295+N295+O295+P295)/L295</f>
        <v>0.126293599080107</v>
      </c>
      <c r="V295" s="2" t="str">
        <f aca="false">IF(S295&lt;=5,"Late night (0-5)",IF(S295&lt;=11,"Morning (6-11)",IF(S295&lt;=17,"Afternoon (12-17)","Evening (18-23)")))</f>
        <v>Late night (0-5)</v>
      </c>
    </row>
    <row r="296" customFormat="false" ht="15" hidden="false" customHeight="false" outlineLevel="0" collapsed="false">
      <c r="A296" s="2" t="s">
        <v>658</v>
      </c>
      <c r="B296" s="2" t="s">
        <v>324</v>
      </c>
      <c r="C296" s="2" t="s">
        <v>24</v>
      </c>
      <c r="D296" s="3" t="n">
        <v>45969</v>
      </c>
      <c r="E296" s="2" t="s">
        <v>659</v>
      </c>
      <c r="F296" s="2" t="s">
        <v>50</v>
      </c>
      <c r="G296" s="2" t="n">
        <v>3823</v>
      </c>
      <c r="H296" s="2" t="n">
        <v>20</v>
      </c>
      <c r="I296" s="2" t="n">
        <v>148</v>
      </c>
      <c r="J296" s="2" t="n">
        <v>0</v>
      </c>
      <c r="K296" s="2" t="n">
        <v>2021</v>
      </c>
      <c r="L296" s="2" t="n">
        <v>1364</v>
      </c>
      <c r="M296" s="2" t="n">
        <v>87</v>
      </c>
      <c r="N296" s="2" t="n">
        <v>6</v>
      </c>
      <c r="O296" s="2" t="n">
        <v>6</v>
      </c>
      <c r="P296" s="2" t="n">
        <v>22</v>
      </c>
      <c r="Q296" s="2" t="n">
        <v>25</v>
      </c>
      <c r="R296" s="2" t="n">
        <v>4</v>
      </c>
      <c r="S296" s="2" t="n">
        <v>22</v>
      </c>
      <c r="T296" s="2" t="s">
        <v>62</v>
      </c>
      <c r="U296" s="4" t="n">
        <f aca="false">(M296+N296+O296+P296)/L296</f>
        <v>0.0887096774193548</v>
      </c>
      <c r="V296" s="2" t="str">
        <f aca="false">IF(S296&lt;=5,"Late night (0-5)",IF(S296&lt;=11,"Morning (6-11)",IF(S296&lt;=17,"Afternoon (12-17)","Evening (18-23)")))</f>
        <v>Evening (18-23)</v>
      </c>
    </row>
    <row r="297" customFormat="false" ht="15" hidden="false" customHeight="false" outlineLevel="0" collapsed="false">
      <c r="A297" s="2" t="s">
        <v>660</v>
      </c>
      <c r="B297" s="2" t="s">
        <v>188</v>
      </c>
      <c r="C297" s="2" t="s">
        <v>30</v>
      </c>
      <c r="D297" s="3" t="n">
        <v>45722</v>
      </c>
      <c r="E297" s="2" t="s">
        <v>661</v>
      </c>
      <c r="F297" s="2" t="s">
        <v>38</v>
      </c>
      <c r="G297" s="2" t="n">
        <v>38900</v>
      </c>
      <c r="H297" s="2" t="n">
        <v>5</v>
      </c>
      <c r="I297" s="2" t="n">
        <v>155</v>
      </c>
      <c r="J297" s="2" t="n">
        <v>0</v>
      </c>
      <c r="K297" s="2" t="n">
        <v>39869</v>
      </c>
      <c r="L297" s="2" t="n">
        <v>33556</v>
      </c>
      <c r="M297" s="2" t="n">
        <v>1573</v>
      </c>
      <c r="N297" s="2" t="n">
        <v>103</v>
      </c>
      <c r="O297" s="2" t="n">
        <v>242</v>
      </c>
      <c r="P297" s="2" t="n">
        <v>159</v>
      </c>
      <c r="Q297" s="2" t="n">
        <v>567</v>
      </c>
      <c r="R297" s="2" t="n">
        <v>42</v>
      </c>
      <c r="S297" s="2" t="n">
        <v>17</v>
      </c>
      <c r="T297" s="2" t="s">
        <v>79</v>
      </c>
      <c r="U297" s="4" t="n">
        <f aca="false">(M297+N297+O297+P297)/L297</f>
        <v>0.0618965311717726</v>
      </c>
      <c r="V297" s="2" t="str">
        <f aca="false">IF(S297&lt;=5,"Late night (0-5)",IF(S297&lt;=11,"Morning (6-11)",IF(S297&lt;=17,"Afternoon (12-17)","Evening (18-23)")))</f>
        <v>Afternoon (12-17)</v>
      </c>
    </row>
    <row r="298" customFormat="false" ht="15" hidden="false" customHeight="false" outlineLevel="0" collapsed="false">
      <c r="A298" s="2" t="s">
        <v>662</v>
      </c>
      <c r="B298" s="2" t="s">
        <v>324</v>
      </c>
      <c r="C298" s="2" t="s">
        <v>24</v>
      </c>
      <c r="D298" s="3" t="n">
        <v>46008</v>
      </c>
      <c r="E298" s="2" t="s">
        <v>663</v>
      </c>
      <c r="F298" s="2" t="s">
        <v>38</v>
      </c>
      <c r="G298" s="2" t="n">
        <v>3823</v>
      </c>
      <c r="H298" s="2" t="n">
        <v>20</v>
      </c>
      <c r="I298" s="2" t="n">
        <v>197</v>
      </c>
      <c r="J298" s="2" t="n">
        <v>0</v>
      </c>
      <c r="K298" s="2" t="n">
        <v>3321</v>
      </c>
      <c r="L298" s="2" t="n">
        <v>2571</v>
      </c>
      <c r="M298" s="2" t="n">
        <v>118</v>
      </c>
      <c r="N298" s="2" t="n">
        <v>5</v>
      </c>
      <c r="O298" s="2" t="n">
        <v>11</v>
      </c>
      <c r="P298" s="2" t="n">
        <v>24</v>
      </c>
      <c r="Q298" s="2" t="n">
        <v>32</v>
      </c>
      <c r="R298" s="2" t="n">
        <v>3</v>
      </c>
      <c r="S298" s="2" t="n">
        <v>7</v>
      </c>
      <c r="T298" s="2" t="s">
        <v>66</v>
      </c>
      <c r="U298" s="4" t="n">
        <f aca="false">(M298+N298+O298+P298)/L298</f>
        <v>0.0614546868922598</v>
      </c>
      <c r="V298" s="2" t="str">
        <f aca="false">IF(S298&lt;=5,"Late night (0-5)",IF(S298&lt;=11,"Morning (6-11)",IF(S298&lt;=17,"Afternoon (12-17)","Evening (18-23)")))</f>
        <v>Morning (6-11)</v>
      </c>
    </row>
    <row r="299" customFormat="false" ht="15" hidden="false" customHeight="false" outlineLevel="0" collapsed="false">
      <c r="A299" s="2" t="s">
        <v>664</v>
      </c>
      <c r="B299" s="2" t="s">
        <v>44</v>
      </c>
      <c r="C299" s="2" t="s">
        <v>36</v>
      </c>
      <c r="D299" s="3" t="n">
        <v>45902</v>
      </c>
      <c r="E299" s="2" t="s">
        <v>665</v>
      </c>
      <c r="F299" s="2" t="s">
        <v>32</v>
      </c>
      <c r="G299" s="2" t="n">
        <v>6265</v>
      </c>
      <c r="H299" s="2" t="n">
        <v>7</v>
      </c>
      <c r="I299" s="2" t="n">
        <v>156</v>
      </c>
      <c r="J299" s="2" t="n">
        <v>1</v>
      </c>
      <c r="K299" s="2" t="n">
        <v>18937</v>
      </c>
      <c r="L299" s="2" t="n">
        <v>12255</v>
      </c>
      <c r="M299" s="2" t="n">
        <v>1308</v>
      </c>
      <c r="N299" s="2" t="n">
        <v>96</v>
      </c>
      <c r="O299" s="2" t="n">
        <v>293</v>
      </c>
      <c r="P299" s="2" t="n">
        <v>389</v>
      </c>
      <c r="Q299" s="2" t="n">
        <v>282</v>
      </c>
      <c r="R299" s="2" t="n">
        <v>38</v>
      </c>
      <c r="S299" s="2" t="n">
        <v>20</v>
      </c>
      <c r="T299" s="2" t="s">
        <v>51</v>
      </c>
      <c r="U299" s="4" t="n">
        <f aca="false">(M299+N299+O299+P299)/L299</f>
        <v>0.170216238270094</v>
      </c>
      <c r="V299" s="2" t="str">
        <f aca="false">IF(S299&lt;=5,"Late night (0-5)",IF(S299&lt;=11,"Morning (6-11)",IF(S299&lt;=17,"Afternoon (12-17)","Evening (18-23)")))</f>
        <v>Evening (18-23)</v>
      </c>
    </row>
    <row r="300" customFormat="false" ht="15" hidden="false" customHeight="false" outlineLevel="0" collapsed="false">
      <c r="A300" s="2" t="s">
        <v>666</v>
      </c>
      <c r="B300" s="2" t="s">
        <v>126</v>
      </c>
      <c r="C300" s="2" t="s">
        <v>36</v>
      </c>
      <c r="D300" s="3" t="n">
        <v>45860</v>
      </c>
      <c r="E300" s="2" t="s">
        <v>667</v>
      </c>
      <c r="F300" s="2" t="s">
        <v>38</v>
      </c>
      <c r="G300" s="2" t="n">
        <v>28784</v>
      </c>
      <c r="H300" s="2" t="n">
        <v>4</v>
      </c>
      <c r="I300" s="2" t="n">
        <v>175</v>
      </c>
      <c r="J300" s="2" t="n">
        <v>1</v>
      </c>
      <c r="K300" s="2" t="n">
        <v>9414</v>
      </c>
      <c r="L300" s="2" t="n">
        <v>7645</v>
      </c>
      <c r="M300" s="2" t="n">
        <v>576</v>
      </c>
      <c r="N300" s="2" t="n">
        <v>22</v>
      </c>
      <c r="O300" s="2" t="n">
        <v>74</v>
      </c>
      <c r="P300" s="2" t="n">
        <v>103</v>
      </c>
      <c r="Q300" s="2" t="n">
        <v>205</v>
      </c>
      <c r="R300" s="2" t="n">
        <v>16</v>
      </c>
      <c r="S300" s="2" t="n">
        <v>15</v>
      </c>
      <c r="T300" s="2" t="s">
        <v>51</v>
      </c>
      <c r="U300" s="4" t="n">
        <f aca="false">(M300+N300+O300+P300)/L300</f>
        <v>0.101373446697188</v>
      </c>
      <c r="V300" s="2" t="str">
        <f aca="false">IF(S300&lt;=5,"Late night (0-5)",IF(S300&lt;=11,"Morning (6-11)",IF(S300&lt;=17,"Afternoon (12-17)","Evening (18-23)")))</f>
        <v>Afternoon (12-17)</v>
      </c>
    </row>
    <row r="301" customFormat="false" ht="15" hidden="false" customHeight="false" outlineLevel="0" collapsed="false">
      <c r="A301" s="2" t="s">
        <v>668</v>
      </c>
      <c r="B301" s="2" t="s">
        <v>126</v>
      </c>
      <c r="C301" s="2" t="s">
        <v>36</v>
      </c>
      <c r="D301" s="3" t="n">
        <v>45662</v>
      </c>
      <c r="E301" s="2" t="s">
        <v>669</v>
      </c>
      <c r="F301" s="2" t="s">
        <v>50</v>
      </c>
      <c r="G301" s="2" t="n">
        <v>28784</v>
      </c>
      <c r="H301" s="2" t="n">
        <v>14</v>
      </c>
      <c r="I301" s="2" t="n">
        <v>295</v>
      </c>
      <c r="J301" s="2" t="n">
        <v>1</v>
      </c>
      <c r="K301" s="2" t="n">
        <v>16553</v>
      </c>
      <c r="L301" s="2" t="n">
        <v>9842</v>
      </c>
      <c r="M301" s="2" t="n">
        <v>646</v>
      </c>
      <c r="N301" s="2" t="n">
        <v>14</v>
      </c>
      <c r="O301" s="2" t="n">
        <v>87</v>
      </c>
      <c r="P301" s="2" t="n">
        <v>132</v>
      </c>
      <c r="Q301" s="2" t="n">
        <v>186</v>
      </c>
      <c r="R301" s="2" t="n">
        <v>38</v>
      </c>
      <c r="S301" s="2" t="n">
        <v>13</v>
      </c>
      <c r="T301" s="2" t="s">
        <v>27</v>
      </c>
      <c r="U301" s="4" t="n">
        <f aca="false">(M301+N301+O301+P301)/L301</f>
        <v>0.0893111156269051</v>
      </c>
      <c r="V301" s="2" t="str">
        <f aca="false">IF(S301&lt;=5,"Late night (0-5)",IF(S301&lt;=11,"Morning (6-11)",IF(S301&lt;=17,"Afternoon (12-17)","Evening (18-23)")))</f>
        <v>Afternoon (12-17)</v>
      </c>
    </row>
    <row r="302" customFormat="false" ht="15" hidden="false" customHeight="false" outlineLevel="0" collapsed="false">
      <c r="A302" s="2" t="s">
        <v>670</v>
      </c>
      <c r="B302" s="2" t="s">
        <v>23</v>
      </c>
      <c r="C302" s="2" t="s">
        <v>24</v>
      </c>
      <c r="D302" s="3" t="n">
        <v>45992</v>
      </c>
      <c r="E302" s="2" t="s">
        <v>634</v>
      </c>
      <c r="F302" s="2" t="s">
        <v>32</v>
      </c>
      <c r="G302" s="2" t="n">
        <v>63447</v>
      </c>
      <c r="H302" s="2" t="n">
        <v>15</v>
      </c>
      <c r="I302" s="2" t="n">
        <v>215</v>
      </c>
      <c r="J302" s="2" t="n">
        <v>0</v>
      </c>
      <c r="K302" s="2" t="n">
        <v>48922</v>
      </c>
      <c r="L302" s="2" t="n">
        <v>27964</v>
      </c>
      <c r="M302" s="2" t="n">
        <v>2216</v>
      </c>
      <c r="N302" s="2" t="n">
        <v>91</v>
      </c>
      <c r="O302" s="2" t="n">
        <v>350</v>
      </c>
      <c r="P302" s="2" t="n">
        <v>475</v>
      </c>
      <c r="Q302" s="2" t="n">
        <v>438</v>
      </c>
      <c r="R302" s="2" t="n">
        <v>102</v>
      </c>
      <c r="S302" s="2" t="n">
        <v>1</v>
      </c>
      <c r="T302" s="2" t="s">
        <v>33</v>
      </c>
      <c r="U302" s="4" t="n">
        <f aca="false">(M302+N302+O302+P302)/L302</f>
        <v>0.112001144328422</v>
      </c>
      <c r="V302" s="2" t="str">
        <f aca="false">IF(S302&lt;=5,"Late night (0-5)",IF(S302&lt;=11,"Morning (6-11)",IF(S302&lt;=17,"Afternoon (12-17)","Evening (18-23)")))</f>
        <v>Late night (0-5)</v>
      </c>
    </row>
    <row r="303" customFormat="false" ht="15" hidden="false" customHeight="false" outlineLevel="0" collapsed="false">
      <c r="A303" s="2" t="s">
        <v>671</v>
      </c>
      <c r="B303" s="2" t="s">
        <v>188</v>
      </c>
      <c r="C303" s="2" t="s">
        <v>30</v>
      </c>
      <c r="D303" s="3" t="n">
        <v>45856</v>
      </c>
      <c r="E303" s="2" t="s">
        <v>182</v>
      </c>
      <c r="F303" s="2" t="s">
        <v>32</v>
      </c>
      <c r="G303" s="2" t="n">
        <v>38900</v>
      </c>
      <c r="H303" s="2" t="n">
        <v>1</v>
      </c>
      <c r="I303" s="2" t="n">
        <v>78</v>
      </c>
      <c r="J303" s="2" t="n">
        <v>0</v>
      </c>
      <c r="K303" s="2" t="n">
        <v>73747</v>
      </c>
      <c r="L303" s="2" t="n">
        <v>43534</v>
      </c>
      <c r="M303" s="2" t="n">
        <v>2652</v>
      </c>
      <c r="N303" s="2" t="n">
        <v>134</v>
      </c>
      <c r="O303" s="2" t="n">
        <v>778</v>
      </c>
      <c r="P303" s="2" t="n">
        <v>409</v>
      </c>
      <c r="Q303" s="2" t="n">
        <v>1096</v>
      </c>
      <c r="R303" s="2" t="n">
        <v>198</v>
      </c>
      <c r="S303" s="2" t="n">
        <v>4</v>
      </c>
      <c r="T303" s="2" t="s">
        <v>96</v>
      </c>
      <c r="U303" s="4" t="n">
        <f aca="false">(M303+N303+O303+P303)/L303</f>
        <v>0.0912620021132908</v>
      </c>
      <c r="V303" s="2" t="str">
        <f aca="false">IF(S303&lt;=5,"Late night (0-5)",IF(S303&lt;=11,"Morning (6-11)",IF(S303&lt;=17,"Afternoon (12-17)","Evening (18-23)")))</f>
        <v>Late night (0-5)</v>
      </c>
    </row>
    <row r="304" customFormat="false" ht="15" hidden="false" customHeight="false" outlineLevel="0" collapsed="false">
      <c r="A304" s="2" t="s">
        <v>672</v>
      </c>
      <c r="B304" s="2" t="s">
        <v>227</v>
      </c>
      <c r="C304" s="2" t="s">
        <v>54</v>
      </c>
      <c r="D304" s="3" t="n">
        <v>45687</v>
      </c>
      <c r="E304" s="2" t="s">
        <v>651</v>
      </c>
      <c r="F304" s="2" t="s">
        <v>38</v>
      </c>
      <c r="G304" s="2" t="n">
        <v>11796</v>
      </c>
      <c r="H304" s="2" t="n">
        <v>15</v>
      </c>
      <c r="I304" s="2" t="n">
        <v>271</v>
      </c>
      <c r="J304" s="2" t="n">
        <v>1</v>
      </c>
      <c r="K304" s="2" t="n">
        <v>4834</v>
      </c>
      <c r="L304" s="2" t="n">
        <v>2758</v>
      </c>
      <c r="M304" s="2" t="n">
        <v>217</v>
      </c>
      <c r="N304" s="2" t="n">
        <v>8</v>
      </c>
      <c r="O304" s="2" t="n">
        <v>23</v>
      </c>
      <c r="P304" s="2" t="n">
        <v>200</v>
      </c>
      <c r="Q304" s="2" t="n">
        <v>77</v>
      </c>
      <c r="R304" s="2" t="n">
        <v>6</v>
      </c>
      <c r="S304" s="2" t="n">
        <v>20</v>
      </c>
      <c r="T304" s="2" t="s">
        <v>79</v>
      </c>
      <c r="U304" s="4" t="n">
        <f aca="false">(M304+N304+O304+P304)/L304</f>
        <v>0.16243654822335</v>
      </c>
      <c r="V304" s="2" t="str">
        <f aca="false">IF(S304&lt;=5,"Late night (0-5)",IF(S304&lt;=11,"Morning (6-11)",IF(S304&lt;=17,"Afternoon (12-17)","Evening (18-23)")))</f>
        <v>Evening (18-23)</v>
      </c>
    </row>
    <row r="305" customFormat="false" ht="15" hidden="false" customHeight="false" outlineLevel="0" collapsed="false">
      <c r="A305" s="2" t="s">
        <v>673</v>
      </c>
      <c r="B305" s="2" t="s">
        <v>360</v>
      </c>
      <c r="C305" s="2" t="s">
        <v>48</v>
      </c>
      <c r="D305" s="3" t="n">
        <v>45923</v>
      </c>
      <c r="E305" s="2" t="s">
        <v>674</v>
      </c>
      <c r="F305" s="2" t="s">
        <v>38</v>
      </c>
      <c r="G305" s="2" t="n">
        <v>19542</v>
      </c>
      <c r="H305" s="2" t="n">
        <v>3</v>
      </c>
      <c r="I305" s="2" t="n">
        <v>165</v>
      </c>
      <c r="J305" s="2" t="n">
        <v>0</v>
      </c>
      <c r="K305" s="2" t="n">
        <v>12716</v>
      </c>
      <c r="L305" s="2" t="n">
        <v>8120</v>
      </c>
      <c r="M305" s="2" t="n">
        <v>552</v>
      </c>
      <c r="N305" s="2" t="n">
        <v>24</v>
      </c>
      <c r="O305" s="2" t="n">
        <v>87</v>
      </c>
      <c r="P305" s="2" t="n">
        <v>134</v>
      </c>
      <c r="Q305" s="2" t="n">
        <v>181</v>
      </c>
      <c r="R305" s="2" t="n">
        <v>21</v>
      </c>
      <c r="S305" s="2" t="n">
        <v>6</v>
      </c>
      <c r="T305" s="2" t="s">
        <v>51</v>
      </c>
      <c r="U305" s="4" t="n">
        <f aca="false">(M305+N305+O305+P305)/L305</f>
        <v>0.0981527093596059</v>
      </c>
      <c r="V305" s="2" t="str">
        <f aca="false">IF(S305&lt;=5,"Late night (0-5)",IF(S305&lt;=11,"Morning (6-11)",IF(S305&lt;=17,"Afternoon (12-17)","Evening (18-23)")))</f>
        <v>Morning (6-11)</v>
      </c>
    </row>
    <row r="306" customFormat="false" ht="15" hidden="false" customHeight="false" outlineLevel="0" collapsed="false">
      <c r="A306" s="2" t="s">
        <v>675</v>
      </c>
      <c r="B306" s="2" t="s">
        <v>94</v>
      </c>
      <c r="C306" s="2" t="s">
        <v>30</v>
      </c>
      <c r="D306" s="3" t="n">
        <v>45832</v>
      </c>
      <c r="E306" s="2" t="s">
        <v>676</v>
      </c>
      <c r="F306" s="2" t="s">
        <v>26</v>
      </c>
      <c r="G306" s="2" t="n">
        <v>58559</v>
      </c>
      <c r="H306" s="2" t="n">
        <v>13</v>
      </c>
      <c r="I306" s="2" t="n">
        <v>243</v>
      </c>
      <c r="J306" s="2" t="n">
        <v>0</v>
      </c>
      <c r="K306" s="2" t="n">
        <v>99825</v>
      </c>
      <c r="L306" s="2" t="n">
        <v>84328</v>
      </c>
      <c r="M306" s="2" t="n">
        <v>4269</v>
      </c>
      <c r="N306" s="2" t="n">
        <v>138</v>
      </c>
      <c r="O306" s="2" t="n">
        <v>263</v>
      </c>
      <c r="P306" s="2" t="n">
        <v>1032</v>
      </c>
      <c r="Q306" s="2" t="n">
        <v>1610</v>
      </c>
      <c r="R306" s="2" t="n">
        <v>251</v>
      </c>
      <c r="S306" s="2" t="n">
        <v>12</v>
      </c>
      <c r="T306" s="2" t="s">
        <v>51</v>
      </c>
      <c r="U306" s="4" t="n">
        <f aca="false">(M306+N306+O306+P306)/L306</f>
        <v>0.0676169243904753</v>
      </c>
      <c r="V306" s="2" t="str">
        <f aca="false">IF(S306&lt;=5,"Late night (0-5)",IF(S306&lt;=11,"Morning (6-11)",IF(S306&lt;=17,"Afternoon (12-17)","Evening (18-23)")))</f>
        <v>Afternoon (12-17)</v>
      </c>
    </row>
    <row r="307" customFormat="false" ht="15" hidden="false" customHeight="false" outlineLevel="0" collapsed="false">
      <c r="A307" s="2" t="s">
        <v>677</v>
      </c>
      <c r="B307" s="2" t="s">
        <v>83</v>
      </c>
      <c r="C307" s="2" t="s">
        <v>84</v>
      </c>
      <c r="D307" s="3" t="n">
        <v>45817</v>
      </c>
      <c r="E307" s="2" t="s">
        <v>678</v>
      </c>
      <c r="F307" s="2" t="s">
        <v>26</v>
      </c>
      <c r="G307" s="2" t="n">
        <v>17918</v>
      </c>
      <c r="H307" s="2" t="n">
        <v>11</v>
      </c>
      <c r="I307" s="2" t="n">
        <v>273</v>
      </c>
      <c r="J307" s="2" t="n">
        <v>1</v>
      </c>
      <c r="K307" s="2" t="n">
        <v>50255</v>
      </c>
      <c r="L307" s="2" t="n">
        <v>28875</v>
      </c>
      <c r="M307" s="2" t="n">
        <v>1471</v>
      </c>
      <c r="N307" s="2" t="n">
        <v>51</v>
      </c>
      <c r="O307" s="2" t="n">
        <v>229</v>
      </c>
      <c r="P307" s="2" t="n">
        <v>591</v>
      </c>
      <c r="Q307" s="2" t="n">
        <v>475</v>
      </c>
      <c r="R307" s="2" t="n">
        <v>24</v>
      </c>
      <c r="S307" s="2" t="n">
        <v>20</v>
      </c>
      <c r="T307" s="2" t="s">
        <v>33</v>
      </c>
      <c r="U307" s="4" t="n">
        <f aca="false">(M307+N307+O307+P307)/L307</f>
        <v>0.0811082251082251</v>
      </c>
      <c r="V307" s="2" t="str">
        <f aca="false">IF(S307&lt;=5,"Late night (0-5)",IF(S307&lt;=11,"Morning (6-11)",IF(S307&lt;=17,"Afternoon (12-17)","Evening (18-23)")))</f>
        <v>Evening (18-23)</v>
      </c>
    </row>
    <row r="308" customFormat="false" ht="15" hidden="false" customHeight="false" outlineLevel="0" collapsed="false">
      <c r="A308" s="2" t="s">
        <v>679</v>
      </c>
      <c r="B308" s="2" t="s">
        <v>132</v>
      </c>
      <c r="C308" s="2" t="s">
        <v>36</v>
      </c>
      <c r="D308" s="3" t="n">
        <v>45869</v>
      </c>
      <c r="E308" s="2" t="s">
        <v>189</v>
      </c>
      <c r="F308" s="2" t="s">
        <v>50</v>
      </c>
      <c r="G308" s="2" t="n">
        <v>83053</v>
      </c>
      <c r="H308" s="2" t="n">
        <v>15</v>
      </c>
      <c r="I308" s="2" t="n">
        <v>230</v>
      </c>
      <c r="J308" s="2" t="n">
        <v>0</v>
      </c>
      <c r="K308" s="2" t="n">
        <v>83347</v>
      </c>
      <c r="L308" s="2" t="n">
        <v>61381</v>
      </c>
      <c r="M308" s="2" t="n">
        <v>2825</v>
      </c>
      <c r="N308" s="2" t="n">
        <v>197</v>
      </c>
      <c r="O308" s="2" t="n">
        <v>154</v>
      </c>
      <c r="P308" s="2" t="n">
        <v>597</v>
      </c>
      <c r="Q308" s="2" t="n">
        <v>1816</v>
      </c>
      <c r="R308" s="2" t="n">
        <v>402</v>
      </c>
      <c r="S308" s="2" t="n">
        <v>23</v>
      </c>
      <c r="T308" s="2" t="s">
        <v>79</v>
      </c>
      <c r="U308" s="4" t="n">
        <f aca="false">(M308+N308+O308+P308)/L308</f>
        <v>0.0614685326078102</v>
      </c>
      <c r="V308" s="2" t="str">
        <f aca="false">IF(S308&lt;=5,"Late night (0-5)",IF(S308&lt;=11,"Morning (6-11)",IF(S308&lt;=17,"Afternoon (12-17)","Evening (18-23)")))</f>
        <v>Evening (18-23)</v>
      </c>
    </row>
    <row r="309" customFormat="false" ht="15" hidden="false" customHeight="false" outlineLevel="0" collapsed="false">
      <c r="A309" s="2" t="s">
        <v>680</v>
      </c>
      <c r="B309" s="2" t="s">
        <v>327</v>
      </c>
      <c r="C309" s="2" t="s">
        <v>91</v>
      </c>
      <c r="D309" s="3" t="n">
        <v>45755</v>
      </c>
      <c r="E309" s="2" t="s">
        <v>681</v>
      </c>
      <c r="F309" s="2" t="s">
        <v>38</v>
      </c>
      <c r="G309" s="2" t="n">
        <v>16943</v>
      </c>
      <c r="H309" s="2" t="n">
        <v>10</v>
      </c>
      <c r="I309" s="2" t="n">
        <v>221</v>
      </c>
      <c r="J309" s="2" t="n">
        <v>1</v>
      </c>
      <c r="K309" s="2" t="n">
        <v>15035</v>
      </c>
      <c r="L309" s="2" t="n">
        <v>10969</v>
      </c>
      <c r="M309" s="2" t="n">
        <v>965</v>
      </c>
      <c r="N309" s="2" t="n">
        <v>55</v>
      </c>
      <c r="O309" s="2" t="n">
        <v>43</v>
      </c>
      <c r="P309" s="2" t="n">
        <v>217</v>
      </c>
      <c r="Q309" s="2" t="n">
        <v>108</v>
      </c>
      <c r="R309" s="2" t="n">
        <v>13</v>
      </c>
      <c r="S309" s="2" t="n">
        <v>16</v>
      </c>
      <c r="T309" s="2" t="s">
        <v>51</v>
      </c>
      <c r="U309" s="4" t="n">
        <f aca="false">(M309+N309+O309+P309)/L309</f>
        <v>0.116692497037105</v>
      </c>
      <c r="V309" s="2" t="str">
        <f aca="false">IF(S309&lt;=5,"Late night (0-5)",IF(S309&lt;=11,"Morning (6-11)",IF(S309&lt;=17,"Afternoon (12-17)","Evening (18-23)")))</f>
        <v>Afternoon (12-17)</v>
      </c>
    </row>
    <row r="310" customFormat="false" ht="15" hidden="false" customHeight="false" outlineLevel="0" collapsed="false">
      <c r="A310" s="2" t="s">
        <v>682</v>
      </c>
      <c r="B310" s="2" t="s">
        <v>47</v>
      </c>
      <c r="C310" s="2" t="s">
        <v>48</v>
      </c>
      <c r="D310" s="3" t="n">
        <v>45876</v>
      </c>
      <c r="E310" s="2" t="s">
        <v>683</v>
      </c>
      <c r="F310" s="2" t="s">
        <v>38</v>
      </c>
      <c r="G310" s="2" t="n">
        <v>19609</v>
      </c>
      <c r="H310" s="2" t="n">
        <v>20</v>
      </c>
      <c r="I310" s="2" t="n">
        <v>142</v>
      </c>
      <c r="J310" s="2" t="n">
        <v>0</v>
      </c>
      <c r="K310" s="2" t="n">
        <v>12069</v>
      </c>
      <c r="L310" s="2" t="n">
        <v>9730</v>
      </c>
      <c r="M310" s="2" t="n">
        <v>302</v>
      </c>
      <c r="N310" s="2" t="n">
        <v>20</v>
      </c>
      <c r="O310" s="2" t="n">
        <v>29</v>
      </c>
      <c r="P310" s="2" t="n">
        <v>56</v>
      </c>
      <c r="Q310" s="2" t="n">
        <v>102</v>
      </c>
      <c r="R310" s="2" t="n">
        <v>26</v>
      </c>
      <c r="S310" s="2" t="n">
        <v>1</v>
      </c>
      <c r="T310" s="2" t="s">
        <v>79</v>
      </c>
      <c r="U310" s="4" t="n">
        <f aca="false">(M310+N310+O310+P310)/L310</f>
        <v>0.0418293936279548</v>
      </c>
      <c r="V310" s="2" t="str">
        <f aca="false">IF(S310&lt;=5,"Late night (0-5)",IF(S310&lt;=11,"Morning (6-11)",IF(S310&lt;=17,"Afternoon (12-17)","Evening (18-23)")))</f>
        <v>Late night (0-5)</v>
      </c>
    </row>
    <row r="311" customFormat="false" ht="15" hidden="false" customHeight="false" outlineLevel="0" collapsed="false">
      <c r="A311" s="2" t="s">
        <v>684</v>
      </c>
      <c r="B311" s="2" t="s">
        <v>193</v>
      </c>
      <c r="C311" s="2" t="s">
        <v>36</v>
      </c>
      <c r="D311" s="3" t="n">
        <v>45873</v>
      </c>
      <c r="E311" s="2" t="s">
        <v>685</v>
      </c>
      <c r="F311" s="2" t="s">
        <v>32</v>
      </c>
      <c r="G311" s="2" t="n">
        <v>26454</v>
      </c>
      <c r="H311" s="2" t="n">
        <v>17</v>
      </c>
      <c r="I311" s="2" t="n">
        <v>197</v>
      </c>
      <c r="J311" s="2" t="n">
        <v>1</v>
      </c>
      <c r="K311" s="2" t="n">
        <v>39506</v>
      </c>
      <c r="L311" s="2" t="n">
        <v>23028</v>
      </c>
      <c r="M311" s="2" t="n">
        <v>1277</v>
      </c>
      <c r="N311" s="2" t="n">
        <v>94</v>
      </c>
      <c r="O311" s="2" t="n">
        <v>196</v>
      </c>
      <c r="P311" s="2" t="n">
        <v>168</v>
      </c>
      <c r="Q311" s="2" t="n">
        <v>404</v>
      </c>
      <c r="R311" s="2" t="n">
        <v>62</v>
      </c>
      <c r="S311" s="2" t="n">
        <v>16</v>
      </c>
      <c r="T311" s="2" t="s">
        <v>33</v>
      </c>
      <c r="U311" s="4" t="n">
        <f aca="false">(M311+N311+O311+P311)/L311</f>
        <v>0.0753430606218517</v>
      </c>
      <c r="V311" s="2" t="str">
        <f aca="false">IF(S311&lt;=5,"Late night (0-5)",IF(S311&lt;=11,"Morning (6-11)",IF(S311&lt;=17,"Afternoon (12-17)","Evening (18-23)")))</f>
        <v>Afternoon (12-17)</v>
      </c>
    </row>
    <row r="312" customFormat="false" ht="15" hidden="false" customHeight="false" outlineLevel="0" collapsed="false">
      <c r="A312" s="2" t="s">
        <v>686</v>
      </c>
      <c r="B312" s="2" t="s">
        <v>164</v>
      </c>
      <c r="C312" s="2" t="s">
        <v>36</v>
      </c>
      <c r="D312" s="3" t="n">
        <v>45849</v>
      </c>
      <c r="E312" s="2" t="s">
        <v>687</v>
      </c>
      <c r="F312" s="2" t="s">
        <v>38</v>
      </c>
      <c r="G312" s="2" t="n">
        <v>44230</v>
      </c>
      <c r="H312" s="2" t="n">
        <v>16</v>
      </c>
      <c r="I312" s="2" t="n">
        <v>241</v>
      </c>
      <c r="J312" s="2" t="n">
        <v>1</v>
      </c>
      <c r="K312" s="2" t="n">
        <v>20175</v>
      </c>
      <c r="L312" s="2" t="n">
        <v>14967</v>
      </c>
      <c r="M312" s="2" t="n">
        <v>455</v>
      </c>
      <c r="N312" s="2" t="n">
        <v>25</v>
      </c>
      <c r="O312" s="2" t="n">
        <v>32</v>
      </c>
      <c r="P312" s="2" t="n">
        <v>36</v>
      </c>
      <c r="Q312" s="2" t="n">
        <v>171</v>
      </c>
      <c r="R312" s="2" t="n">
        <v>43</v>
      </c>
      <c r="S312" s="2" t="n">
        <v>17</v>
      </c>
      <c r="T312" s="2" t="s">
        <v>96</v>
      </c>
      <c r="U312" s="4" t="n">
        <f aca="false">(M312+N312+O312+P312)/L312</f>
        <v>0.0366138838778646</v>
      </c>
      <c r="V312" s="2" t="str">
        <f aca="false">IF(S312&lt;=5,"Late night (0-5)",IF(S312&lt;=11,"Morning (6-11)",IF(S312&lt;=17,"Afternoon (12-17)","Evening (18-23)")))</f>
        <v>Afternoon (12-17)</v>
      </c>
    </row>
    <row r="313" customFormat="false" ht="15" hidden="false" customHeight="false" outlineLevel="0" collapsed="false">
      <c r="A313" s="2" t="s">
        <v>688</v>
      </c>
      <c r="B313" s="2" t="s">
        <v>106</v>
      </c>
      <c r="C313" s="2" t="s">
        <v>91</v>
      </c>
      <c r="D313" s="3" t="n">
        <v>45694</v>
      </c>
      <c r="E313" s="2" t="s">
        <v>689</v>
      </c>
      <c r="F313" s="2" t="s">
        <v>26</v>
      </c>
      <c r="G313" s="2" t="n">
        <v>59477</v>
      </c>
      <c r="H313" s="2" t="n">
        <v>15</v>
      </c>
      <c r="I313" s="2" t="n">
        <v>80</v>
      </c>
      <c r="J313" s="2" t="n">
        <v>0</v>
      </c>
      <c r="K313" s="2" t="n">
        <v>11110</v>
      </c>
      <c r="L313" s="2" t="n">
        <v>8805</v>
      </c>
      <c r="M313" s="2" t="n">
        <v>659</v>
      </c>
      <c r="N313" s="2" t="n">
        <v>47</v>
      </c>
      <c r="O313" s="2" t="n">
        <v>38</v>
      </c>
      <c r="P313" s="2" t="n">
        <v>55</v>
      </c>
      <c r="Q313" s="2" t="n">
        <v>67</v>
      </c>
      <c r="R313" s="2" t="n">
        <v>13</v>
      </c>
      <c r="S313" s="2" t="n">
        <v>15</v>
      </c>
      <c r="T313" s="2" t="s">
        <v>79</v>
      </c>
      <c r="U313" s="4" t="n">
        <f aca="false">(M313+N313+O313+P313)/L313</f>
        <v>0.0907438955139126</v>
      </c>
      <c r="V313" s="2" t="str">
        <f aca="false">IF(S313&lt;=5,"Late night (0-5)",IF(S313&lt;=11,"Morning (6-11)",IF(S313&lt;=17,"Afternoon (12-17)","Evening (18-23)")))</f>
        <v>Afternoon (12-17)</v>
      </c>
    </row>
    <row r="314" customFormat="false" ht="15" hidden="false" customHeight="false" outlineLevel="0" collapsed="false">
      <c r="A314" s="2" t="s">
        <v>690</v>
      </c>
      <c r="B314" s="2" t="s">
        <v>135</v>
      </c>
      <c r="C314" s="2" t="s">
        <v>36</v>
      </c>
      <c r="D314" s="3" t="n">
        <v>45733</v>
      </c>
      <c r="E314" s="2" t="s">
        <v>691</v>
      </c>
      <c r="F314" s="2" t="s">
        <v>50</v>
      </c>
      <c r="G314" s="2" t="n">
        <v>45812</v>
      </c>
      <c r="H314" s="2" t="n">
        <v>19</v>
      </c>
      <c r="I314" s="2" t="n">
        <v>204</v>
      </c>
      <c r="J314" s="2" t="n">
        <v>0</v>
      </c>
      <c r="K314" s="2" t="n">
        <v>43424</v>
      </c>
      <c r="L314" s="2" t="n">
        <v>28003</v>
      </c>
      <c r="M314" s="2" t="n">
        <v>2164</v>
      </c>
      <c r="N314" s="2" t="n">
        <v>103</v>
      </c>
      <c r="O314" s="2" t="n">
        <v>148</v>
      </c>
      <c r="P314" s="2" t="n">
        <v>558</v>
      </c>
      <c r="Q314" s="2" t="n">
        <v>619</v>
      </c>
      <c r="R314" s="2" t="n">
        <v>75</v>
      </c>
      <c r="S314" s="2" t="n">
        <v>11</v>
      </c>
      <c r="T314" s="2" t="s">
        <v>33</v>
      </c>
      <c r="U314" s="4" t="n">
        <f aca="false">(M314+N314+O314+P314)/L314</f>
        <v>0.106167196371817</v>
      </c>
      <c r="V314" s="2" t="str">
        <f aca="false">IF(S314&lt;=5,"Late night (0-5)",IF(S314&lt;=11,"Morning (6-11)",IF(S314&lt;=17,"Afternoon (12-17)","Evening (18-23)")))</f>
        <v>Morning (6-11)</v>
      </c>
    </row>
    <row r="315" customFormat="false" ht="15" hidden="false" customHeight="false" outlineLevel="0" collapsed="false">
      <c r="A315" s="2" t="s">
        <v>692</v>
      </c>
      <c r="B315" s="2" t="s">
        <v>64</v>
      </c>
      <c r="C315" s="2" t="s">
        <v>36</v>
      </c>
      <c r="D315" s="3" t="n">
        <v>45772</v>
      </c>
      <c r="E315" s="2" t="s">
        <v>693</v>
      </c>
      <c r="F315" s="2" t="s">
        <v>50</v>
      </c>
      <c r="G315" s="2" t="n">
        <v>43781</v>
      </c>
      <c r="H315" s="2" t="n">
        <v>0</v>
      </c>
      <c r="I315" s="2" t="n">
        <v>143</v>
      </c>
      <c r="J315" s="2" t="n">
        <v>0</v>
      </c>
      <c r="K315" s="2" t="n">
        <v>13077</v>
      </c>
      <c r="L315" s="2" t="n">
        <v>11470</v>
      </c>
      <c r="M315" s="2" t="n">
        <v>838</v>
      </c>
      <c r="N315" s="2" t="n">
        <v>51</v>
      </c>
      <c r="O315" s="2" t="n">
        <v>41</v>
      </c>
      <c r="P315" s="2" t="n">
        <v>90</v>
      </c>
      <c r="Q315" s="2" t="n">
        <v>267</v>
      </c>
      <c r="R315" s="2" t="n">
        <v>23</v>
      </c>
      <c r="S315" s="2" t="n">
        <v>2</v>
      </c>
      <c r="T315" s="2" t="s">
        <v>96</v>
      </c>
      <c r="U315" s="4" t="n">
        <f aca="false">(M315+N315+O315+P315)/L315</f>
        <v>0.0889276373147341</v>
      </c>
      <c r="V315" s="2" t="str">
        <f aca="false">IF(S315&lt;=5,"Late night (0-5)",IF(S315&lt;=11,"Morning (6-11)",IF(S315&lt;=17,"Afternoon (12-17)","Evening (18-23)")))</f>
        <v>Late night (0-5)</v>
      </c>
    </row>
    <row r="316" customFormat="false" ht="15" hidden="false" customHeight="false" outlineLevel="0" collapsed="false">
      <c r="A316" s="2" t="s">
        <v>694</v>
      </c>
      <c r="B316" s="2" t="s">
        <v>29</v>
      </c>
      <c r="C316" s="2" t="s">
        <v>30</v>
      </c>
      <c r="D316" s="3" t="n">
        <v>45686</v>
      </c>
      <c r="E316" s="2" t="s">
        <v>695</v>
      </c>
      <c r="F316" s="2" t="s">
        <v>32</v>
      </c>
      <c r="G316" s="2" t="n">
        <v>11612</v>
      </c>
      <c r="H316" s="2" t="n">
        <v>21</v>
      </c>
      <c r="I316" s="2" t="n">
        <v>58</v>
      </c>
      <c r="J316" s="2" t="n">
        <v>1</v>
      </c>
      <c r="K316" s="2" t="n">
        <v>34513</v>
      </c>
      <c r="L316" s="2" t="n">
        <v>20396</v>
      </c>
      <c r="M316" s="2" t="n">
        <v>1809</v>
      </c>
      <c r="N316" s="2" t="n">
        <v>93</v>
      </c>
      <c r="O316" s="2" t="n">
        <v>459</v>
      </c>
      <c r="P316" s="2" t="n">
        <v>458</v>
      </c>
      <c r="Q316" s="2" t="n">
        <v>300</v>
      </c>
      <c r="R316" s="2" t="n">
        <v>73</v>
      </c>
      <c r="S316" s="2" t="n">
        <v>8</v>
      </c>
      <c r="T316" s="2" t="s">
        <v>66</v>
      </c>
      <c r="U316" s="4" t="n">
        <f aca="false">(M316+N316+O316+P316)/L316</f>
        <v>0.138213375171602</v>
      </c>
      <c r="V316" s="2" t="str">
        <f aca="false">IF(S316&lt;=5,"Late night (0-5)",IF(S316&lt;=11,"Morning (6-11)",IF(S316&lt;=17,"Afternoon (12-17)","Evening (18-23)")))</f>
        <v>Morning (6-11)</v>
      </c>
    </row>
    <row r="317" customFormat="false" ht="15" hidden="false" customHeight="false" outlineLevel="0" collapsed="false">
      <c r="A317" s="2" t="s">
        <v>696</v>
      </c>
      <c r="B317" s="2" t="s">
        <v>129</v>
      </c>
      <c r="C317" s="2" t="s">
        <v>54</v>
      </c>
      <c r="D317" s="3" t="n">
        <v>45815</v>
      </c>
      <c r="E317" s="2" t="s">
        <v>697</v>
      </c>
      <c r="F317" s="2" t="s">
        <v>32</v>
      </c>
      <c r="G317" s="2" t="n">
        <v>10312</v>
      </c>
      <c r="H317" s="2" t="n">
        <v>5</v>
      </c>
      <c r="I317" s="2" t="n">
        <v>296</v>
      </c>
      <c r="J317" s="2" t="n">
        <v>1</v>
      </c>
      <c r="K317" s="2" t="n">
        <v>13093</v>
      </c>
      <c r="L317" s="2" t="n">
        <v>10217</v>
      </c>
      <c r="M317" s="2" t="n">
        <v>812</v>
      </c>
      <c r="N317" s="2" t="n">
        <v>36</v>
      </c>
      <c r="O317" s="2" t="n">
        <v>102</v>
      </c>
      <c r="P317" s="2" t="n">
        <v>226</v>
      </c>
      <c r="Q317" s="2" t="n">
        <v>138</v>
      </c>
      <c r="R317" s="2" t="n">
        <v>15</v>
      </c>
      <c r="S317" s="2" t="n">
        <v>17</v>
      </c>
      <c r="T317" s="2" t="s">
        <v>62</v>
      </c>
      <c r="U317" s="4" t="n">
        <f aca="false">(M317+N317+O317+P317)/L317</f>
        <v>0.115102280512871</v>
      </c>
      <c r="V317" s="2" t="str">
        <f aca="false">IF(S317&lt;=5,"Late night (0-5)",IF(S317&lt;=11,"Morning (6-11)",IF(S317&lt;=17,"Afternoon (12-17)","Evening (18-23)")))</f>
        <v>Afternoon (12-17)</v>
      </c>
    </row>
    <row r="318" customFormat="false" ht="15" hidden="false" customHeight="false" outlineLevel="0" collapsed="false">
      <c r="A318" s="2" t="s">
        <v>698</v>
      </c>
      <c r="B318" s="2" t="s">
        <v>426</v>
      </c>
      <c r="C318" s="2" t="s">
        <v>30</v>
      </c>
      <c r="D318" s="3" t="n">
        <v>45801</v>
      </c>
      <c r="E318" s="2" t="s">
        <v>699</v>
      </c>
      <c r="F318" s="2" t="s">
        <v>26</v>
      </c>
      <c r="G318" s="2" t="n">
        <v>40649</v>
      </c>
      <c r="H318" s="2" t="n">
        <v>14</v>
      </c>
      <c r="I318" s="2" t="n">
        <v>189</v>
      </c>
      <c r="J318" s="2" t="n">
        <v>0</v>
      </c>
      <c r="K318" s="2" t="n">
        <v>109303</v>
      </c>
      <c r="L318" s="2" t="n">
        <v>79090</v>
      </c>
      <c r="M318" s="2" t="n">
        <v>2519</v>
      </c>
      <c r="N318" s="2" t="n">
        <v>84</v>
      </c>
      <c r="O318" s="2" t="n">
        <v>407</v>
      </c>
      <c r="P318" s="2" t="n">
        <v>395</v>
      </c>
      <c r="Q318" s="2" t="n">
        <v>2012</v>
      </c>
      <c r="R318" s="2" t="n">
        <v>335</v>
      </c>
      <c r="S318" s="2" t="n">
        <v>14</v>
      </c>
      <c r="T318" s="2" t="s">
        <v>62</v>
      </c>
      <c r="U318" s="4" t="n">
        <f aca="false">(M318+N318+O318+P318)/L318</f>
        <v>0.0430522189910229</v>
      </c>
      <c r="V318" s="2" t="str">
        <f aca="false">IF(S318&lt;=5,"Late night (0-5)",IF(S318&lt;=11,"Morning (6-11)",IF(S318&lt;=17,"Afternoon (12-17)","Evening (18-23)")))</f>
        <v>Afternoon (12-17)</v>
      </c>
    </row>
    <row r="319" customFormat="false" ht="15" hidden="false" customHeight="false" outlineLevel="0" collapsed="false">
      <c r="A319" s="2" t="s">
        <v>700</v>
      </c>
      <c r="B319" s="2" t="s">
        <v>74</v>
      </c>
      <c r="C319" s="2" t="s">
        <v>30</v>
      </c>
      <c r="D319" s="3" t="n">
        <v>45868</v>
      </c>
      <c r="E319" s="2" t="s">
        <v>218</v>
      </c>
      <c r="F319" s="2" t="s">
        <v>38</v>
      </c>
      <c r="G319" s="2" t="n">
        <v>20432</v>
      </c>
      <c r="H319" s="2" t="n">
        <v>20</v>
      </c>
      <c r="I319" s="2" t="n">
        <v>187</v>
      </c>
      <c r="J319" s="2" t="n">
        <v>1</v>
      </c>
      <c r="K319" s="2" t="n">
        <v>23817</v>
      </c>
      <c r="L319" s="2" t="n">
        <v>16968</v>
      </c>
      <c r="M319" s="2" t="n">
        <v>709</v>
      </c>
      <c r="N319" s="2" t="n">
        <v>52</v>
      </c>
      <c r="O319" s="2" t="n">
        <v>138</v>
      </c>
      <c r="P319" s="2" t="n">
        <v>44</v>
      </c>
      <c r="Q319" s="2" t="n">
        <v>422</v>
      </c>
      <c r="R319" s="2" t="n">
        <v>89</v>
      </c>
      <c r="S319" s="2" t="n">
        <v>23</v>
      </c>
      <c r="T319" s="2" t="s">
        <v>66</v>
      </c>
      <c r="U319" s="4" t="n">
        <f aca="false">(M319+N319+O319+P319)/L319</f>
        <v>0.0555752003771806</v>
      </c>
      <c r="V319" s="2" t="str">
        <f aca="false">IF(S319&lt;=5,"Late night (0-5)",IF(S319&lt;=11,"Morning (6-11)",IF(S319&lt;=17,"Afternoon (12-17)","Evening (18-23)")))</f>
        <v>Evening (18-23)</v>
      </c>
    </row>
    <row r="320" customFormat="false" ht="15" hidden="false" customHeight="false" outlineLevel="0" collapsed="false">
      <c r="A320" s="2" t="s">
        <v>701</v>
      </c>
      <c r="B320" s="2" t="s">
        <v>206</v>
      </c>
      <c r="C320" s="2" t="s">
        <v>48</v>
      </c>
      <c r="D320" s="3" t="n">
        <v>45998</v>
      </c>
      <c r="E320" s="2" t="s">
        <v>702</v>
      </c>
      <c r="F320" s="2" t="s">
        <v>38</v>
      </c>
      <c r="G320" s="2" t="n">
        <v>42937</v>
      </c>
      <c r="H320" s="2" t="n">
        <v>21</v>
      </c>
      <c r="I320" s="2" t="n">
        <v>224</v>
      </c>
      <c r="J320" s="2" t="n">
        <v>1</v>
      </c>
      <c r="K320" s="2" t="n">
        <v>19097</v>
      </c>
      <c r="L320" s="2" t="n">
        <v>14799</v>
      </c>
      <c r="M320" s="2" t="n">
        <v>1068</v>
      </c>
      <c r="N320" s="2" t="n">
        <v>58</v>
      </c>
      <c r="O320" s="2" t="n">
        <v>187</v>
      </c>
      <c r="P320" s="2" t="n">
        <v>62</v>
      </c>
      <c r="Q320" s="2" t="n">
        <v>436</v>
      </c>
      <c r="R320" s="2" t="n">
        <v>126</v>
      </c>
      <c r="S320" s="2" t="n">
        <v>2</v>
      </c>
      <c r="T320" s="2" t="s">
        <v>27</v>
      </c>
      <c r="U320" s="4" t="n">
        <f aca="false">(M320+N320+O320+P320)/L320</f>
        <v>0.0929116832218393</v>
      </c>
      <c r="V320" s="2" t="str">
        <f aca="false">IF(S320&lt;=5,"Late night (0-5)",IF(S320&lt;=11,"Morning (6-11)",IF(S320&lt;=17,"Afternoon (12-17)","Evening (18-23)")))</f>
        <v>Late night (0-5)</v>
      </c>
    </row>
    <row r="321" customFormat="false" ht="15" hidden="false" customHeight="false" outlineLevel="0" collapsed="false">
      <c r="A321" s="2" t="s">
        <v>703</v>
      </c>
      <c r="B321" s="2" t="s">
        <v>68</v>
      </c>
      <c r="C321" s="2" t="s">
        <v>54</v>
      </c>
      <c r="D321" s="3" t="n">
        <v>45966</v>
      </c>
      <c r="E321" s="2" t="s">
        <v>704</v>
      </c>
      <c r="F321" s="2" t="s">
        <v>32</v>
      </c>
      <c r="G321" s="2" t="n">
        <v>35922</v>
      </c>
      <c r="H321" s="2" t="n">
        <v>9</v>
      </c>
      <c r="I321" s="2" t="n">
        <v>179</v>
      </c>
      <c r="J321" s="2" t="n">
        <v>0</v>
      </c>
      <c r="K321" s="2" t="n">
        <v>88463</v>
      </c>
      <c r="L321" s="2" t="n">
        <v>74296</v>
      </c>
      <c r="M321" s="2" t="n">
        <v>6556</v>
      </c>
      <c r="N321" s="2" t="n">
        <v>181</v>
      </c>
      <c r="O321" s="2" t="n">
        <v>980</v>
      </c>
      <c r="P321" s="2" t="n">
        <v>1172</v>
      </c>
      <c r="Q321" s="2" t="n">
        <v>520</v>
      </c>
      <c r="R321" s="2" t="n">
        <v>98</v>
      </c>
      <c r="S321" s="2" t="n">
        <v>19</v>
      </c>
      <c r="T321" s="2" t="s">
        <v>66</v>
      </c>
      <c r="U321" s="4" t="n">
        <f aca="false">(M321+N321+O321+P321)/L321</f>
        <v>0.119643049423926</v>
      </c>
      <c r="V321" s="2" t="str">
        <f aca="false">IF(S321&lt;=5,"Late night (0-5)",IF(S321&lt;=11,"Morning (6-11)",IF(S321&lt;=17,"Afternoon (12-17)","Evening (18-23)")))</f>
        <v>Evening (18-23)</v>
      </c>
    </row>
    <row r="322" customFormat="false" ht="15" hidden="false" customHeight="false" outlineLevel="0" collapsed="false">
      <c r="A322" s="2" t="s">
        <v>705</v>
      </c>
      <c r="B322" s="2" t="s">
        <v>126</v>
      </c>
      <c r="C322" s="2" t="s">
        <v>36</v>
      </c>
      <c r="D322" s="3" t="n">
        <v>45888</v>
      </c>
      <c r="E322" s="2" t="s">
        <v>706</v>
      </c>
      <c r="F322" s="2" t="s">
        <v>38</v>
      </c>
      <c r="G322" s="2" t="n">
        <v>28784</v>
      </c>
      <c r="H322" s="2" t="n">
        <v>16</v>
      </c>
      <c r="I322" s="2" t="n">
        <v>222</v>
      </c>
      <c r="J322" s="2" t="n">
        <v>1</v>
      </c>
      <c r="K322" s="2" t="n">
        <v>21703</v>
      </c>
      <c r="L322" s="2" t="n">
        <v>12948</v>
      </c>
      <c r="M322" s="2" t="n">
        <v>698</v>
      </c>
      <c r="N322" s="2" t="n">
        <v>55</v>
      </c>
      <c r="O322" s="2" t="n">
        <v>37</v>
      </c>
      <c r="P322" s="2" t="n">
        <v>148</v>
      </c>
      <c r="Q322" s="2" t="n">
        <v>209</v>
      </c>
      <c r="R322" s="2" t="n">
        <v>30</v>
      </c>
      <c r="S322" s="2" t="n">
        <v>1</v>
      </c>
      <c r="T322" s="2" t="s">
        <v>51</v>
      </c>
      <c r="U322" s="4" t="n">
        <f aca="false">(M322+N322+O322+P322)/L322</f>
        <v>0.0724436206363917</v>
      </c>
      <c r="V322" s="2" t="str">
        <f aca="false">IF(S322&lt;=5,"Late night (0-5)",IF(S322&lt;=11,"Morning (6-11)",IF(S322&lt;=17,"Afternoon (12-17)","Evening (18-23)")))</f>
        <v>Late night (0-5)</v>
      </c>
    </row>
    <row r="323" customFormat="false" ht="15" hidden="false" customHeight="false" outlineLevel="0" collapsed="false">
      <c r="A323" s="2" t="s">
        <v>707</v>
      </c>
      <c r="B323" s="2" t="s">
        <v>360</v>
      </c>
      <c r="C323" s="2" t="s">
        <v>48</v>
      </c>
      <c r="D323" s="3" t="n">
        <v>45873</v>
      </c>
      <c r="E323" s="2" t="s">
        <v>708</v>
      </c>
      <c r="F323" s="2" t="s">
        <v>32</v>
      </c>
      <c r="G323" s="2" t="n">
        <v>19542</v>
      </c>
      <c r="H323" s="2" t="n">
        <v>23</v>
      </c>
      <c r="I323" s="2" t="n">
        <v>141</v>
      </c>
      <c r="J323" s="2" t="n">
        <v>0</v>
      </c>
      <c r="K323" s="2" t="n">
        <v>43405</v>
      </c>
      <c r="L323" s="2" t="n">
        <v>32607</v>
      </c>
      <c r="M323" s="2" t="n">
        <v>1436</v>
      </c>
      <c r="N323" s="2" t="n">
        <v>105</v>
      </c>
      <c r="O323" s="2" t="n">
        <v>248</v>
      </c>
      <c r="P323" s="2" t="n">
        <v>107</v>
      </c>
      <c r="Q323" s="2" t="n">
        <v>599</v>
      </c>
      <c r="R323" s="2" t="n">
        <v>131</v>
      </c>
      <c r="S323" s="2" t="n">
        <v>14</v>
      </c>
      <c r="T323" s="2" t="s">
        <v>33</v>
      </c>
      <c r="U323" s="4" t="n">
        <f aca="false">(M323+N323+O323+P323)/L323</f>
        <v>0.0581470236452296</v>
      </c>
      <c r="V323" s="2" t="str">
        <f aca="false">IF(S323&lt;=5,"Late night (0-5)",IF(S323&lt;=11,"Morning (6-11)",IF(S323&lt;=17,"Afternoon (12-17)","Evening (18-23)")))</f>
        <v>Afternoon (12-17)</v>
      </c>
    </row>
    <row r="324" customFormat="false" ht="15" hidden="false" customHeight="false" outlineLevel="0" collapsed="false">
      <c r="A324" s="2" t="s">
        <v>709</v>
      </c>
      <c r="B324" s="2" t="s">
        <v>71</v>
      </c>
      <c r="C324" s="2" t="s">
        <v>48</v>
      </c>
      <c r="D324" s="3" t="n">
        <v>46021</v>
      </c>
      <c r="E324" s="2" t="s">
        <v>710</v>
      </c>
      <c r="F324" s="2" t="s">
        <v>26</v>
      </c>
      <c r="G324" s="2" t="n">
        <v>7316</v>
      </c>
      <c r="H324" s="2" t="n">
        <v>15</v>
      </c>
      <c r="I324" s="2" t="n">
        <v>167</v>
      </c>
      <c r="J324" s="2" t="n">
        <v>0</v>
      </c>
      <c r="K324" s="2" t="n">
        <v>16535</v>
      </c>
      <c r="L324" s="2" t="n">
        <v>10231</v>
      </c>
      <c r="M324" s="2" t="n">
        <v>736</v>
      </c>
      <c r="N324" s="2" t="n">
        <v>49</v>
      </c>
      <c r="O324" s="2" t="n">
        <v>62</v>
      </c>
      <c r="P324" s="2" t="n">
        <v>163</v>
      </c>
      <c r="Q324" s="2" t="n">
        <v>94</v>
      </c>
      <c r="R324" s="2" t="n">
        <v>27</v>
      </c>
      <c r="S324" s="2" t="n">
        <v>8</v>
      </c>
      <c r="T324" s="2" t="s">
        <v>51</v>
      </c>
      <c r="U324" s="4" t="n">
        <f aca="false">(M324+N324+O324+P324)/L324</f>
        <v>0.0987195777538853</v>
      </c>
      <c r="V324" s="2" t="str">
        <f aca="false">IF(S324&lt;=5,"Late night (0-5)",IF(S324&lt;=11,"Morning (6-11)",IF(S324&lt;=17,"Afternoon (12-17)","Evening (18-23)")))</f>
        <v>Morning (6-11)</v>
      </c>
    </row>
    <row r="325" customFormat="false" ht="15" hidden="false" customHeight="false" outlineLevel="0" collapsed="false">
      <c r="A325" s="2" t="s">
        <v>711</v>
      </c>
      <c r="B325" s="2" t="s">
        <v>148</v>
      </c>
      <c r="C325" s="2" t="s">
        <v>48</v>
      </c>
      <c r="D325" s="3" t="n">
        <v>45748</v>
      </c>
      <c r="E325" s="2" t="s">
        <v>258</v>
      </c>
      <c r="F325" s="2" t="s">
        <v>32</v>
      </c>
      <c r="G325" s="2" t="n">
        <v>46311</v>
      </c>
      <c r="H325" s="2" t="n">
        <v>13</v>
      </c>
      <c r="I325" s="2" t="n">
        <v>250</v>
      </c>
      <c r="J325" s="2" t="n">
        <v>1</v>
      </c>
      <c r="K325" s="2" t="n">
        <v>86985</v>
      </c>
      <c r="L325" s="2" t="n">
        <v>66620</v>
      </c>
      <c r="M325" s="2" t="n">
        <v>6410</v>
      </c>
      <c r="N325" s="2" t="n">
        <v>438</v>
      </c>
      <c r="O325" s="2" t="n">
        <v>583</v>
      </c>
      <c r="P325" s="2" t="n">
        <v>1356</v>
      </c>
      <c r="Q325" s="2" t="n">
        <v>1871</v>
      </c>
      <c r="R325" s="2" t="n">
        <v>174</v>
      </c>
      <c r="S325" s="2" t="n">
        <v>0</v>
      </c>
      <c r="T325" s="2" t="s">
        <v>51</v>
      </c>
      <c r="U325" s="4" t="n">
        <f aca="false">(M325+N325+O325+P325)/L325</f>
        <v>0.131897328129691</v>
      </c>
      <c r="V325" s="2" t="str">
        <f aca="false">IF(S325&lt;=5,"Late night (0-5)",IF(S325&lt;=11,"Morning (6-11)",IF(S325&lt;=17,"Afternoon (12-17)","Evening (18-23)")))</f>
        <v>Late night (0-5)</v>
      </c>
    </row>
    <row r="326" customFormat="false" ht="15" hidden="false" customHeight="false" outlineLevel="0" collapsed="false">
      <c r="A326" s="2" t="s">
        <v>712</v>
      </c>
      <c r="B326" s="2" t="s">
        <v>462</v>
      </c>
      <c r="C326" s="2" t="s">
        <v>84</v>
      </c>
      <c r="D326" s="3" t="n">
        <v>45910</v>
      </c>
      <c r="E326" s="2" t="s">
        <v>713</v>
      </c>
      <c r="F326" s="2" t="s">
        <v>32</v>
      </c>
      <c r="G326" s="2" t="n">
        <v>43510</v>
      </c>
      <c r="H326" s="2" t="n">
        <v>22</v>
      </c>
      <c r="I326" s="2" t="n">
        <v>183</v>
      </c>
      <c r="J326" s="2" t="n">
        <v>1</v>
      </c>
      <c r="K326" s="2" t="n">
        <v>121788</v>
      </c>
      <c r="L326" s="2" t="n">
        <v>89237</v>
      </c>
      <c r="M326" s="2" t="n">
        <v>5152</v>
      </c>
      <c r="N326" s="2" t="n">
        <v>312</v>
      </c>
      <c r="O326" s="2" t="n">
        <v>1492</v>
      </c>
      <c r="P326" s="2" t="n">
        <v>1259</v>
      </c>
      <c r="Q326" s="2" t="n">
        <v>1530</v>
      </c>
      <c r="R326" s="2" t="n">
        <v>245</v>
      </c>
      <c r="S326" s="2" t="n">
        <v>4</v>
      </c>
      <c r="T326" s="2" t="s">
        <v>66</v>
      </c>
      <c r="U326" s="4" t="n">
        <f aca="false">(M326+N326+O326+P326)/L326</f>
        <v>0.0920582269686341</v>
      </c>
      <c r="V326" s="2" t="str">
        <f aca="false">IF(S326&lt;=5,"Late night (0-5)",IF(S326&lt;=11,"Morning (6-11)",IF(S326&lt;=17,"Afternoon (12-17)","Evening (18-23)")))</f>
        <v>Late night (0-5)</v>
      </c>
    </row>
    <row r="327" customFormat="false" ht="15" hidden="false" customHeight="false" outlineLevel="0" collapsed="false">
      <c r="A327" s="2" t="s">
        <v>714</v>
      </c>
      <c r="B327" s="2" t="s">
        <v>193</v>
      </c>
      <c r="C327" s="2" t="s">
        <v>36</v>
      </c>
      <c r="D327" s="3" t="n">
        <v>45915</v>
      </c>
      <c r="E327" s="2" t="s">
        <v>361</v>
      </c>
      <c r="F327" s="2" t="s">
        <v>32</v>
      </c>
      <c r="G327" s="2" t="n">
        <v>26454</v>
      </c>
      <c r="H327" s="2" t="n">
        <v>11</v>
      </c>
      <c r="I327" s="2" t="n">
        <v>189</v>
      </c>
      <c r="J327" s="2" t="n">
        <v>1</v>
      </c>
      <c r="K327" s="2" t="n">
        <v>62174</v>
      </c>
      <c r="L327" s="2" t="n">
        <v>34818</v>
      </c>
      <c r="M327" s="2" t="n">
        <v>2599</v>
      </c>
      <c r="N327" s="2" t="n">
        <v>139</v>
      </c>
      <c r="O327" s="2" t="n">
        <v>122</v>
      </c>
      <c r="P327" s="2" t="n">
        <v>248</v>
      </c>
      <c r="Q327" s="2" t="n">
        <v>484</v>
      </c>
      <c r="R327" s="2" t="n">
        <v>141</v>
      </c>
      <c r="S327" s="2" t="n">
        <v>18</v>
      </c>
      <c r="T327" s="2" t="s">
        <v>33</v>
      </c>
      <c r="U327" s="4" t="n">
        <f aca="false">(M327+N327+O327+P327)/L327</f>
        <v>0.0892641737032569</v>
      </c>
      <c r="V327" s="2" t="str">
        <f aca="false">IF(S327&lt;=5,"Late night (0-5)",IF(S327&lt;=11,"Morning (6-11)",IF(S327&lt;=17,"Afternoon (12-17)","Evening (18-23)")))</f>
        <v>Evening (18-23)</v>
      </c>
    </row>
    <row r="328" customFormat="false" ht="15" hidden="false" customHeight="false" outlineLevel="0" collapsed="false">
      <c r="A328" s="2" t="s">
        <v>715</v>
      </c>
      <c r="B328" s="2" t="s">
        <v>193</v>
      </c>
      <c r="C328" s="2" t="s">
        <v>36</v>
      </c>
      <c r="D328" s="3" t="n">
        <v>45896</v>
      </c>
      <c r="E328" s="2" t="s">
        <v>716</v>
      </c>
      <c r="F328" s="2" t="s">
        <v>38</v>
      </c>
      <c r="G328" s="2" t="n">
        <v>26454</v>
      </c>
      <c r="H328" s="2" t="n">
        <v>13</v>
      </c>
      <c r="I328" s="2" t="n">
        <v>176</v>
      </c>
      <c r="J328" s="2" t="n">
        <v>1</v>
      </c>
      <c r="K328" s="2" t="n">
        <v>18336</v>
      </c>
      <c r="L328" s="2" t="n">
        <v>11110</v>
      </c>
      <c r="M328" s="2" t="n">
        <v>632</v>
      </c>
      <c r="N328" s="2" t="n">
        <v>33</v>
      </c>
      <c r="O328" s="2" t="n">
        <v>40</v>
      </c>
      <c r="P328" s="2" t="n">
        <v>96</v>
      </c>
      <c r="Q328" s="2" t="n">
        <v>100</v>
      </c>
      <c r="R328" s="2" t="n">
        <v>10</v>
      </c>
      <c r="S328" s="2" t="n">
        <v>6</v>
      </c>
      <c r="T328" s="2" t="s">
        <v>66</v>
      </c>
      <c r="U328" s="4" t="n">
        <f aca="false">(M328+N328+O328+P328)/L328</f>
        <v>0.0720972097209721</v>
      </c>
      <c r="V328" s="2" t="str">
        <f aca="false">IF(S328&lt;=5,"Late night (0-5)",IF(S328&lt;=11,"Morning (6-11)",IF(S328&lt;=17,"Afternoon (12-17)","Evening (18-23)")))</f>
        <v>Morning (6-11)</v>
      </c>
    </row>
    <row r="329" customFormat="false" ht="15" hidden="false" customHeight="false" outlineLevel="0" collapsed="false">
      <c r="A329" s="2" t="s">
        <v>717</v>
      </c>
      <c r="B329" s="2" t="s">
        <v>83</v>
      </c>
      <c r="C329" s="2" t="s">
        <v>84</v>
      </c>
      <c r="D329" s="3" t="n">
        <v>45942</v>
      </c>
      <c r="E329" s="2" t="s">
        <v>718</v>
      </c>
      <c r="F329" s="2" t="s">
        <v>38</v>
      </c>
      <c r="G329" s="2" t="n">
        <v>17918</v>
      </c>
      <c r="H329" s="2" t="n">
        <v>6</v>
      </c>
      <c r="I329" s="2" t="n">
        <v>151</v>
      </c>
      <c r="J329" s="2" t="n">
        <v>0</v>
      </c>
      <c r="K329" s="2" t="n">
        <v>23956</v>
      </c>
      <c r="L329" s="2" t="n">
        <v>15723</v>
      </c>
      <c r="M329" s="2" t="n">
        <v>801</v>
      </c>
      <c r="N329" s="2" t="n">
        <v>48</v>
      </c>
      <c r="O329" s="2" t="n">
        <v>149</v>
      </c>
      <c r="P329" s="2" t="n">
        <v>89</v>
      </c>
      <c r="Q329" s="2" t="n">
        <v>448</v>
      </c>
      <c r="R329" s="2" t="n">
        <v>45</v>
      </c>
      <c r="S329" s="2" t="n">
        <v>21</v>
      </c>
      <c r="T329" s="2" t="s">
        <v>27</v>
      </c>
      <c r="U329" s="4" t="n">
        <f aca="false">(M329+N329+O329+P329)/L329</f>
        <v>0.0691343891114927</v>
      </c>
      <c r="V329" s="2" t="str">
        <f aca="false">IF(S329&lt;=5,"Late night (0-5)",IF(S329&lt;=11,"Morning (6-11)",IF(S329&lt;=17,"Afternoon (12-17)","Evening (18-23)")))</f>
        <v>Evening (18-23)</v>
      </c>
    </row>
    <row r="330" customFormat="false" ht="15" hidden="false" customHeight="false" outlineLevel="0" collapsed="false">
      <c r="A330" s="2" t="s">
        <v>719</v>
      </c>
      <c r="B330" s="2" t="s">
        <v>206</v>
      </c>
      <c r="C330" s="2" t="s">
        <v>48</v>
      </c>
      <c r="D330" s="3" t="n">
        <v>45816</v>
      </c>
      <c r="E330" s="2" t="s">
        <v>720</v>
      </c>
      <c r="F330" s="2" t="s">
        <v>26</v>
      </c>
      <c r="G330" s="2" t="n">
        <v>42937</v>
      </c>
      <c r="H330" s="2" t="n">
        <v>16</v>
      </c>
      <c r="I330" s="2" t="n">
        <v>103</v>
      </c>
      <c r="J330" s="2" t="n">
        <v>0</v>
      </c>
      <c r="K330" s="2" t="n">
        <v>63744</v>
      </c>
      <c r="L330" s="2" t="n">
        <v>37591</v>
      </c>
      <c r="M330" s="2" t="n">
        <v>1318</v>
      </c>
      <c r="N330" s="2" t="n">
        <v>94</v>
      </c>
      <c r="O330" s="2" t="n">
        <v>171</v>
      </c>
      <c r="P330" s="2" t="n">
        <v>195</v>
      </c>
      <c r="Q330" s="2" t="n">
        <v>1106</v>
      </c>
      <c r="R330" s="2" t="n">
        <v>315</v>
      </c>
      <c r="S330" s="2" t="n">
        <v>0</v>
      </c>
      <c r="T330" s="2" t="s">
        <v>27</v>
      </c>
      <c r="U330" s="4" t="n">
        <f aca="false">(M330+N330+O330+P330)/L330</f>
        <v>0.0472985555053071</v>
      </c>
      <c r="V330" s="2" t="str">
        <f aca="false">IF(S330&lt;=5,"Late night (0-5)",IF(S330&lt;=11,"Morning (6-11)",IF(S330&lt;=17,"Afternoon (12-17)","Evening (18-23)")))</f>
        <v>Late night (0-5)</v>
      </c>
    </row>
    <row r="331" customFormat="false" ht="15" hidden="false" customHeight="false" outlineLevel="0" collapsed="false">
      <c r="A331" s="2" t="s">
        <v>721</v>
      </c>
      <c r="B331" s="2" t="s">
        <v>227</v>
      </c>
      <c r="C331" s="2" t="s">
        <v>54</v>
      </c>
      <c r="D331" s="3" t="n">
        <v>45769</v>
      </c>
      <c r="E331" s="2" t="s">
        <v>722</v>
      </c>
      <c r="F331" s="2" t="s">
        <v>32</v>
      </c>
      <c r="G331" s="2" t="n">
        <v>11796</v>
      </c>
      <c r="H331" s="2" t="n">
        <v>12</v>
      </c>
      <c r="I331" s="2" t="n">
        <v>150</v>
      </c>
      <c r="J331" s="2" t="n">
        <v>0</v>
      </c>
      <c r="K331" s="2" t="n">
        <v>6694</v>
      </c>
      <c r="L331" s="2" t="n">
        <v>5660</v>
      </c>
      <c r="M331" s="2" t="n">
        <v>603</v>
      </c>
      <c r="N331" s="2" t="n">
        <v>15</v>
      </c>
      <c r="O331" s="2" t="n">
        <v>81</v>
      </c>
      <c r="P331" s="2" t="n">
        <v>162</v>
      </c>
      <c r="Q331" s="2" t="n">
        <v>120</v>
      </c>
      <c r="R331" s="2" t="n">
        <v>15</v>
      </c>
      <c r="S331" s="2" t="n">
        <v>8</v>
      </c>
      <c r="T331" s="2" t="s">
        <v>51</v>
      </c>
      <c r="U331" s="4" t="n">
        <f aca="false">(M331+N331+O331+P331)/L331</f>
        <v>0.152120141342756</v>
      </c>
      <c r="V331" s="2" t="str">
        <f aca="false">IF(S331&lt;=5,"Late night (0-5)",IF(S331&lt;=11,"Morning (6-11)",IF(S331&lt;=17,"Afternoon (12-17)","Evening (18-23)")))</f>
        <v>Morning (6-11)</v>
      </c>
    </row>
    <row r="332" customFormat="false" ht="15" hidden="false" customHeight="false" outlineLevel="0" collapsed="false">
      <c r="A332" s="2" t="s">
        <v>723</v>
      </c>
      <c r="B332" s="2" t="s">
        <v>68</v>
      </c>
      <c r="C332" s="2" t="s">
        <v>54</v>
      </c>
      <c r="D332" s="3" t="n">
        <v>45866</v>
      </c>
      <c r="E332" s="2" t="s">
        <v>724</v>
      </c>
      <c r="F332" s="2" t="s">
        <v>26</v>
      </c>
      <c r="G332" s="2" t="n">
        <v>35922</v>
      </c>
      <c r="H332" s="2" t="n">
        <v>9</v>
      </c>
      <c r="I332" s="2" t="n">
        <v>54</v>
      </c>
      <c r="J332" s="2" t="n">
        <v>0</v>
      </c>
      <c r="K332" s="2" t="n">
        <v>48705</v>
      </c>
      <c r="L332" s="2" t="n">
        <v>40473</v>
      </c>
      <c r="M332" s="2" t="n">
        <v>3196</v>
      </c>
      <c r="N332" s="2" t="n">
        <v>71</v>
      </c>
      <c r="O332" s="2" t="n">
        <v>239</v>
      </c>
      <c r="P332" s="2" t="n">
        <v>287</v>
      </c>
      <c r="Q332" s="2" t="n">
        <v>877</v>
      </c>
      <c r="R332" s="2" t="n">
        <v>124</v>
      </c>
      <c r="S332" s="2" t="n">
        <v>11</v>
      </c>
      <c r="T332" s="2" t="s">
        <v>33</v>
      </c>
      <c r="U332" s="4" t="n">
        <f aca="false">(M332+N332+O332+P332)/L332</f>
        <v>0.0937167988535567</v>
      </c>
      <c r="V332" s="2" t="str">
        <f aca="false">IF(S332&lt;=5,"Late night (0-5)",IF(S332&lt;=11,"Morning (6-11)",IF(S332&lt;=17,"Afternoon (12-17)","Evening (18-23)")))</f>
        <v>Morning (6-11)</v>
      </c>
    </row>
    <row r="333" customFormat="false" ht="15" hidden="false" customHeight="false" outlineLevel="0" collapsed="false">
      <c r="A333" s="2" t="s">
        <v>725</v>
      </c>
      <c r="B333" s="2" t="s">
        <v>74</v>
      </c>
      <c r="C333" s="2" t="s">
        <v>30</v>
      </c>
      <c r="D333" s="3" t="n">
        <v>46001</v>
      </c>
      <c r="E333" s="2" t="s">
        <v>726</v>
      </c>
      <c r="F333" s="2" t="s">
        <v>26</v>
      </c>
      <c r="G333" s="2" t="n">
        <v>20432</v>
      </c>
      <c r="H333" s="2" t="n">
        <v>5</v>
      </c>
      <c r="I333" s="2" t="n">
        <v>213</v>
      </c>
      <c r="J333" s="2" t="n">
        <v>0</v>
      </c>
      <c r="K333" s="2" t="n">
        <v>11671</v>
      </c>
      <c r="L333" s="2" t="n">
        <v>9404</v>
      </c>
      <c r="M333" s="2" t="n">
        <v>539</v>
      </c>
      <c r="N333" s="2" t="n">
        <v>42</v>
      </c>
      <c r="O333" s="2" t="n">
        <v>42</v>
      </c>
      <c r="P333" s="2" t="n">
        <v>89</v>
      </c>
      <c r="Q333" s="2" t="n">
        <v>77</v>
      </c>
      <c r="R333" s="2" t="n">
        <v>13</v>
      </c>
      <c r="S333" s="2" t="n">
        <v>0</v>
      </c>
      <c r="T333" s="2" t="s">
        <v>66</v>
      </c>
      <c r="U333" s="4" t="n">
        <f aca="false">(M333+N333+O333+P333)/L333</f>
        <v>0.075712462781795</v>
      </c>
      <c r="V333" s="2" t="str">
        <f aca="false">IF(S333&lt;=5,"Late night (0-5)",IF(S333&lt;=11,"Morning (6-11)",IF(S333&lt;=17,"Afternoon (12-17)","Evening (18-23)")))</f>
        <v>Late night (0-5)</v>
      </c>
    </row>
    <row r="334" customFormat="false" ht="15" hidden="false" customHeight="false" outlineLevel="0" collapsed="false">
      <c r="A334" s="2" t="s">
        <v>727</v>
      </c>
      <c r="B334" s="2" t="s">
        <v>111</v>
      </c>
      <c r="C334" s="2" t="s">
        <v>48</v>
      </c>
      <c r="D334" s="3" t="n">
        <v>45771</v>
      </c>
      <c r="E334" s="2" t="s">
        <v>728</v>
      </c>
      <c r="F334" s="2" t="s">
        <v>32</v>
      </c>
      <c r="G334" s="2" t="n">
        <v>16824</v>
      </c>
      <c r="H334" s="2" t="n">
        <v>12</v>
      </c>
      <c r="I334" s="2" t="n">
        <v>109</v>
      </c>
      <c r="J334" s="2" t="n">
        <v>1</v>
      </c>
      <c r="K334" s="2" t="n">
        <v>28917</v>
      </c>
      <c r="L334" s="2" t="n">
        <v>25956</v>
      </c>
      <c r="M334" s="2" t="n">
        <v>1228</v>
      </c>
      <c r="N334" s="2" t="n">
        <v>73</v>
      </c>
      <c r="O334" s="2" t="n">
        <v>252</v>
      </c>
      <c r="P334" s="2" t="n">
        <v>348</v>
      </c>
      <c r="Q334" s="2" t="n">
        <v>647</v>
      </c>
      <c r="R334" s="2" t="n">
        <v>124</v>
      </c>
      <c r="S334" s="2" t="n">
        <v>6</v>
      </c>
      <c r="T334" s="2" t="s">
        <v>79</v>
      </c>
      <c r="U334" s="4" t="n">
        <f aca="false">(M334+N334+O334+P334)/L334</f>
        <v>0.073239328093697</v>
      </c>
      <c r="V334" s="2" t="str">
        <f aca="false">IF(S334&lt;=5,"Late night (0-5)",IF(S334&lt;=11,"Morning (6-11)",IF(S334&lt;=17,"Afternoon (12-17)","Evening (18-23)")))</f>
        <v>Morning (6-11)</v>
      </c>
    </row>
    <row r="335" customFormat="false" ht="15" hidden="false" customHeight="false" outlineLevel="0" collapsed="false">
      <c r="A335" s="2" t="s">
        <v>729</v>
      </c>
      <c r="B335" s="2" t="s">
        <v>459</v>
      </c>
      <c r="C335" s="2" t="s">
        <v>84</v>
      </c>
      <c r="D335" s="3" t="n">
        <v>45837</v>
      </c>
      <c r="E335" s="2" t="s">
        <v>730</v>
      </c>
      <c r="F335" s="2" t="s">
        <v>38</v>
      </c>
      <c r="G335" s="2" t="n">
        <v>19744</v>
      </c>
      <c r="H335" s="2" t="n">
        <v>8</v>
      </c>
      <c r="I335" s="2" t="n">
        <v>193</v>
      </c>
      <c r="J335" s="2" t="n">
        <v>1</v>
      </c>
      <c r="K335" s="2" t="n">
        <v>23715</v>
      </c>
      <c r="L335" s="2" t="n">
        <v>15977</v>
      </c>
      <c r="M335" s="2" t="n">
        <v>991</v>
      </c>
      <c r="N335" s="2" t="n">
        <v>27</v>
      </c>
      <c r="O335" s="2" t="n">
        <v>133</v>
      </c>
      <c r="P335" s="2" t="n">
        <v>297</v>
      </c>
      <c r="Q335" s="2" t="n">
        <v>313</v>
      </c>
      <c r="R335" s="2" t="n">
        <v>56</v>
      </c>
      <c r="S335" s="2" t="n">
        <v>0</v>
      </c>
      <c r="T335" s="2" t="s">
        <v>27</v>
      </c>
      <c r="U335" s="4" t="n">
        <f aca="false">(M335+N335+O335+P335)/L335</f>
        <v>0.0906302810289792</v>
      </c>
      <c r="V335" s="2" t="str">
        <f aca="false">IF(S335&lt;=5,"Late night (0-5)",IF(S335&lt;=11,"Morning (6-11)",IF(S335&lt;=17,"Afternoon (12-17)","Evening (18-23)")))</f>
        <v>Late night (0-5)</v>
      </c>
    </row>
    <row r="336" customFormat="false" ht="15" hidden="false" customHeight="false" outlineLevel="0" collapsed="false">
      <c r="A336" s="2" t="s">
        <v>731</v>
      </c>
      <c r="B336" s="2" t="s">
        <v>243</v>
      </c>
      <c r="C336" s="2" t="s">
        <v>91</v>
      </c>
      <c r="D336" s="3" t="n">
        <v>45722</v>
      </c>
      <c r="E336" s="2" t="s">
        <v>732</v>
      </c>
      <c r="F336" s="2" t="s">
        <v>38</v>
      </c>
      <c r="G336" s="2" t="n">
        <v>42046</v>
      </c>
      <c r="H336" s="2" t="n">
        <v>6</v>
      </c>
      <c r="I336" s="2" t="n">
        <v>90</v>
      </c>
      <c r="J336" s="2" t="n">
        <v>1</v>
      </c>
      <c r="K336" s="2" t="n">
        <v>11853</v>
      </c>
      <c r="L336" s="2" t="n">
        <v>10755</v>
      </c>
      <c r="M336" s="2" t="n">
        <v>631</v>
      </c>
      <c r="N336" s="2" t="n">
        <v>17</v>
      </c>
      <c r="O336" s="2" t="n">
        <v>111</v>
      </c>
      <c r="P336" s="2" t="n">
        <v>46</v>
      </c>
      <c r="Q336" s="2" t="n">
        <v>121</v>
      </c>
      <c r="R336" s="2" t="n">
        <v>6</v>
      </c>
      <c r="S336" s="2" t="n">
        <v>21</v>
      </c>
      <c r="T336" s="2" t="s">
        <v>79</v>
      </c>
      <c r="U336" s="4" t="n">
        <f aca="false">(M336+N336+O336+P336)/L336</f>
        <v>0.0748489074848907</v>
      </c>
      <c r="V336" s="2" t="str">
        <f aca="false">IF(S336&lt;=5,"Late night (0-5)",IF(S336&lt;=11,"Morning (6-11)",IF(S336&lt;=17,"Afternoon (12-17)","Evening (18-23)")))</f>
        <v>Evening (18-23)</v>
      </c>
    </row>
    <row r="337" customFormat="false" ht="15" hidden="false" customHeight="false" outlineLevel="0" collapsed="false">
      <c r="A337" s="2" t="s">
        <v>733</v>
      </c>
      <c r="B337" s="2" t="s">
        <v>90</v>
      </c>
      <c r="C337" s="2" t="s">
        <v>91</v>
      </c>
      <c r="D337" s="3" t="n">
        <v>45893</v>
      </c>
      <c r="E337" s="2" t="s">
        <v>653</v>
      </c>
      <c r="F337" s="2" t="s">
        <v>50</v>
      </c>
      <c r="G337" s="2" t="n">
        <v>54788</v>
      </c>
      <c r="H337" s="2" t="n">
        <v>11</v>
      </c>
      <c r="I337" s="2" t="n">
        <v>132</v>
      </c>
      <c r="J337" s="2" t="n">
        <v>1</v>
      </c>
      <c r="K337" s="2" t="n">
        <v>35824</v>
      </c>
      <c r="L337" s="2" t="n">
        <v>27018</v>
      </c>
      <c r="M337" s="2" t="n">
        <v>1769</v>
      </c>
      <c r="N337" s="2" t="n">
        <v>86</v>
      </c>
      <c r="O337" s="2" t="n">
        <v>332</v>
      </c>
      <c r="P337" s="2" t="n">
        <v>384</v>
      </c>
      <c r="Q337" s="2" t="n">
        <v>596</v>
      </c>
      <c r="R337" s="2" t="n">
        <v>102</v>
      </c>
      <c r="S337" s="2" t="n">
        <v>8</v>
      </c>
      <c r="T337" s="2" t="s">
        <v>27</v>
      </c>
      <c r="U337" s="4" t="n">
        <f aca="false">(M337+N337+O337+P337)/L337</f>
        <v>0.0951587830335332</v>
      </c>
      <c r="V337" s="2" t="str">
        <f aca="false">IF(S337&lt;=5,"Late night (0-5)",IF(S337&lt;=11,"Morning (6-11)",IF(S337&lt;=17,"Afternoon (12-17)","Evening (18-23)")))</f>
        <v>Morning (6-11)</v>
      </c>
    </row>
    <row r="338" customFormat="false" ht="15" hidden="false" customHeight="false" outlineLevel="0" collapsed="false">
      <c r="A338" s="2" t="s">
        <v>734</v>
      </c>
      <c r="B338" s="2" t="s">
        <v>60</v>
      </c>
      <c r="C338" s="2" t="s">
        <v>41</v>
      </c>
      <c r="D338" s="3" t="n">
        <v>45890</v>
      </c>
      <c r="E338" s="2" t="s">
        <v>735</v>
      </c>
      <c r="F338" s="2" t="s">
        <v>38</v>
      </c>
      <c r="G338" s="2" t="n">
        <v>7512</v>
      </c>
      <c r="H338" s="2" t="n">
        <v>20</v>
      </c>
      <c r="I338" s="2" t="n">
        <v>182</v>
      </c>
      <c r="J338" s="2" t="n">
        <v>0</v>
      </c>
      <c r="K338" s="2" t="n">
        <v>4355</v>
      </c>
      <c r="L338" s="2" t="n">
        <v>2907</v>
      </c>
      <c r="M338" s="2" t="n">
        <v>137</v>
      </c>
      <c r="N338" s="2" t="n">
        <v>8</v>
      </c>
      <c r="O338" s="2" t="n">
        <v>23</v>
      </c>
      <c r="P338" s="2" t="n">
        <v>22</v>
      </c>
      <c r="Q338" s="2" t="n">
        <v>86</v>
      </c>
      <c r="R338" s="2" t="n">
        <v>23</v>
      </c>
      <c r="S338" s="2" t="n">
        <v>5</v>
      </c>
      <c r="T338" s="2" t="s">
        <v>79</v>
      </c>
      <c r="U338" s="4" t="n">
        <f aca="false">(M338+N338+O338+P338)/L338</f>
        <v>0.065359477124183</v>
      </c>
      <c r="V338" s="2" t="str">
        <f aca="false">IF(S338&lt;=5,"Late night (0-5)",IF(S338&lt;=11,"Morning (6-11)",IF(S338&lt;=17,"Afternoon (12-17)","Evening (18-23)")))</f>
        <v>Late night (0-5)</v>
      </c>
    </row>
    <row r="339" customFormat="false" ht="15" hidden="false" customHeight="false" outlineLevel="0" collapsed="false">
      <c r="A339" s="2" t="s">
        <v>736</v>
      </c>
      <c r="B339" s="2" t="s">
        <v>390</v>
      </c>
      <c r="C339" s="2" t="s">
        <v>36</v>
      </c>
      <c r="D339" s="3" t="n">
        <v>45964</v>
      </c>
      <c r="E339" s="2" t="s">
        <v>737</v>
      </c>
      <c r="F339" s="2" t="s">
        <v>38</v>
      </c>
      <c r="G339" s="2" t="n">
        <v>30232</v>
      </c>
      <c r="H339" s="2" t="n">
        <v>26</v>
      </c>
      <c r="I339" s="2" t="n">
        <v>257</v>
      </c>
      <c r="J339" s="2" t="n">
        <v>1</v>
      </c>
      <c r="K339" s="2" t="n">
        <v>25651</v>
      </c>
      <c r="L339" s="2" t="n">
        <v>15331</v>
      </c>
      <c r="M339" s="2" t="n">
        <v>1110</v>
      </c>
      <c r="N339" s="2" t="n">
        <v>79</v>
      </c>
      <c r="O339" s="2" t="n">
        <v>103</v>
      </c>
      <c r="P339" s="2" t="n">
        <v>247</v>
      </c>
      <c r="Q339" s="2" t="n">
        <v>177</v>
      </c>
      <c r="R339" s="2" t="n">
        <v>28</v>
      </c>
      <c r="S339" s="2" t="n">
        <v>5</v>
      </c>
      <c r="T339" s="2" t="s">
        <v>33</v>
      </c>
      <c r="U339" s="4" t="n">
        <f aca="false">(M339+N339+O339+P339)/L339</f>
        <v>0.100384841171483</v>
      </c>
      <c r="V339" s="2" t="str">
        <f aca="false">IF(S339&lt;=5,"Late night (0-5)",IF(S339&lt;=11,"Morning (6-11)",IF(S339&lt;=17,"Afternoon (12-17)","Evening (18-23)")))</f>
        <v>Late night (0-5)</v>
      </c>
    </row>
    <row r="340" customFormat="false" ht="15" hidden="false" customHeight="false" outlineLevel="0" collapsed="false">
      <c r="A340" s="2" t="s">
        <v>738</v>
      </c>
      <c r="B340" s="2" t="s">
        <v>345</v>
      </c>
      <c r="C340" s="2" t="s">
        <v>30</v>
      </c>
      <c r="D340" s="3" t="n">
        <v>45817</v>
      </c>
      <c r="E340" s="2" t="s">
        <v>739</v>
      </c>
      <c r="F340" s="2" t="s">
        <v>38</v>
      </c>
      <c r="G340" s="2" t="n">
        <v>8662</v>
      </c>
      <c r="H340" s="2" t="n">
        <v>3</v>
      </c>
      <c r="I340" s="2" t="n">
        <v>285</v>
      </c>
      <c r="J340" s="2" t="n">
        <v>1</v>
      </c>
      <c r="K340" s="2" t="n">
        <v>8678</v>
      </c>
      <c r="L340" s="2" t="n">
        <v>4990</v>
      </c>
      <c r="M340" s="2" t="n">
        <v>326</v>
      </c>
      <c r="N340" s="2" t="n">
        <v>18</v>
      </c>
      <c r="O340" s="2" t="n">
        <v>34</v>
      </c>
      <c r="P340" s="2" t="n">
        <v>46</v>
      </c>
      <c r="Q340" s="2" t="n">
        <v>30</v>
      </c>
      <c r="R340" s="2" t="n">
        <v>2</v>
      </c>
      <c r="S340" s="2" t="n">
        <v>20</v>
      </c>
      <c r="T340" s="2" t="s">
        <v>33</v>
      </c>
      <c r="U340" s="4" t="n">
        <f aca="false">(M340+N340+O340+P340)/L340</f>
        <v>0.0849699398797595</v>
      </c>
      <c r="V340" s="2" t="str">
        <f aca="false">IF(S340&lt;=5,"Late night (0-5)",IF(S340&lt;=11,"Morning (6-11)",IF(S340&lt;=17,"Afternoon (12-17)","Evening (18-23)")))</f>
        <v>Evening (18-23)</v>
      </c>
    </row>
    <row r="341" customFormat="false" ht="15" hidden="false" customHeight="false" outlineLevel="0" collapsed="false">
      <c r="A341" s="2" t="s">
        <v>740</v>
      </c>
      <c r="B341" s="2" t="s">
        <v>126</v>
      </c>
      <c r="C341" s="2" t="s">
        <v>36</v>
      </c>
      <c r="D341" s="3" t="n">
        <v>45942</v>
      </c>
      <c r="E341" s="2" t="s">
        <v>741</v>
      </c>
      <c r="F341" s="2" t="s">
        <v>38</v>
      </c>
      <c r="G341" s="2" t="n">
        <v>28784</v>
      </c>
      <c r="H341" s="2" t="n">
        <v>6</v>
      </c>
      <c r="I341" s="2" t="n">
        <v>294</v>
      </c>
      <c r="J341" s="2" t="n">
        <v>0</v>
      </c>
      <c r="K341" s="2" t="n">
        <v>20285</v>
      </c>
      <c r="L341" s="2" t="n">
        <v>15532</v>
      </c>
      <c r="M341" s="2" t="n">
        <v>548</v>
      </c>
      <c r="N341" s="2" t="n">
        <v>38</v>
      </c>
      <c r="O341" s="2" t="n">
        <v>104</v>
      </c>
      <c r="P341" s="2" t="n">
        <v>144</v>
      </c>
      <c r="Q341" s="2" t="n">
        <v>207</v>
      </c>
      <c r="R341" s="2" t="n">
        <v>15</v>
      </c>
      <c r="S341" s="2" t="n">
        <v>19</v>
      </c>
      <c r="T341" s="2" t="s">
        <v>27</v>
      </c>
      <c r="U341" s="4" t="n">
        <f aca="false">(M341+N341+O341+P341)/L341</f>
        <v>0.053695596188514</v>
      </c>
      <c r="V341" s="2" t="str">
        <f aca="false">IF(S341&lt;=5,"Late night (0-5)",IF(S341&lt;=11,"Morning (6-11)",IF(S341&lt;=17,"Afternoon (12-17)","Evening (18-23)")))</f>
        <v>Evening (18-23)</v>
      </c>
    </row>
    <row r="342" customFormat="false" ht="15" hidden="false" customHeight="false" outlineLevel="0" collapsed="false">
      <c r="A342" s="2" t="s">
        <v>742</v>
      </c>
      <c r="B342" s="2" t="s">
        <v>307</v>
      </c>
      <c r="C342" s="2" t="s">
        <v>48</v>
      </c>
      <c r="D342" s="3" t="n">
        <v>45668</v>
      </c>
      <c r="E342" s="2" t="s">
        <v>743</v>
      </c>
      <c r="F342" s="2" t="s">
        <v>50</v>
      </c>
      <c r="G342" s="2" t="n">
        <v>91358</v>
      </c>
      <c r="H342" s="2" t="n">
        <v>12</v>
      </c>
      <c r="I342" s="2" t="n">
        <v>189</v>
      </c>
      <c r="J342" s="2" t="n">
        <v>1</v>
      </c>
      <c r="K342" s="2" t="n">
        <v>89952</v>
      </c>
      <c r="L342" s="2" t="n">
        <v>55500</v>
      </c>
      <c r="M342" s="2" t="n">
        <v>4933</v>
      </c>
      <c r="N342" s="2" t="n">
        <v>392</v>
      </c>
      <c r="O342" s="2" t="n">
        <v>805</v>
      </c>
      <c r="P342" s="2" t="n">
        <v>446</v>
      </c>
      <c r="Q342" s="2" t="n">
        <v>1634</v>
      </c>
      <c r="R342" s="2" t="n">
        <v>215</v>
      </c>
      <c r="S342" s="2" t="n">
        <v>14</v>
      </c>
      <c r="T342" s="2" t="s">
        <v>62</v>
      </c>
      <c r="U342" s="4" t="n">
        <f aca="false">(M342+N342+O342+P342)/L342</f>
        <v>0.118486486486486</v>
      </c>
      <c r="V342" s="2" t="str">
        <f aca="false">IF(S342&lt;=5,"Late night (0-5)",IF(S342&lt;=11,"Morning (6-11)",IF(S342&lt;=17,"Afternoon (12-17)","Evening (18-23)")))</f>
        <v>Afternoon (12-17)</v>
      </c>
    </row>
    <row r="343" customFormat="false" ht="15" hidden="false" customHeight="false" outlineLevel="0" collapsed="false">
      <c r="A343" s="2" t="s">
        <v>744</v>
      </c>
      <c r="B343" s="2" t="s">
        <v>319</v>
      </c>
      <c r="C343" s="2" t="s">
        <v>84</v>
      </c>
      <c r="D343" s="3" t="n">
        <v>45704</v>
      </c>
      <c r="E343" s="2" t="s">
        <v>745</v>
      </c>
      <c r="F343" s="2" t="s">
        <v>32</v>
      </c>
      <c r="G343" s="2" t="n">
        <v>49810</v>
      </c>
      <c r="H343" s="2" t="n">
        <v>14</v>
      </c>
      <c r="I343" s="2" t="n">
        <v>10</v>
      </c>
      <c r="J343" s="2" t="n">
        <v>0</v>
      </c>
      <c r="K343" s="2" t="n">
        <v>161057</v>
      </c>
      <c r="L343" s="2" t="n">
        <v>117796</v>
      </c>
      <c r="M343" s="2" t="n">
        <v>9722</v>
      </c>
      <c r="N343" s="2" t="n">
        <v>730</v>
      </c>
      <c r="O343" s="2" t="n">
        <v>1030</v>
      </c>
      <c r="P343" s="2" t="n">
        <v>1945</v>
      </c>
      <c r="Q343" s="2" t="n">
        <v>1011</v>
      </c>
      <c r="R343" s="2" t="n">
        <v>239</v>
      </c>
      <c r="S343" s="2" t="n">
        <v>17</v>
      </c>
      <c r="T343" s="2" t="s">
        <v>27</v>
      </c>
      <c r="U343" s="4" t="n">
        <f aca="false">(M343+N343+O343+P343)/L343</f>
        <v>0.113985194743455</v>
      </c>
      <c r="V343" s="2" t="str">
        <f aca="false">IF(S343&lt;=5,"Late night (0-5)",IF(S343&lt;=11,"Morning (6-11)",IF(S343&lt;=17,"Afternoon (12-17)","Evening (18-23)")))</f>
        <v>Afternoon (12-17)</v>
      </c>
    </row>
    <row r="344" customFormat="false" ht="15" hidden="false" customHeight="false" outlineLevel="0" collapsed="false">
      <c r="A344" s="2" t="s">
        <v>746</v>
      </c>
      <c r="B344" s="2" t="s">
        <v>360</v>
      </c>
      <c r="C344" s="2" t="s">
        <v>48</v>
      </c>
      <c r="D344" s="3" t="n">
        <v>45952</v>
      </c>
      <c r="E344" s="2" t="s">
        <v>747</v>
      </c>
      <c r="F344" s="2" t="s">
        <v>26</v>
      </c>
      <c r="G344" s="2" t="n">
        <v>19542</v>
      </c>
      <c r="H344" s="2" t="n">
        <v>17</v>
      </c>
      <c r="I344" s="2" t="n">
        <v>170</v>
      </c>
      <c r="J344" s="2" t="n">
        <v>0</v>
      </c>
      <c r="K344" s="2" t="n">
        <v>17620</v>
      </c>
      <c r="L344" s="2" t="n">
        <v>10324</v>
      </c>
      <c r="M344" s="2" t="n">
        <v>463</v>
      </c>
      <c r="N344" s="2" t="n">
        <v>10</v>
      </c>
      <c r="O344" s="2" t="n">
        <v>89</v>
      </c>
      <c r="P344" s="2" t="n">
        <v>42</v>
      </c>
      <c r="Q344" s="2" t="n">
        <v>284</v>
      </c>
      <c r="R344" s="2" t="n">
        <v>57</v>
      </c>
      <c r="S344" s="2" t="n">
        <v>17</v>
      </c>
      <c r="T344" s="2" t="s">
        <v>66</v>
      </c>
      <c r="U344" s="4" t="n">
        <f aca="false">(M344+N344+O344+P344)/L344</f>
        <v>0.0585044556373499</v>
      </c>
      <c r="V344" s="2" t="str">
        <f aca="false">IF(S344&lt;=5,"Late night (0-5)",IF(S344&lt;=11,"Morning (6-11)",IF(S344&lt;=17,"Afternoon (12-17)","Evening (18-23)")))</f>
        <v>Afternoon (12-17)</v>
      </c>
    </row>
    <row r="345" customFormat="false" ht="15" hidden="false" customHeight="false" outlineLevel="0" collapsed="false">
      <c r="A345" s="2" t="s">
        <v>748</v>
      </c>
      <c r="B345" s="2" t="s">
        <v>77</v>
      </c>
      <c r="C345" s="2" t="s">
        <v>30</v>
      </c>
      <c r="D345" s="3" t="n">
        <v>45661</v>
      </c>
      <c r="E345" s="2" t="s">
        <v>107</v>
      </c>
      <c r="F345" s="2" t="s">
        <v>50</v>
      </c>
      <c r="G345" s="2" t="n">
        <v>17548</v>
      </c>
      <c r="H345" s="2" t="n">
        <v>9</v>
      </c>
      <c r="I345" s="2" t="n">
        <v>241</v>
      </c>
      <c r="J345" s="2" t="n">
        <v>1</v>
      </c>
      <c r="K345" s="2" t="n">
        <v>3124</v>
      </c>
      <c r="L345" s="2" t="n">
        <v>2339</v>
      </c>
      <c r="M345" s="2" t="n">
        <v>172</v>
      </c>
      <c r="N345" s="2" t="n">
        <v>8</v>
      </c>
      <c r="O345" s="2" t="n">
        <v>12</v>
      </c>
      <c r="P345" s="2" t="n">
        <v>26</v>
      </c>
      <c r="Q345" s="2" t="n">
        <v>52</v>
      </c>
      <c r="R345" s="2" t="n">
        <v>12</v>
      </c>
      <c r="S345" s="2" t="n">
        <v>3</v>
      </c>
      <c r="T345" s="2" t="s">
        <v>62</v>
      </c>
      <c r="U345" s="4" t="n">
        <f aca="false">(M345+N345+O345+P345)/L345</f>
        <v>0.0932022231722959</v>
      </c>
      <c r="V345" s="2" t="str">
        <f aca="false">IF(S345&lt;=5,"Late night (0-5)",IF(S345&lt;=11,"Morning (6-11)",IF(S345&lt;=17,"Afternoon (12-17)","Evening (18-23)")))</f>
        <v>Late night (0-5)</v>
      </c>
    </row>
    <row r="346" customFormat="false" ht="15" hidden="false" customHeight="false" outlineLevel="0" collapsed="false">
      <c r="A346" s="2" t="s">
        <v>749</v>
      </c>
      <c r="B346" s="2" t="s">
        <v>188</v>
      </c>
      <c r="C346" s="2" t="s">
        <v>30</v>
      </c>
      <c r="D346" s="3" t="n">
        <v>45688</v>
      </c>
      <c r="E346" s="2" t="s">
        <v>750</v>
      </c>
      <c r="F346" s="2" t="s">
        <v>32</v>
      </c>
      <c r="G346" s="2" t="n">
        <v>38900</v>
      </c>
      <c r="H346" s="2" t="n">
        <v>11</v>
      </c>
      <c r="I346" s="2" t="n">
        <v>195</v>
      </c>
      <c r="J346" s="2" t="n">
        <v>0</v>
      </c>
      <c r="K346" s="2" t="n">
        <v>137018</v>
      </c>
      <c r="L346" s="2" t="n">
        <v>76410</v>
      </c>
      <c r="M346" s="2" t="n">
        <v>5648</v>
      </c>
      <c r="N346" s="2" t="n">
        <v>329</v>
      </c>
      <c r="O346" s="2" t="n">
        <v>1492</v>
      </c>
      <c r="P346" s="2" t="n">
        <v>1599</v>
      </c>
      <c r="Q346" s="2" t="n">
        <v>771</v>
      </c>
      <c r="R346" s="2" t="n">
        <v>140</v>
      </c>
      <c r="S346" s="2" t="n">
        <v>19</v>
      </c>
      <c r="T346" s="2" t="s">
        <v>96</v>
      </c>
      <c r="U346" s="4" t="n">
        <f aca="false">(M346+N346+O346+P346)/L346</f>
        <v>0.118675566025389</v>
      </c>
      <c r="V346" s="2" t="str">
        <f aca="false">IF(S346&lt;=5,"Late night (0-5)",IF(S346&lt;=11,"Morning (6-11)",IF(S346&lt;=17,"Afternoon (12-17)","Evening (18-23)")))</f>
        <v>Evening (18-23)</v>
      </c>
    </row>
    <row r="347" customFormat="false" ht="15" hidden="false" customHeight="false" outlineLevel="0" collapsed="false">
      <c r="A347" s="2" t="s">
        <v>751</v>
      </c>
      <c r="B347" s="2" t="s">
        <v>35</v>
      </c>
      <c r="C347" s="2" t="s">
        <v>36</v>
      </c>
      <c r="D347" s="3" t="n">
        <v>45847</v>
      </c>
      <c r="E347" s="2" t="s">
        <v>752</v>
      </c>
      <c r="F347" s="2" t="s">
        <v>38</v>
      </c>
      <c r="G347" s="2" t="n">
        <v>33933</v>
      </c>
      <c r="H347" s="2" t="n">
        <v>8</v>
      </c>
      <c r="I347" s="2" t="n">
        <v>235</v>
      </c>
      <c r="J347" s="2" t="n">
        <v>1</v>
      </c>
      <c r="K347" s="2" t="n">
        <v>18481</v>
      </c>
      <c r="L347" s="2" t="n">
        <v>13229</v>
      </c>
      <c r="M347" s="2" t="n">
        <v>404</v>
      </c>
      <c r="N347" s="2" t="n">
        <v>30</v>
      </c>
      <c r="O347" s="2" t="n">
        <v>43</v>
      </c>
      <c r="P347" s="2" t="n">
        <v>116</v>
      </c>
      <c r="Q347" s="2" t="n">
        <v>160</v>
      </c>
      <c r="R347" s="2" t="n">
        <v>42</v>
      </c>
      <c r="S347" s="2" t="n">
        <v>9</v>
      </c>
      <c r="T347" s="2" t="s">
        <v>66</v>
      </c>
      <c r="U347" s="4" t="n">
        <f aca="false">(M347+N347+O347+P347)/L347</f>
        <v>0.0448257615843979</v>
      </c>
      <c r="V347" s="2" t="str">
        <f aca="false">IF(S347&lt;=5,"Late night (0-5)",IF(S347&lt;=11,"Morning (6-11)",IF(S347&lt;=17,"Afternoon (12-17)","Evening (18-23)")))</f>
        <v>Morning (6-11)</v>
      </c>
    </row>
    <row r="348" customFormat="false" ht="15" hidden="false" customHeight="false" outlineLevel="0" collapsed="false">
      <c r="A348" s="2" t="s">
        <v>753</v>
      </c>
      <c r="B348" s="2" t="s">
        <v>390</v>
      </c>
      <c r="C348" s="2" t="s">
        <v>36</v>
      </c>
      <c r="D348" s="3" t="n">
        <v>45881</v>
      </c>
      <c r="E348" s="2" t="s">
        <v>754</v>
      </c>
      <c r="F348" s="2" t="s">
        <v>50</v>
      </c>
      <c r="G348" s="2" t="n">
        <v>30232</v>
      </c>
      <c r="H348" s="2" t="n">
        <v>13</v>
      </c>
      <c r="I348" s="2" t="n">
        <v>25</v>
      </c>
      <c r="J348" s="2" t="n">
        <v>0</v>
      </c>
      <c r="K348" s="2" t="n">
        <v>39780</v>
      </c>
      <c r="L348" s="2" t="n">
        <v>24269</v>
      </c>
      <c r="M348" s="2" t="n">
        <v>1891</v>
      </c>
      <c r="N348" s="2" t="n">
        <v>106</v>
      </c>
      <c r="O348" s="2" t="n">
        <v>332</v>
      </c>
      <c r="P348" s="2" t="n">
        <v>140</v>
      </c>
      <c r="Q348" s="2" t="n">
        <v>288</v>
      </c>
      <c r="R348" s="2" t="n">
        <v>44</v>
      </c>
      <c r="S348" s="2" t="n">
        <v>13</v>
      </c>
      <c r="T348" s="2" t="s">
        <v>51</v>
      </c>
      <c r="U348" s="4" t="n">
        <f aca="false">(M348+N348+O348+P348)/L348</f>
        <v>0.101734723309572</v>
      </c>
      <c r="V348" s="2" t="str">
        <f aca="false">IF(S348&lt;=5,"Late night (0-5)",IF(S348&lt;=11,"Morning (6-11)",IF(S348&lt;=17,"Afternoon (12-17)","Evening (18-23)")))</f>
        <v>Afternoon (12-17)</v>
      </c>
    </row>
    <row r="349" customFormat="false" ht="15" hidden="false" customHeight="false" outlineLevel="0" collapsed="false">
      <c r="A349" s="2" t="s">
        <v>755</v>
      </c>
      <c r="B349" s="2" t="s">
        <v>452</v>
      </c>
      <c r="C349" s="2" t="s">
        <v>91</v>
      </c>
      <c r="D349" s="3" t="n">
        <v>45690</v>
      </c>
      <c r="E349" s="2" t="s">
        <v>756</v>
      </c>
      <c r="F349" s="2" t="s">
        <v>50</v>
      </c>
      <c r="G349" s="2" t="n">
        <v>14201</v>
      </c>
      <c r="H349" s="2" t="n">
        <v>12</v>
      </c>
      <c r="I349" s="2" t="n">
        <v>204</v>
      </c>
      <c r="J349" s="2" t="n">
        <v>1</v>
      </c>
      <c r="K349" s="2" t="n">
        <v>5065</v>
      </c>
      <c r="L349" s="2" t="n">
        <v>3007</v>
      </c>
      <c r="M349" s="2" t="n">
        <v>243</v>
      </c>
      <c r="N349" s="2" t="n">
        <v>10</v>
      </c>
      <c r="O349" s="2" t="n">
        <v>19</v>
      </c>
      <c r="P349" s="2" t="n">
        <v>42</v>
      </c>
      <c r="Q349" s="2" t="n">
        <v>77</v>
      </c>
      <c r="R349" s="2" t="n">
        <v>16</v>
      </c>
      <c r="S349" s="2" t="n">
        <v>10</v>
      </c>
      <c r="T349" s="2" t="s">
        <v>27</v>
      </c>
      <c r="U349" s="4" t="n">
        <f aca="false">(M349+N349+O349+P349)/L349</f>
        <v>0.104423012969737</v>
      </c>
      <c r="V349" s="2" t="str">
        <f aca="false">IF(S349&lt;=5,"Late night (0-5)",IF(S349&lt;=11,"Morning (6-11)",IF(S349&lt;=17,"Afternoon (12-17)","Evening (18-23)")))</f>
        <v>Morning (6-11)</v>
      </c>
    </row>
    <row r="350" customFormat="false" ht="15" hidden="false" customHeight="false" outlineLevel="0" collapsed="false">
      <c r="A350" s="2" t="s">
        <v>757</v>
      </c>
      <c r="B350" s="2" t="s">
        <v>360</v>
      </c>
      <c r="C350" s="2" t="s">
        <v>48</v>
      </c>
      <c r="D350" s="3" t="n">
        <v>45993</v>
      </c>
      <c r="E350" s="2" t="s">
        <v>758</v>
      </c>
      <c r="F350" s="2" t="s">
        <v>38</v>
      </c>
      <c r="G350" s="2" t="n">
        <v>19542</v>
      </c>
      <c r="H350" s="2" t="n">
        <v>25</v>
      </c>
      <c r="I350" s="2" t="n">
        <v>264</v>
      </c>
      <c r="J350" s="2" t="n">
        <v>1</v>
      </c>
      <c r="K350" s="2" t="n">
        <v>14088</v>
      </c>
      <c r="L350" s="2" t="n">
        <v>9275</v>
      </c>
      <c r="M350" s="2" t="n">
        <v>789</v>
      </c>
      <c r="N350" s="2" t="n">
        <v>34</v>
      </c>
      <c r="O350" s="2" t="n">
        <v>110</v>
      </c>
      <c r="P350" s="2" t="n">
        <v>146</v>
      </c>
      <c r="Q350" s="2" t="n">
        <v>252</v>
      </c>
      <c r="R350" s="2" t="n">
        <v>65</v>
      </c>
      <c r="S350" s="2" t="n">
        <v>8</v>
      </c>
      <c r="T350" s="2" t="s">
        <v>51</v>
      </c>
      <c r="U350" s="4" t="n">
        <f aca="false">(M350+N350+O350+P350)/L350</f>
        <v>0.11633423180593</v>
      </c>
      <c r="V350" s="2" t="str">
        <f aca="false">IF(S350&lt;=5,"Late night (0-5)",IF(S350&lt;=11,"Morning (6-11)",IF(S350&lt;=17,"Afternoon (12-17)","Evening (18-23)")))</f>
        <v>Morning (6-11)</v>
      </c>
    </row>
    <row r="351" customFormat="false" ht="15" hidden="false" customHeight="false" outlineLevel="0" collapsed="false">
      <c r="A351" s="2" t="s">
        <v>759</v>
      </c>
      <c r="B351" s="2" t="s">
        <v>90</v>
      </c>
      <c r="C351" s="2" t="s">
        <v>91</v>
      </c>
      <c r="D351" s="3" t="n">
        <v>46021</v>
      </c>
      <c r="E351" s="2" t="s">
        <v>760</v>
      </c>
      <c r="F351" s="2" t="s">
        <v>32</v>
      </c>
      <c r="G351" s="2" t="n">
        <v>54788</v>
      </c>
      <c r="H351" s="2" t="n">
        <v>13</v>
      </c>
      <c r="I351" s="2" t="n">
        <v>221</v>
      </c>
      <c r="J351" s="2" t="n">
        <v>0</v>
      </c>
      <c r="K351" s="2" t="n">
        <v>110716</v>
      </c>
      <c r="L351" s="2" t="n">
        <v>91347</v>
      </c>
      <c r="M351" s="2" t="n">
        <v>8175</v>
      </c>
      <c r="N351" s="2" t="n">
        <v>229</v>
      </c>
      <c r="O351" s="2" t="n">
        <v>1146</v>
      </c>
      <c r="P351" s="2" t="n">
        <v>1462</v>
      </c>
      <c r="Q351" s="2" t="n">
        <v>569</v>
      </c>
      <c r="R351" s="2" t="n">
        <v>50</v>
      </c>
      <c r="S351" s="2" t="n">
        <v>9</v>
      </c>
      <c r="T351" s="2" t="s">
        <v>51</v>
      </c>
      <c r="U351" s="4" t="n">
        <f aca="false">(M351+N351+O351+P351)/L351</f>
        <v>0.120551304366865</v>
      </c>
      <c r="V351" s="2" t="str">
        <f aca="false">IF(S351&lt;=5,"Late night (0-5)",IF(S351&lt;=11,"Morning (6-11)",IF(S351&lt;=17,"Afternoon (12-17)","Evening (18-23)")))</f>
        <v>Morning (6-11)</v>
      </c>
    </row>
    <row r="352" customFormat="false" ht="15" hidden="false" customHeight="false" outlineLevel="0" collapsed="false">
      <c r="A352" s="2" t="s">
        <v>761</v>
      </c>
      <c r="B352" s="2" t="s">
        <v>327</v>
      </c>
      <c r="C352" s="2" t="s">
        <v>91</v>
      </c>
      <c r="D352" s="3" t="n">
        <v>45905</v>
      </c>
      <c r="E352" s="2" t="s">
        <v>762</v>
      </c>
      <c r="F352" s="2" t="s">
        <v>32</v>
      </c>
      <c r="G352" s="2" t="n">
        <v>16943</v>
      </c>
      <c r="H352" s="2" t="n">
        <v>4</v>
      </c>
      <c r="I352" s="2" t="n">
        <v>40</v>
      </c>
      <c r="J352" s="2" t="n">
        <v>0</v>
      </c>
      <c r="K352" s="2" t="n">
        <v>17899</v>
      </c>
      <c r="L352" s="2" t="n">
        <v>13158</v>
      </c>
      <c r="M352" s="2" t="n">
        <v>735</v>
      </c>
      <c r="N352" s="2" t="n">
        <v>47</v>
      </c>
      <c r="O352" s="2" t="n">
        <v>39</v>
      </c>
      <c r="P352" s="2" t="n">
        <v>172</v>
      </c>
      <c r="Q352" s="2" t="n">
        <v>134</v>
      </c>
      <c r="R352" s="2" t="n">
        <v>36</v>
      </c>
      <c r="S352" s="2" t="n">
        <v>7</v>
      </c>
      <c r="T352" s="2" t="s">
        <v>96</v>
      </c>
      <c r="U352" s="4" t="n">
        <f aca="false">(M352+N352+O352+P352)/L352</f>
        <v>0.0754673962608299</v>
      </c>
      <c r="V352" s="2" t="str">
        <f aca="false">IF(S352&lt;=5,"Late night (0-5)",IF(S352&lt;=11,"Morning (6-11)",IF(S352&lt;=17,"Afternoon (12-17)","Evening (18-23)")))</f>
        <v>Morning (6-11)</v>
      </c>
    </row>
    <row r="353" customFormat="false" ht="15" hidden="false" customHeight="false" outlineLevel="0" collapsed="false">
      <c r="A353" s="2" t="s">
        <v>763</v>
      </c>
      <c r="B353" s="2" t="s">
        <v>111</v>
      </c>
      <c r="C353" s="2" t="s">
        <v>48</v>
      </c>
      <c r="D353" s="3" t="n">
        <v>46008</v>
      </c>
      <c r="E353" s="2" t="s">
        <v>764</v>
      </c>
      <c r="F353" s="2" t="s">
        <v>38</v>
      </c>
      <c r="G353" s="2" t="n">
        <v>16824</v>
      </c>
      <c r="H353" s="2" t="n">
        <v>10</v>
      </c>
      <c r="I353" s="2" t="n">
        <v>304</v>
      </c>
      <c r="J353" s="2" t="n">
        <v>0</v>
      </c>
      <c r="K353" s="2" t="n">
        <v>7386</v>
      </c>
      <c r="L353" s="2" t="n">
        <v>6437</v>
      </c>
      <c r="M353" s="2" t="n">
        <v>297</v>
      </c>
      <c r="N353" s="2" t="n">
        <v>18</v>
      </c>
      <c r="O353" s="2" t="n">
        <v>33</v>
      </c>
      <c r="P353" s="2" t="n">
        <v>55</v>
      </c>
      <c r="Q353" s="2" t="n">
        <v>128</v>
      </c>
      <c r="R353" s="2" t="n">
        <v>18</v>
      </c>
      <c r="S353" s="2" t="n">
        <v>13</v>
      </c>
      <c r="T353" s="2" t="s">
        <v>66</v>
      </c>
      <c r="U353" s="4" t="n">
        <f aca="false">(M353+N353+O353+P353)/L353</f>
        <v>0.0626068044119932</v>
      </c>
      <c r="V353" s="2" t="str">
        <f aca="false">IF(S353&lt;=5,"Late night (0-5)",IF(S353&lt;=11,"Morning (6-11)",IF(S353&lt;=17,"Afternoon (12-17)","Evening (18-23)")))</f>
        <v>Afternoon (12-17)</v>
      </c>
    </row>
    <row r="354" customFormat="false" ht="15" hidden="false" customHeight="false" outlineLevel="0" collapsed="false">
      <c r="A354" s="2" t="s">
        <v>765</v>
      </c>
      <c r="B354" s="2" t="s">
        <v>138</v>
      </c>
      <c r="C354" s="2" t="s">
        <v>41</v>
      </c>
      <c r="D354" s="3" t="n">
        <v>45769</v>
      </c>
      <c r="E354" s="2" t="s">
        <v>301</v>
      </c>
      <c r="F354" s="2" t="s">
        <v>38</v>
      </c>
      <c r="G354" s="2" t="n">
        <v>18712</v>
      </c>
      <c r="H354" s="2" t="n">
        <v>22</v>
      </c>
      <c r="I354" s="2" t="n">
        <v>10</v>
      </c>
      <c r="J354" s="2" t="n">
        <v>0</v>
      </c>
      <c r="K354" s="2" t="n">
        <v>17653</v>
      </c>
      <c r="L354" s="2" t="n">
        <v>11312</v>
      </c>
      <c r="M354" s="2" t="n">
        <v>524</v>
      </c>
      <c r="N354" s="2" t="n">
        <v>14</v>
      </c>
      <c r="O354" s="2" t="n">
        <v>28</v>
      </c>
      <c r="P354" s="2" t="n">
        <v>148</v>
      </c>
      <c r="Q354" s="2" t="n">
        <v>249</v>
      </c>
      <c r="R354" s="2" t="n">
        <v>15</v>
      </c>
      <c r="S354" s="2" t="n">
        <v>16</v>
      </c>
      <c r="T354" s="2" t="s">
        <v>51</v>
      </c>
      <c r="U354" s="4" t="n">
        <f aca="false">(M354+N354+O354+P354)/L354</f>
        <v>0.0631188118811881</v>
      </c>
      <c r="V354" s="2" t="str">
        <f aca="false">IF(S354&lt;=5,"Late night (0-5)",IF(S354&lt;=11,"Morning (6-11)",IF(S354&lt;=17,"Afternoon (12-17)","Evening (18-23)")))</f>
        <v>Afternoon (12-17)</v>
      </c>
    </row>
    <row r="355" customFormat="false" ht="15" hidden="false" customHeight="false" outlineLevel="0" collapsed="false">
      <c r="A355" s="2" t="s">
        <v>766</v>
      </c>
      <c r="B355" s="2" t="s">
        <v>114</v>
      </c>
      <c r="C355" s="2" t="s">
        <v>84</v>
      </c>
      <c r="D355" s="3" t="n">
        <v>45999</v>
      </c>
      <c r="E355" s="2" t="s">
        <v>767</v>
      </c>
      <c r="F355" s="2" t="s">
        <v>32</v>
      </c>
      <c r="G355" s="2" t="n">
        <v>64307</v>
      </c>
      <c r="H355" s="2" t="n">
        <v>13</v>
      </c>
      <c r="I355" s="2" t="n">
        <v>309</v>
      </c>
      <c r="J355" s="2" t="n">
        <v>1</v>
      </c>
      <c r="K355" s="2" t="n">
        <v>274116</v>
      </c>
      <c r="L355" s="2" t="n">
        <v>238031</v>
      </c>
      <c r="M355" s="2" t="n">
        <v>21692</v>
      </c>
      <c r="N355" s="2" t="n">
        <v>1464</v>
      </c>
      <c r="O355" s="2" t="n">
        <v>3198</v>
      </c>
      <c r="P355" s="2" t="n">
        <v>5002</v>
      </c>
      <c r="Q355" s="2" t="n">
        <v>6635</v>
      </c>
      <c r="R355" s="2" t="n">
        <v>1659</v>
      </c>
      <c r="S355" s="2" t="n">
        <v>22</v>
      </c>
      <c r="T355" s="2" t="s">
        <v>33</v>
      </c>
      <c r="U355" s="4" t="n">
        <f aca="false">(M355+N355+O355+P355)/L355</f>
        <v>0.131730740953909</v>
      </c>
      <c r="V355" s="2" t="str">
        <f aca="false">IF(S355&lt;=5,"Late night (0-5)",IF(S355&lt;=11,"Morning (6-11)",IF(S355&lt;=17,"Afternoon (12-17)","Evening (18-23)")))</f>
        <v>Evening (18-23)</v>
      </c>
    </row>
    <row r="356" customFormat="false" ht="15" hidden="false" customHeight="false" outlineLevel="0" collapsed="false">
      <c r="A356" s="2" t="s">
        <v>768</v>
      </c>
      <c r="B356" s="2" t="s">
        <v>71</v>
      </c>
      <c r="C356" s="2" t="s">
        <v>48</v>
      </c>
      <c r="D356" s="3" t="n">
        <v>45959</v>
      </c>
      <c r="E356" s="2" t="s">
        <v>769</v>
      </c>
      <c r="F356" s="2" t="s">
        <v>32</v>
      </c>
      <c r="G356" s="2" t="n">
        <v>7316</v>
      </c>
      <c r="H356" s="2" t="n">
        <v>7</v>
      </c>
      <c r="I356" s="2" t="n">
        <v>113</v>
      </c>
      <c r="J356" s="2" t="n">
        <v>0</v>
      </c>
      <c r="K356" s="2" t="n">
        <v>16517</v>
      </c>
      <c r="L356" s="2" t="n">
        <v>9263</v>
      </c>
      <c r="M356" s="2" t="n">
        <v>790</v>
      </c>
      <c r="N356" s="2" t="n">
        <v>24</v>
      </c>
      <c r="O356" s="2" t="n">
        <v>38</v>
      </c>
      <c r="P356" s="2" t="n">
        <v>105</v>
      </c>
      <c r="Q356" s="2" t="n">
        <v>81</v>
      </c>
      <c r="R356" s="2" t="n">
        <v>8</v>
      </c>
      <c r="S356" s="2" t="n">
        <v>11</v>
      </c>
      <c r="T356" s="2" t="s">
        <v>66</v>
      </c>
      <c r="U356" s="4" t="n">
        <f aca="false">(M356+N356+O356+P356)/L356</f>
        <v>0.10331426103854</v>
      </c>
      <c r="V356" s="2" t="str">
        <f aca="false">IF(S356&lt;=5,"Late night (0-5)",IF(S356&lt;=11,"Morning (6-11)",IF(S356&lt;=17,"Afternoon (12-17)","Evening (18-23)")))</f>
        <v>Morning (6-11)</v>
      </c>
    </row>
    <row r="357" customFormat="false" ht="15" hidden="false" customHeight="false" outlineLevel="0" collapsed="false">
      <c r="A357" s="2" t="s">
        <v>770</v>
      </c>
      <c r="B357" s="2" t="s">
        <v>132</v>
      </c>
      <c r="C357" s="2" t="s">
        <v>36</v>
      </c>
      <c r="D357" s="3" t="n">
        <v>45855</v>
      </c>
      <c r="E357" s="2" t="s">
        <v>771</v>
      </c>
      <c r="F357" s="2" t="s">
        <v>32</v>
      </c>
      <c r="G357" s="2" t="n">
        <v>83053</v>
      </c>
      <c r="H357" s="2" t="n">
        <v>4</v>
      </c>
      <c r="I357" s="2" t="n">
        <v>264</v>
      </c>
      <c r="J357" s="2" t="n">
        <v>1</v>
      </c>
      <c r="K357" s="2" t="n">
        <v>64366</v>
      </c>
      <c r="L357" s="2" t="n">
        <v>37525</v>
      </c>
      <c r="M357" s="2" t="n">
        <v>2168</v>
      </c>
      <c r="N357" s="2" t="n">
        <v>86</v>
      </c>
      <c r="O357" s="2" t="n">
        <v>468</v>
      </c>
      <c r="P357" s="2" t="n">
        <v>189</v>
      </c>
      <c r="Q357" s="2" t="n">
        <v>1059</v>
      </c>
      <c r="R357" s="2" t="n">
        <v>149</v>
      </c>
      <c r="S357" s="2" t="n">
        <v>4</v>
      </c>
      <c r="T357" s="2" t="s">
        <v>79</v>
      </c>
      <c r="U357" s="4" t="n">
        <f aca="false">(M357+N357+O357+P357)/L357</f>
        <v>0.0775749500333111</v>
      </c>
      <c r="V357" s="2" t="str">
        <f aca="false">IF(S357&lt;=5,"Late night (0-5)",IF(S357&lt;=11,"Morning (6-11)",IF(S357&lt;=17,"Afternoon (12-17)","Evening (18-23)")))</f>
        <v>Late night (0-5)</v>
      </c>
    </row>
    <row r="358" customFormat="false" ht="15" hidden="false" customHeight="false" outlineLevel="0" collapsed="false">
      <c r="A358" s="2" t="s">
        <v>772</v>
      </c>
      <c r="B358" s="2" t="s">
        <v>324</v>
      </c>
      <c r="C358" s="2" t="s">
        <v>24</v>
      </c>
      <c r="D358" s="3" t="n">
        <v>45766</v>
      </c>
      <c r="E358" s="2" t="s">
        <v>773</v>
      </c>
      <c r="F358" s="2" t="s">
        <v>38</v>
      </c>
      <c r="G358" s="2" t="n">
        <v>3823</v>
      </c>
      <c r="H358" s="2" t="n">
        <v>16</v>
      </c>
      <c r="I358" s="2" t="n">
        <v>110</v>
      </c>
      <c r="J358" s="2" t="n">
        <v>1</v>
      </c>
      <c r="K358" s="2" t="n">
        <v>2082</v>
      </c>
      <c r="L358" s="2" t="n">
        <v>1364</v>
      </c>
      <c r="M358" s="2" t="n">
        <v>108</v>
      </c>
      <c r="N358" s="2" t="n">
        <v>2</v>
      </c>
      <c r="O358" s="2" t="n">
        <v>9</v>
      </c>
      <c r="P358" s="2" t="n">
        <v>19</v>
      </c>
      <c r="Q358" s="2" t="n">
        <v>26</v>
      </c>
      <c r="R358" s="2" t="n">
        <v>1</v>
      </c>
      <c r="S358" s="2" t="n">
        <v>4</v>
      </c>
      <c r="T358" s="2" t="s">
        <v>62</v>
      </c>
      <c r="U358" s="4" t="n">
        <f aca="false">(M358+N358+O358+P358)/L358</f>
        <v>0.101173020527859</v>
      </c>
      <c r="V358" s="2" t="str">
        <f aca="false">IF(S358&lt;=5,"Late night (0-5)",IF(S358&lt;=11,"Morning (6-11)",IF(S358&lt;=17,"Afternoon (12-17)","Evening (18-23)")))</f>
        <v>Late night (0-5)</v>
      </c>
    </row>
    <row r="359" customFormat="false" ht="15" hidden="false" customHeight="false" outlineLevel="0" collapsed="false">
      <c r="A359" s="2" t="s">
        <v>774</v>
      </c>
      <c r="B359" s="2" t="s">
        <v>426</v>
      </c>
      <c r="C359" s="2" t="s">
        <v>30</v>
      </c>
      <c r="D359" s="3" t="n">
        <v>45983</v>
      </c>
      <c r="E359" s="2" t="s">
        <v>775</v>
      </c>
      <c r="F359" s="2" t="s">
        <v>50</v>
      </c>
      <c r="G359" s="2" t="n">
        <v>40649</v>
      </c>
      <c r="H359" s="2" t="n">
        <v>4</v>
      </c>
      <c r="I359" s="2" t="n">
        <v>161</v>
      </c>
      <c r="J359" s="2" t="n">
        <v>0</v>
      </c>
      <c r="K359" s="2" t="n">
        <v>25246</v>
      </c>
      <c r="L359" s="2" t="n">
        <v>15083</v>
      </c>
      <c r="M359" s="2" t="n">
        <v>890</v>
      </c>
      <c r="N359" s="2" t="n">
        <v>46</v>
      </c>
      <c r="O359" s="2" t="n">
        <v>75</v>
      </c>
      <c r="P359" s="2" t="n">
        <v>67</v>
      </c>
      <c r="Q359" s="2" t="n">
        <v>326</v>
      </c>
      <c r="R359" s="2" t="n">
        <v>19</v>
      </c>
      <c r="S359" s="2" t="n">
        <v>11</v>
      </c>
      <c r="T359" s="2" t="s">
        <v>62</v>
      </c>
      <c r="U359" s="4" t="n">
        <f aca="false">(M359+N359+O359+P359)/L359</f>
        <v>0.0714711927335411</v>
      </c>
      <c r="V359" s="2" t="str">
        <f aca="false">IF(S359&lt;=5,"Late night (0-5)",IF(S359&lt;=11,"Morning (6-11)",IF(S359&lt;=17,"Afternoon (12-17)","Evening (18-23)")))</f>
        <v>Morning (6-11)</v>
      </c>
    </row>
    <row r="360" customFormat="false" ht="15" hidden="false" customHeight="false" outlineLevel="0" collapsed="false">
      <c r="A360" s="2" t="s">
        <v>776</v>
      </c>
      <c r="B360" s="2" t="s">
        <v>114</v>
      </c>
      <c r="C360" s="2" t="s">
        <v>84</v>
      </c>
      <c r="D360" s="3" t="n">
        <v>45810</v>
      </c>
      <c r="E360" s="2" t="s">
        <v>777</v>
      </c>
      <c r="F360" s="2" t="s">
        <v>26</v>
      </c>
      <c r="G360" s="2" t="n">
        <v>64307</v>
      </c>
      <c r="H360" s="2" t="n">
        <v>9</v>
      </c>
      <c r="I360" s="2" t="n">
        <v>148</v>
      </c>
      <c r="J360" s="2" t="n">
        <v>0</v>
      </c>
      <c r="K360" s="2" t="n">
        <v>54713</v>
      </c>
      <c r="L360" s="2" t="n">
        <v>33406</v>
      </c>
      <c r="M360" s="2" t="n">
        <v>1407</v>
      </c>
      <c r="N360" s="2" t="n">
        <v>107</v>
      </c>
      <c r="O360" s="2" t="n">
        <v>268</v>
      </c>
      <c r="P360" s="2" t="n">
        <v>426</v>
      </c>
      <c r="Q360" s="2" t="n">
        <v>882</v>
      </c>
      <c r="R360" s="2" t="n">
        <v>167</v>
      </c>
      <c r="S360" s="2" t="n">
        <v>19</v>
      </c>
      <c r="T360" s="2" t="s">
        <v>33</v>
      </c>
      <c r="U360" s="4" t="n">
        <f aca="false">(M360+N360+O360+P360)/L360</f>
        <v>0.066095910914207</v>
      </c>
      <c r="V360" s="2" t="str">
        <f aca="false">IF(S360&lt;=5,"Late night (0-5)",IF(S360&lt;=11,"Morning (6-11)",IF(S360&lt;=17,"Afternoon (12-17)","Evening (18-23)")))</f>
        <v>Evening (18-23)</v>
      </c>
    </row>
    <row r="361" customFormat="false" ht="15" hidden="false" customHeight="false" outlineLevel="0" collapsed="false">
      <c r="A361" s="2" t="s">
        <v>778</v>
      </c>
      <c r="B361" s="2" t="s">
        <v>154</v>
      </c>
      <c r="C361" s="2" t="s">
        <v>41</v>
      </c>
      <c r="D361" s="3" t="n">
        <v>46014</v>
      </c>
      <c r="E361" s="2" t="s">
        <v>779</v>
      </c>
      <c r="F361" s="2" t="s">
        <v>50</v>
      </c>
      <c r="G361" s="2" t="n">
        <v>33644</v>
      </c>
      <c r="H361" s="2" t="n">
        <v>11</v>
      </c>
      <c r="I361" s="2" t="n">
        <v>55</v>
      </c>
      <c r="J361" s="2" t="n">
        <v>1</v>
      </c>
      <c r="K361" s="2" t="n">
        <v>60281</v>
      </c>
      <c r="L361" s="2" t="n">
        <v>50950</v>
      </c>
      <c r="M361" s="2" t="n">
        <v>3208</v>
      </c>
      <c r="N361" s="2" t="n">
        <v>240</v>
      </c>
      <c r="O361" s="2" t="n">
        <v>98</v>
      </c>
      <c r="P361" s="2" t="n">
        <v>862</v>
      </c>
      <c r="Q361" s="2" t="n">
        <v>941</v>
      </c>
      <c r="R361" s="2" t="n">
        <v>82</v>
      </c>
      <c r="S361" s="2" t="n">
        <v>6</v>
      </c>
      <c r="T361" s="2" t="s">
        <v>51</v>
      </c>
      <c r="U361" s="4" t="n">
        <f aca="false">(M361+N361+O361+P361)/L361</f>
        <v>0.0865161923454367</v>
      </c>
      <c r="V361" s="2" t="str">
        <f aca="false">IF(S361&lt;=5,"Late night (0-5)",IF(S361&lt;=11,"Morning (6-11)",IF(S361&lt;=17,"Afternoon (12-17)","Evening (18-23)")))</f>
        <v>Morning (6-11)</v>
      </c>
    </row>
    <row r="362" customFormat="false" ht="15" hidden="false" customHeight="false" outlineLevel="0" collapsed="false">
      <c r="A362" s="2" t="s">
        <v>780</v>
      </c>
      <c r="B362" s="2" t="s">
        <v>164</v>
      </c>
      <c r="C362" s="2" t="s">
        <v>36</v>
      </c>
      <c r="D362" s="3" t="n">
        <v>45678</v>
      </c>
      <c r="E362" s="2" t="s">
        <v>781</v>
      </c>
      <c r="F362" s="2" t="s">
        <v>32</v>
      </c>
      <c r="G362" s="2" t="n">
        <v>44230</v>
      </c>
      <c r="H362" s="2" t="n">
        <v>14</v>
      </c>
      <c r="I362" s="2" t="n">
        <v>270</v>
      </c>
      <c r="J362" s="2" t="n">
        <v>1</v>
      </c>
      <c r="K362" s="2" t="n">
        <v>134145</v>
      </c>
      <c r="L362" s="2" t="n">
        <v>77012</v>
      </c>
      <c r="M362" s="2" t="n">
        <v>3798</v>
      </c>
      <c r="N362" s="2" t="n">
        <v>226</v>
      </c>
      <c r="O362" s="2" t="n">
        <v>215</v>
      </c>
      <c r="P362" s="2" t="n">
        <v>694</v>
      </c>
      <c r="Q362" s="2" t="n">
        <v>1812</v>
      </c>
      <c r="R362" s="2" t="n">
        <v>106</v>
      </c>
      <c r="S362" s="2" t="n">
        <v>2</v>
      </c>
      <c r="T362" s="2" t="s">
        <v>51</v>
      </c>
      <c r="U362" s="4" t="n">
        <f aca="false">(M362+N362+O362+P362)/L362</f>
        <v>0.064054952474939</v>
      </c>
      <c r="V362" s="2" t="str">
        <f aca="false">IF(S362&lt;=5,"Late night (0-5)",IF(S362&lt;=11,"Morning (6-11)",IF(S362&lt;=17,"Afternoon (12-17)","Evening (18-23)")))</f>
        <v>Late night (0-5)</v>
      </c>
    </row>
    <row r="363" customFormat="false" ht="15" hidden="false" customHeight="false" outlineLevel="0" collapsed="false">
      <c r="A363" s="2" t="s">
        <v>782</v>
      </c>
      <c r="B363" s="2" t="s">
        <v>60</v>
      </c>
      <c r="C363" s="2" t="s">
        <v>41</v>
      </c>
      <c r="D363" s="3" t="n">
        <v>45673</v>
      </c>
      <c r="E363" s="2" t="s">
        <v>783</v>
      </c>
      <c r="F363" s="2" t="s">
        <v>26</v>
      </c>
      <c r="G363" s="2" t="n">
        <v>7512</v>
      </c>
      <c r="H363" s="2" t="n">
        <v>9</v>
      </c>
      <c r="I363" s="2" t="n">
        <v>192</v>
      </c>
      <c r="J363" s="2" t="n">
        <v>0</v>
      </c>
      <c r="K363" s="2" t="n">
        <v>6117</v>
      </c>
      <c r="L363" s="2" t="n">
        <v>3509</v>
      </c>
      <c r="M363" s="2" t="n">
        <v>138</v>
      </c>
      <c r="N363" s="2" t="n">
        <v>4</v>
      </c>
      <c r="O363" s="2" t="n">
        <v>21</v>
      </c>
      <c r="P363" s="2" t="n">
        <v>40</v>
      </c>
      <c r="Q363" s="2" t="n">
        <v>96</v>
      </c>
      <c r="R363" s="2" t="n">
        <v>12</v>
      </c>
      <c r="S363" s="2" t="n">
        <v>1</v>
      </c>
      <c r="T363" s="2" t="s">
        <v>79</v>
      </c>
      <c r="U363" s="4" t="n">
        <f aca="false">(M363+N363+O363+P363)/L363</f>
        <v>0.0578512396694215</v>
      </c>
      <c r="V363" s="2" t="str">
        <f aca="false">IF(S363&lt;=5,"Late night (0-5)",IF(S363&lt;=11,"Morning (6-11)",IF(S363&lt;=17,"Afternoon (12-17)","Evening (18-23)")))</f>
        <v>Late night (0-5)</v>
      </c>
    </row>
    <row r="364" customFormat="false" ht="15" hidden="false" customHeight="false" outlineLevel="0" collapsed="false">
      <c r="A364" s="2" t="s">
        <v>784</v>
      </c>
      <c r="B364" s="2" t="s">
        <v>227</v>
      </c>
      <c r="C364" s="2" t="s">
        <v>54</v>
      </c>
      <c r="D364" s="3" t="n">
        <v>46019</v>
      </c>
      <c r="E364" s="2" t="s">
        <v>785</v>
      </c>
      <c r="F364" s="2" t="s">
        <v>32</v>
      </c>
      <c r="G364" s="2" t="n">
        <v>11796</v>
      </c>
      <c r="H364" s="2" t="n">
        <v>4</v>
      </c>
      <c r="I364" s="2" t="n">
        <v>284</v>
      </c>
      <c r="J364" s="2" t="n">
        <v>1</v>
      </c>
      <c r="K364" s="2" t="n">
        <v>28480</v>
      </c>
      <c r="L364" s="2" t="n">
        <v>17107</v>
      </c>
      <c r="M364" s="2" t="n">
        <v>1769</v>
      </c>
      <c r="N364" s="2" t="n">
        <v>99</v>
      </c>
      <c r="O364" s="2" t="n">
        <v>400</v>
      </c>
      <c r="P364" s="2" t="n">
        <v>404</v>
      </c>
      <c r="Q364" s="2" t="n">
        <v>510</v>
      </c>
      <c r="R364" s="2" t="n">
        <v>69</v>
      </c>
      <c r="S364" s="2" t="n">
        <v>5</v>
      </c>
      <c r="T364" s="2" t="s">
        <v>27</v>
      </c>
      <c r="U364" s="4" t="n">
        <f aca="false">(M364+N364+O364+P364)/L364</f>
        <v>0.156193371134623</v>
      </c>
      <c r="V364" s="2" t="str">
        <f aca="false">IF(S364&lt;=5,"Late night (0-5)",IF(S364&lt;=11,"Morning (6-11)",IF(S364&lt;=17,"Afternoon (12-17)","Evening (18-23)")))</f>
        <v>Late night (0-5)</v>
      </c>
    </row>
    <row r="365" customFormat="false" ht="15" hidden="false" customHeight="false" outlineLevel="0" collapsed="false">
      <c r="A365" s="2" t="s">
        <v>786</v>
      </c>
      <c r="B365" s="2" t="s">
        <v>44</v>
      </c>
      <c r="C365" s="2" t="s">
        <v>36</v>
      </c>
      <c r="D365" s="3" t="n">
        <v>45928</v>
      </c>
      <c r="E365" s="2" t="s">
        <v>787</v>
      </c>
      <c r="F365" s="2" t="s">
        <v>50</v>
      </c>
      <c r="G365" s="2" t="n">
        <v>6265</v>
      </c>
      <c r="H365" s="2" t="n">
        <v>13</v>
      </c>
      <c r="I365" s="2" t="n">
        <v>174</v>
      </c>
      <c r="J365" s="2" t="n">
        <v>0</v>
      </c>
      <c r="K365" s="2" t="n">
        <v>2602</v>
      </c>
      <c r="L365" s="2" t="n">
        <v>2325</v>
      </c>
      <c r="M365" s="2" t="n">
        <v>86</v>
      </c>
      <c r="N365" s="2" t="n">
        <v>2</v>
      </c>
      <c r="O365" s="2" t="n">
        <v>3</v>
      </c>
      <c r="P365" s="2" t="n">
        <v>14</v>
      </c>
      <c r="Q365" s="2" t="n">
        <v>31</v>
      </c>
      <c r="R365" s="2" t="n">
        <v>9</v>
      </c>
      <c r="S365" s="2" t="n">
        <v>15</v>
      </c>
      <c r="T365" s="2" t="s">
        <v>27</v>
      </c>
      <c r="U365" s="4" t="n">
        <f aca="false">(M365+N365+O365+P365)/L365</f>
        <v>0.0451612903225806</v>
      </c>
      <c r="V365" s="2" t="str">
        <f aca="false">IF(S365&lt;=5,"Late night (0-5)",IF(S365&lt;=11,"Morning (6-11)",IF(S365&lt;=17,"Afternoon (12-17)","Evening (18-23)")))</f>
        <v>Afternoon (12-17)</v>
      </c>
    </row>
    <row r="366" customFormat="false" ht="15" hidden="false" customHeight="false" outlineLevel="0" collapsed="false">
      <c r="A366" s="2" t="s">
        <v>788</v>
      </c>
      <c r="B366" s="2" t="s">
        <v>374</v>
      </c>
      <c r="C366" s="2" t="s">
        <v>24</v>
      </c>
      <c r="D366" s="3" t="n">
        <v>45789</v>
      </c>
      <c r="E366" s="2" t="s">
        <v>789</v>
      </c>
      <c r="F366" s="2" t="s">
        <v>26</v>
      </c>
      <c r="G366" s="2" t="n">
        <v>9509</v>
      </c>
      <c r="H366" s="2" t="n">
        <v>12</v>
      </c>
      <c r="I366" s="2" t="n">
        <v>63</v>
      </c>
      <c r="J366" s="2" t="n">
        <v>0</v>
      </c>
      <c r="K366" s="2" t="n">
        <v>7378</v>
      </c>
      <c r="L366" s="2" t="n">
        <v>6055</v>
      </c>
      <c r="M366" s="2" t="n">
        <v>395</v>
      </c>
      <c r="N366" s="2" t="n">
        <v>27</v>
      </c>
      <c r="O366" s="2" t="n">
        <v>74</v>
      </c>
      <c r="P366" s="2" t="n">
        <v>141</v>
      </c>
      <c r="Q366" s="2" t="n">
        <v>58</v>
      </c>
      <c r="R366" s="2" t="n">
        <v>13</v>
      </c>
      <c r="S366" s="2" t="n">
        <v>16</v>
      </c>
      <c r="T366" s="2" t="s">
        <v>33</v>
      </c>
      <c r="U366" s="4" t="n">
        <f aca="false">(M366+N366+O366+P366)/L366</f>
        <v>0.105202312138728</v>
      </c>
      <c r="V366" s="2" t="str">
        <f aca="false">IF(S366&lt;=5,"Late night (0-5)",IF(S366&lt;=11,"Morning (6-11)",IF(S366&lt;=17,"Afternoon (12-17)","Evening (18-23)")))</f>
        <v>Afternoon (12-17)</v>
      </c>
    </row>
    <row r="367" customFormat="false" ht="15" hidden="false" customHeight="false" outlineLevel="0" collapsed="false">
      <c r="A367" s="2" t="s">
        <v>790</v>
      </c>
      <c r="B367" s="2" t="s">
        <v>60</v>
      </c>
      <c r="C367" s="2" t="s">
        <v>41</v>
      </c>
      <c r="D367" s="3" t="n">
        <v>45839</v>
      </c>
      <c r="E367" s="2" t="s">
        <v>791</v>
      </c>
      <c r="F367" s="2" t="s">
        <v>38</v>
      </c>
      <c r="G367" s="2" t="n">
        <v>7512</v>
      </c>
      <c r="H367" s="2" t="n">
        <v>7</v>
      </c>
      <c r="I367" s="2" t="n">
        <v>80</v>
      </c>
      <c r="J367" s="2" t="n">
        <v>1</v>
      </c>
      <c r="K367" s="2" t="n">
        <v>4586</v>
      </c>
      <c r="L367" s="2" t="n">
        <v>3013</v>
      </c>
      <c r="M367" s="2" t="n">
        <v>95</v>
      </c>
      <c r="N367" s="2" t="n">
        <v>6</v>
      </c>
      <c r="O367" s="2" t="n">
        <v>4</v>
      </c>
      <c r="P367" s="2" t="n">
        <v>25</v>
      </c>
      <c r="Q367" s="2" t="n">
        <v>86</v>
      </c>
      <c r="R367" s="2" t="n">
        <v>19</v>
      </c>
      <c r="S367" s="2" t="n">
        <v>8</v>
      </c>
      <c r="T367" s="2" t="s">
        <v>51</v>
      </c>
      <c r="U367" s="4" t="n">
        <f aca="false">(M367+N367+O367+P367)/L367</f>
        <v>0.0431463657484235</v>
      </c>
      <c r="V367" s="2" t="str">
        <f aca="false">IF(S367&lt;=5,"Late night (0-5)",IF(S367&lt;=11,"Morning (6-11)",IF(S367&lt;=17,"Afternoon (12-17)","Evening (18-23)")))</f>
        <v>Morning (6-11)</v>
      </c>
    </row>
    <row r="368" customFormat="false" ht="15" hidden="false" customHeight="false" outlineLevel="0" collapsed="false">
      <c r="A368" s="2" t="s">
        <v>792</v>
      </c>
      <c r="B368" s="2" t="s">
        <v>106</v>
      </c>
      <c r="C368" s="2" t="s">
        <v>91</v>
      </c>
      <c r="D368" s="3" t="n">
        <v>45804</v>
      </c>
      <c r="E368" s="2" t="s">
        <v>793</v>
      </c>
      <c r="F368" s="2" t="s">
        <v>38</v>
      </c>
      <c r="G368" s="2" t="n">
        <v>59477</v>
      </c>
      <c r="H368" s="2" t="n">
        <v>17</v>
      </c>
      <c r="I368" s="2" t="n">
        <v>53</v>
      </c>
      <c r="J368" s="2" t="n">
        <v>0</v>
      </c>
      <c r="K368" s="2" t="n">
        <v>30208</v>
      </c>
      <c r="L368" s="2" t="n">
        <v>20508</v>
      </c>
      <c r="M368" s="2" t="n">
        <v>1318</v>
      </c>
      <c r="N368" s="2" t="n">
        <v>87</v>
      </c>
      <c r="O368" s="2" t="n">
        <v>143</v>
      </c>
      <c r="P368" s="2" t="n">
        <v>325</v>
      </c>
      <c r="Q368" s="2" t="n">
        <v>138</v>
      </c>
      <c r="R368" s="2" t="n">
        <v>38</v>
      </c>
      <c r="S368" s="2" t="n">
        <v>23</v>
      </c>
      <c r="T368" s="2" t="s">
        <v>51</v>
      </c>
      <c r="U368" s="4" t="n">
        <f aca="false">(M368+N368+O368+P368)/L368</f>
        <v>0.091330212599961</v>
      </c>
      <c r="V368" s="2" t="str">
        <f aca="false">IF(S368&lt;=5,"Late night (0-5)",IF(S368&lt;=11,"Morning (6-11)",IF(S368&lt;=17,"Afternoon (12-17)","Evening (18-23)")))</f>
        <v>Evening (18-23)</v>
      </c>
    </row>
    <row r="369" customFormat="false" ht="15" hidden="false" customHeight="false" outlineLevel="0" collapsed="false">
      <c r="A369" s="2" t="s">
        <v>794</v>
      </c>
      <c r="B369" s="2" t="s">
        <v>307</v>
      </c>
      <c r="C369" s="2" t="s">
        <v>48</v>
      </c>
      <c r="D369" s="3" t="n">
        <v>45795</v>
      </c>
      <c r="E369" s="2" t="s">
        <v>795</v>
      </c>
      <c r="F369" s="2" t="s">
        <v>26</v>
      </c>
      <c r="G369" s="2" t="n">
        <v>91358</v>
      </c>
      <c r="H369" s="2" t="n">
        <v>8</v>
      </c>
      <c r="I369" s="2" t="n">
        <v>292</v>
      </c>
      <c r="J369" s="2" t="n">
        <v>0</v>
      </c>
      <c r="K369" s="2" t="n">
        <v>58223</v>
      </c>
      <c r="L369" s="2" t="n">
        <v>45833</v>
      </c>
      <c r="M369" s="2" t="n">
        <v>2202</v>
      </c>
      <c r="N369" s="2" t="n">
        <v>100</v>
      </c>
      <c r="O369" s="2" t="n">
        <v>243</v>
      </c>
      <c r="P369" s="2" t="n">
        <v>378</v>
      </c>
      <c r="Q369" s="2" t="n">
        <v>1134</v>
      </c>
      <c r="R369" s="2" t="n">
        <v>119</v>
      </c>
      <c r="S369" s="2" t="n">
        <v>9</v>
      </c>
      <c r="T369" s="2" t="s">
        <v>27</v>
      </c>
      <c r="U369" s="4" t="n">
        <f aca="false">(M369+N369+O369+P369)/L369</f>
        <v>0.0637750092727947</v>
      </c>
      <c r="V369" s="2" t="str">
        <f aca="false">IF(S369&lt;=5,"Late night (0-5)",IF(S369&lt;=11,"Morning (6-11)",IF(S369&lt;=17,"Afternoon (12-17)","Evening (18-23)")))</f>
        <v>Morning (6-11)</v>
      </c>
    </row>
    <row r="370" customFormat="false" ht="15" hidden="false" customHeight="false" outlineLevel="0" collapsed="false">
      <c r="A370" s="2" t="s">
        <v>796</v>
      </c>
      <c r="B370" s="2" t="s">
        <v>57</v>
      </c>
      <c r="C370" s="2" t="s">
        <v>24</v>
      </c>
      <c r="D370" s="3" t="n">
        <v>45994</v>
      </c>
      <c r="E370" s="2" t="s">
        <v>797</v>
      </c>
      <c r="F370" s="2" t="s">
        <v>38</v>
      </c>
      <c r="G370" s="2" t="n">
        <v>31021</v>
      </c>
      <c r="H370" s="2" t="n">
        <v>10</v>
      </c>
      <c r="I370" s="2" t="n">
        <v>58</v>
      </c>
      <c r="J370" s="2" t="n">
        <v>0</v>
      </c>
      <c r="K370" s="2" t="n">
        <v>9944</v>
      </c>
      <c r="L370" s="2" t="n">
        <v>8843</v>
      </c>
      <c r="M370" s="2" t="n">
        <v>647</v>
      </c>
      <c r="N370" s="2" t="n">
        <v>45</v>
      </c>
      <c r="O370" s="2" t="n">
        <v>75</v>
      </c>
      <c r="P370" s="2" t="n">
        <v>119</v>
      </c>
      <c r="Q370" s="2" t="n">
        <v>118</v>
      </c>
      <c r="R370" s="2" t="n">
        <v>12</v>
      </c>
      <c r="S370" s="2" t="n">
        <v>4</v>
      </c>
      <c r="T370" s="2" t="s">
        <v>66</v>
      </c>
      <c r="U370" s="4" t="n">
        <f aca="false">(M370+N370+O370+P370)/L370</f>
        <v>0.100192242451657</v>
      </c>
      <c r="V370" s="2" t="str">
        <f aca="false">IF(S370&lt;=5,"Late night (0-5)",IF(S370&lt;=11,"Morning (6-11)",IF(S370&lt;=17,"Afternoon (12-17)","Evening (18-23)")))</f>
        <v>Late night (0-5)</v>
      </c>
    </row>
    <row r="371" customFormat="false" ht="15" hidden="false" customHeight="false" outlineLevel="0" collapsed="false">
      <c r="A371" s="2" t="s">
        <v>798</v>
      </c>
      <c r="B371" s="2" t="s">
        <v>60</v>
      </c>
      <c r="C371" s="2" t="s">
        <v>41</v>
      </c>
      <c r="D371" s="3" t="n">
        <v>45829</v>
      </c>
      <c r="E371" s="2" t="s">
        <v>602</v>
      </c>
      <c r="F371" s="2" t="s">
        <v>32</v>
      </c>
      <c r="G371" s="2" t="n">
        <v>7512</v>
      </c>
      <c r="H371" s="2" t="n">
        <v>17</v>
      </c>
      <c r="I371" s="2" t="n">
        <v>194</v>
      </c>
      <c r="J371" s="2" t="n">
        <v>0</v>
      </c>
      <c r="K371" s="2" t="n">
        <v>14347</v>
      </c>
      <c r="L371" s="2" t="n">
        <v>9944</v>
      </c>
      <c r="M371" s="2" t="n">
        <v>765</v>
      </c>
      <c r="N371" s="2" t="n">
        <v>39</v>
      </c>
      <c r="O371" s="2" t="n">
        <v>97</v>
      </c>
      <c r="P371" s="2" t="n">
        <v>92</v>
      </c>
      <c r="Q371" s="2" t="n">
        <v>152</v>
      </c>
      <c r="R371" s="2" t="n">
        <v>41</v>
      </c>
      <c r="S371" s="2" t="n">
        <v>7</v>
      </c>
      <c r="T371" s="2" t="s">
        <v>62</v>
      </c>
      <c r="U371" s="4" t="n">
        <f aca="false">(M371+N371+O371+P371)/L371</f>
        <v>0.0998592115848753</v>
      </c>
      <c r="V371" s="2" t="str">
        <f aca="false">IF(S371&lt;=5,"Late night (0-5)",IF(S371&lt;=11,"Morning (6-11)",IF(S371&lt;=17,"Afternoon (12-17)","Evening (18-23)")))</f>
        <v>Morning (6-11)</v>
      </c>
    </row>
    <row r="372" customFormat="false" ht="15" hidden="false" customHeight="false" outlineLevel="0" collapsed="false">
      <c r="A372" s="2" t="s">
        <v>799</v>
      </c>
      <c r="B372" s="2" t="s">
        <v>371</v>
      </c>
      <c r="C372" s="2" t="s">
        <v>48</v>
      </c>
      <c r="D372" s="3" t="n">
        <v>45791</v>
      </c>
      <c r="E372" s="2" t="s">
        <v>800</v>
      </c>
      <c r="F372" s="2" t="s">
        <v>26</v>
      </c>
      <c r="G372" s="2" t="n">
        <v>42479</v>
      </c>
      <c r="H372" s="2" t="n">
        <v>14</v>
      </c>
      <c r="I372" s="2" t="n">
        <v>182</v>
      </c>
      <c r="J372" s="2" t="n">
        <v>1</v>
      </c>
      <c r="K372" s="2" t="n">
        <v>35059</v>
      </c>
      <c r="L372" s="2" t="n">
        <v>23535</v>
      </c>
      <c r="M372" s="2" t="n">
        <v>1036</v>
      </c>
      <c r="N372" s="2" t="n">
        <v>59</v>
      </c>
      <c r="O372" s="2" t="n">
        <v>203</v>
      </c>
      <c r="P372" s="2" t="n">
        <v>116</v>
      </c>
      <c r="Q372" s="2" t="n">
        <v>387</v>
      </c>
      <c r="R372" s="2" t="n">
        <v>67</v>
      </c>
      <c r="S372" s="2" t="n">
        <v>17</v>
      </c>
      <c r="T372" s="2" t="s">
        <v>66</v>
      </c>
      <c r="U372" s="4" t="n">
        <f aca="false">(M372+N372+O372+P372)/L372</f>
        <v>0.0600807308264287</v>
      </c>
      <c r="V372" s="2" t="str">
        <f aca="false">IF(S372&lt;=5,"Late night (0-5)",IF(S372&lt;=11,"Morning (6-11)",IF(S372&lt;=17,"Afternoon (12-17)","Evening (18-23)")))</f>
        <v>Afternoon (12-17)</v>
      </c>
    </row>
    <row r="373" customFormat="false" ht="15" hidden="false" customHeight="false" outlineLevel="0" collapsed="false">
      <c r="A373" s="2" t="s">
        <v>801</v>
      </c>
      <c r="B373" s="2" t="s">
        <v>29</v>
      </c>
      <c r="C373" s="2" t="s">
        <v>30</v>
      </c>
      <c r="D373" s="3" t="n">
        <v>45676</v>
      </c>
      <c r="E373" s="2" t="s">
        <v>802</v>
      </c>
      <c r="F373" s="2" t="s">
        <v>32</v>
      </c>
      <c r="G373" s="2" t="n">
        <v>11612</v>
      </c>
      <c r="H373" s="2" t="n">
        <v>8</v>
      </c>
      <c r="I373" s="2" t="n">
        <v>160</v>
      </c>
      <c r="J373" s="2" t="n">
        <v>1</v>
      </c>
      <c r="K373" s="2" t="n">
        <v>17188</v>
      </c>
      <c r="L373" s="2" t="n">
        <v>13271</v>
      </c>
      <c r="M373" s="2" t="n">
        <v>1140</v>
      </c>
      <c r="N373" s="2" t="n">
        <v>42</v>
      </c>
      <c r="O373" s="2" t="n">
        <v>191</v>
      </c>
      <c r="P373" s="2" t="n">
        <v>114</v>
      </c>
      <c r="Q373" s="2" t="n">
        <v>341</v>
      </c>
      <c r="R373" s="2" t="n">
        <v>95</v>
      </c>
      <c r="S373" s="2" t="n">
        <v>16</v>
      </c>
      <c r="T373" s="2" t="s">
        <v>27</v>
      </c>
      <c r="U373" s="4" t="n">
        <f aca="false">(M373+N373+O373+P373)/L373</f>
        <v>0.112048828272172</v>
      </c>
      <c r="V373" s="2" t="str">
        <f aca="false">IF(S373&lt;=5,"Late night (0-5)",IF(S373&lt;=11,"Morning (6-11)",IF(S373&lt;=17,"Afternoon (12-17)","Evening (18-23)")))</f>
        <v>Afternoon (12-17)</v>
      </c>
    </row>
    <row r="374" customFormat="false" ht="15" hidden="false" customHeight="false" outlineLevel="0" collapsed="false">
      <c r="A374" s="2" t="s">
        <v>803</v>
      </c>
      <c r="B374" s="2" t="s">
        <v>111</v>
      </c>
      <c r="C374" s="2" t="s">
        <v>48</v>
      </c>
      <c r="D374" s="3" t="n">
        <v>45723</v>
      </c>
      <c r="E374" s="2" t="s">
        <v>399</v>
      </c>
      <c r="F374" s="2" t="s">
        <v>26</v>
      </c>
      <c r="G374" s="2" t="n">
        <v>16824</v>
      </c>
      <c r="H374" s="2" t="n">
        <v>16</v>
      </c>
      <c r="I374" s="2" t="n">
        <v>342</v>
      </c>
      <c r="J374" s="2" t="n">
        <v>1</v>
      </c>
      <c r="K374" s="2" t="n">
        <v>6870</v>
      </c>
      <c r="L374" s="2" t="n">
        <v>6068</v>
      </c>
      <c r="M374" s="2" t="n">
        <v>310</v>
      </c>
      <c r="N374" s="2" t="n">
        <v>19</v>
      </c>
      <c r="O374" s="2" t="n">
        <v>10</v>
      </c>
      <c r="P374" s="2" t="n">
        <v>69</v>
      </c>
      <c r="Q374" s="2" t="n">
        <v>128</v>
      </c>
      <c r="R374" s="2" t="n">
        <v>25</v>
      </c>
      <c r="S374" s="2" t="n">
        <v>12</v>
      </c>
      <c r="T374" s="2" t="s">
        <v>96</v>
      </c>
      <c r="U374" s="4" t="n">
        <f aca="false">(M374+N374+O374+P374)/L374</f>
        <v>0.0672379696769941</v>
      </c>
      <c r="V374" s="2" t="str">
        <f aca="false">IF(S374&lt;=5,"Late night (0-5)",IF(S374&lt;=11,"Morning (6-11)",IF(S374&lt;=17,"Afternoon (12-17)","Evening (18-23)")))</f>
        <v>Afternoon (12-17)</v>
      </c>
    </row>
    <row r="375" customFormat="false" ht="15" hidden="false" customHeight="false" outlineLevel="0" collapsed="false">
      <c r="A375" s="2" t="s">
        <v>804</v>
      </c>
      <c r="B375" s="2" t="s">
        <v>426</v>
      </c>
      <c r="C375" s="2" t="s">
        <v>30</v>
      </c>
      <c r="D375" s="3" t="n">
        <v>45827</v>
      </c>
      <c r="E375" s="2" t="s">
        <v>805</v>
      </c>
      <c r="F375" s="2" t="s">
        <v>38</v>
      </c>
      <c r="G375" s="2" t="n">
        <v>40649</v>
      </c>
      <c r="H375" s="2" t="n">
        <v>21</v>
      </c>
      <c r="I375" s="2" t="n">
        <v>209</v>
      </c>
      <c r="J375" s="2" t="n">
        <v>1</v>
      </c>
      <c r="K375" s="2" t="n">
        <v>71054</v>
      </c>
      <c r="L375" s="2" t="n">
        <v>44801</v>
      </c>
      <c r="M375" s="2" t="n">
        <v>3741</v>
      </c>
      <c r="N375" s="2" t="n">
        <v>145</v>
      </c>
      <c r="O375" s="2" t="n">
        <v>507</v>
      </c>
      <c r="P375" s="2" t="n">
        <v>212</v>
      </c>
      <c r="Q375" s="2" t="n">
        <v>1271</v>
      </c>
      <c r="R375" s="2" t="n">
        <v>239</v>
      </c>
      <c r="S375" s="2" t="n">
        <v>11</v>
      </c>
      <c r="T375" s="2" t="s">
        <v>79</v>
      </c>
      <c r="U375" s="4" t="n">
        <f aca="false">(M375+N375+O375+P375)/L375</f>
        <v>0.102787884199013</v>
      </c>
      <c r="V375" s="2" t="str">
        <f aca="false">IF(S375&lt;=5,"Late night (0-5)",IF(S375&lt;=11,"Morning (6-11)",IF(S375&lt;=17,"Afternoon (12-17)","Evening (18-23)")))</f>
        <v>Morning (6-11)</v>
      </c>
    </row>
    <row r="376" customFormat="false" ht="15" hidden="false" customHeight="false" outlineLevel="0" collapsed="false">
      <c r="A376" s="2" t="s">
        <v>806</v>
      </c>
      <c r="B376" s="2" t="s">
        <v>452</v>
      </c>
      <c r="C376" s="2" t="s">
        <v>91</v>
      </c>
      <c r="D376" s="3" t="n">
        <v>45809</v>
      </c>
      <c r="E376" s="2" t="s">
        <v>807</v>
      </c>
      <c r="F376" s="2" t="s">
        <v>38</v>
      </c>
      <c r="G376" s="2" t="n">
        <v>14201</v>
      </c>
      <c r="H376" s="2" t="n">
        <v>8</v>
      </c>
      <c r="I376" s="2" t="n">
        <v>239</v>
      </c>
      <c r="J376" s="2" t="n">
        <v>0</v>
      </c>
      <c r="K376" s="2" t="n">
        <v>9490</v>
      </c>
      <c r="L376" s="2" t="n">
        <v>8159</v>
      </c>
      <c r="M376" s="2" t="n">
        <v>714</v>
      </c>
      <c r="N376" s="2" t="n">
        <v>52</v>
      </c>
      <c r="O376" s="2" t="n">
        <v>138</v>
      </c>
      <c r="P376" s="2" t="n">
        <v>179</v>
      </c>
      <c r="Q376" s="2" t="n">
        <v>100</v>
      </c>
      <c r="R376" s="2" t="n">
        <v>19</v>
      </c>
      <c r="S376" s="2" t="n">
        <v>11</v>
      </c>
      <c r="T376" s="2" t="s">
        <v>27</v>
      </c>
      <c r="U376" s="4" t="n">
        <f aca="false">(M376+N376+O376+P376)/L376</f>
        <v>0.132736855006741</v>
      </c>
      <c r="V376" s="2" t="str">
        <f aca="false">IF(S376&lt;=5,"Late night (0-5)",IF(S376&lt;=11,"Morning (6-11)",IF(S376&lt;=17,"Afternoon (12-17)","Evening (18-23)")))</f>
        <v>Morning (6-11)</v>
      </c>
    </row>
    <row r="377" customFormat="false" ht="15" hidden="false" customHeight="false" outlineLevel="0" collapsed="false">
      <c r="A377" s="2" t="s">
        <v>808</v>
      </c>
      <c r="B377" s="2" t="s">
        <v>345</v>
      </c>
      <c r="C377" s="2" t="s">
        <v>30</v>
      </c>
      <c r="D377" s="3" t="n">
        <v>46005</v>
      </c>
      <c r="E377" s="2" t="s">
        <v>809</v>
      </c>
      <c r="F377" s="2" t="s">
        <v>26</v>
      </c>
      <c r="G377" s="2" t="n">
        <v>8662</v>
      </c>
      <c r="H377" s="2" t="n">
        <v>7</v>
      </c>
      <c r="I377" s="2" t="n">
        <v>168</v>
      </c>
      <c r="J377" s="2" t="n">
        <v>0</v>
      </c>
      <c r="K377" s="2" t="n">
        <v>40277</v>
      </c>
      <c r="L377" s="2" t="n">
        <v>23409</v>
      </c>
      <c r="M377" s="2" t="n">
        <v>839</v>
      </c>
      <c r="N377" s="2" t="n">
        <v>49</v>
      </c>
      <c r="O377" s="2" t="n">
        <v>136</v>
      </c>
      <c r="P377" s="2" t="n">
        <v>239</v>
      </c>
      <c r="Q377" s="2" t="n">
        <v>407</v>
      </c>
      <c r="R377" s="2" t="n">
        <v>83</v>
      </c>
      <c r="S377" s="2" t="n">
        <v>19</v>
      </c>
      <c r="T377" s="2" t="s">
        <v>27</v>
      </c>
      <c r="U377" s="4" t="n">
        <f aca="false">(M377+N377+O377+P377)/L377</f>
        <v>0.0539536075868256</v>
      </c>
      <c r="V377" s="2" t="str">
        <f aca="false">IF(S377&lt;=5,"Late night (0-5)",IF(S377&lt;=11,"Morning (6-11)",IF(S377&lt;=17,"Afternoon (12-17)","Evening (18-23)")))</f>
        <v>Evening (18-23)</v>
      </c>
    </row>
    <row r="378" customFormat="false" ht="15" hidden="false" customHeight="false" outlineLevel="0" collapsed="false">
      <c r="A378" s="2" t="s">
        <v>810</v>
      </c>
      <c r="B378" s="2" t="s">
        <v>345</v>
      </c>
      <c r="C378" s="2" t="s">
        <v>30</v>
      </c>
      <c r="D378" s="3" t="n">
        <v>45671</v>
      </c>
      <c r="E378" s="2" t="s">
        <v>805</v>
      </c>
      <c r="F378" s="2" t="s">
        <v>38</v>
      </c>
      <c r="G378" s="2" t="n">
        <v>8662</v>
      </c>
      <c r="H378" s="2" t="n">
        <v>14</v>
      </c>
      <c r="I378" s="2" t="n">
        <v>139</v>
      </c>
      <c r="J378" s="2" t="n">
        <v>0</v>
      </c>
      <c r="K378" s="2" t="n">
        <v>3300</v>
      </c>
      <c r="L378" s="2" t="n">
        <v>2229</v>
      </c>
      <c r="M378" s="2" t="n">
        <v>196</v>
      </c>
      <c r="N378" s="2" t="n">
        <v>11</v>
      </c>
      <c r="O378" s="2" t="n">
        <v>25</v>
      </c>
      <c r="P378" s="2" t="n">
        <v>10</v>
      </c>
      <c r="Q378" s="2" t="n">
        <v>22</v>
      </c>
      <c r="R378" s="2" t="n">
        <v>1</v>
      </c>
      <c r="S378" s="2" t="n">
        <v>11</v>
      </c>
      <c r="T378" s="2" t="s">
        <v>51</v>
      </c>
      <c r="U378" s="4" t="n">
        <f aca="false">(M378+N378+O378+P378)/L378</f>
        <v>0.108568864961866</v>
      </c>
      <c r="V378" s="2" t="str">
        <f aca="false">IF(S378&lt;=5,"Late night (0-5)",IF(S378&lt;=11,"Morning (6-11)",IF(S378&lt;=17,"Afternoon (12-17)","Evening (18-23)")))</f>
        <v>Morning (6-11)</v>
      </c>
    </row>
    <row r="379" customFormat="false" ht="15" hidden="false" customHeight="false" outlineLevel="0" collapsed="false">
      <c r="A379" s="2" t="s">
        <v>811</v>
      </c>
      <c r="B379" s="2" t="s">
        <v>123</v>
      </c>
      <c r="C379" s="2" t="s">
        <v>24</v>
      </c>
      <c r="D379" s="3" t="n">
        <v>45908</v>
      </c>
      <c r="E379" s="2" t="s">
        <v>161</v>
      </c>
      <c r="F379" s="2" t="s">
        <v>38</v>
      </c>
      <c r="G379" s="2" t="n">
        <v>41391</v>
      </c>
      <c r="H379" s="2" t="n">
        <v>9</v>
      </c>
      <c r="I379" s="2" t="n">
        <v>66</v>
      </c>
      <c r="J379" s="2" t="n">
        <v>1</v>
      </c>
      <c r="K379" s="2" t="n">
        <v>13362</v>
      </c>
      <c r="L379" s="2" t="n">
        <v>8317</v>
      </c>
      <c r="M379" s="2" t="n">
        <v>687</v>
      </c>
      <c r="N379" s="2" t="n">
        <v>35</v>
      </c>
      <c r="O379" s="2" t="n">
        <v>77</v>
      </c>
      <c r="P379" s="2" t="n">
        <v>40</v>
      </c>
      <c r="Q379" s="2" t="n">
        <v>152</v>
      </c>
      <c r="R379" s="2" t="n">
        <v>27</v>
      </c>
      <c r="S379" s="2" t="n">
        <v>4</v>
      </c>
      <c r="T379" s="2" t="s">
        <v>33</v>
      </c>
      <c r="U379" s="4" t="n">
        <f aca="false">(M379+N379+O379+P379)/L379</f>
        <v>0.10087772033185</v>
      </c>
      <c r="V379" s="2" t="str">
        <f aca="false">IF(S379&lt;=5,"Late night (0-5)",IF(S379&lt;=11,"Morning (6-11)",IF(S379&lt;=17,"Afternoon (12-17)","Evening (18-23)")))</f>
        <v>Late night (0-5)</v>
      </c>
    </row>
    <row r="380" customFormat="false" ht="15" hidden="false" customHeight="false" outlineLevel="0" collapsed="false">
      <c r="A380" s="2" t="s">
        <v>812</v>
      </c>
      <c r="B380" s="2" t="s">
        <v>53</v>
      </c>
      <c r="C380" s="2" t="s">
        <v>54</v>
      </c>
      <c r="D380" s="3" t="n">
        <v>45897</v>
      </c>
      <c r="E380" s="2" t="s">
        <v>813</v>
      </c>
      <c r="F380" s="2" t="s">
        <v>38</v>
      </c>
      <c r="G380" s="2" t="n">
        <v>11318</v>
      </c>
      <c r="H380" s="2" t="n">
        <v>5</v>
      </c>
      <c r="I380" s="2" t="n">
        <v>125</v>
      </c>
      <c r="J380" s="2" t="n">
        <v>0</v>
      </c>
      <c r="K380" s="2" t="n">
        <v>6245</v>
      </c>
      <c r="L380" s="2" t="n">
        <v>5166</v>
      </c>
      <c r="M380" s="2" t="n">
        <v>419</v>
      </c>
      <c r="N380" s="2" t="n">
        <v>25</v>
      </c>
      <c r="O380" s="2" t="n">
        <v>58</v>
      </c>
      <c r="P380" s="2" t="n">
        <v>44</v>
      </c>
      <c r="Q380" s="2" t="n">
        <v>45</v>
      </c>
      <c r="R380" s="2" t="n">
        <v>12</v>
      </c>
      <c r="S380" s="2" t="n">
        <v>6</v>
      </c>
      <c r="T380" s="2" t="s">
        <v>79</v>
      </c>
      <c r="U380" s="4" t="n">
        <f aca="false">(M380+N380+O380+P380)/L380</f>
        <v>0.105691056910569</v>
      </c>
      <c r="V380" s="2" t="str">
        <f aca="false">IF(S380&lt;=5,"Late night (0-5)",IF(S380&lt;=11,"Morning (6-11)",IF(S380&lt;=17,"Afternoon (12-17)","Evening (18-23)")))</f>
        <v>Morning (6-11)</v>
      </c>
    </row>
    <row r="381" customFormat="false" ht="15" hidden="false" customHeight="false" outlineLevel="0" collapsed="false">
      <c r="A381" s="2" t="s">
        <v>814</v>
      </c>
      <c r="B381" s="2" t="s">
        <v>243</v>
      </c>
      <c r="C381" s="2" t="s">
        <v>91</v>
      </c>
      <c r="D381" s="3" t="n">
        <v>45690</v>
      </c>
      <c r="E381" s="2" t="s">
        <v>777</v>
      </c>
      <c r="F381" s="2" t="s">
        <v>38</v>
      </c>
      <c r="G381" s="2" t="n">
        <v>42046</v>
      </c>
      <c r="H381" s="2" t="n">
        <v>16</v>
      </c>
      <c r="I381" s="2" t="n">
        <v>164</v>
      </c>
      <c r="J381" s="2" t="n">
        <v>0</v>
      </c>
      <c r="K381" s="2" t="n">
        <v>79972</v>
      </c>
      <c r="L381" s="2" t="n">
        <v>56305</v>
      </c>
      <c r="M381" s="2" t="n">
        <v>5024</v>
      </c>
      <c r="N381" s="2" t="n">
        <v>337</v>
      </c>
      <c r="O381" s="2" t="n">
        <v>708</v>
      </c>
      <c r="P381" s="2" t="n">
        <v>794</v>
      </c>
      <c r="Q381" s="2" t="n">
        <v>1467</v>
      </c>
      <c r="R381" s="2" t="n">
        <v>353</v>
      </c>
      <c r="S381" s="2" t="n">
        <v>19</v>
      </c>
      <c r="T381" s="2" t="s">
        <v>27</v>
      </c>
      <c r="U381" s="4" t="n">
        <f aca="false">(M381+N381+O381+P381)/L381</f>
        <v>0.121889707841222</v>
      </c>
      <c r="V381" s="2" t="str">
        <f aca="false">IF(S381&lt;=5,"Late night (0-5)",IF(S381&lt;=11,"Morning (6-11)",IF(S381&lt;=17,"Afternoon (12-17)","Evening (18-23)")))</f>
        <v>Evening (18-23)</v>
      </c>
    </row>
    <row r="382" customFormat="false" ht="15" hidden="false" customHeight="false" outlineLevel="0" collapsed="false">
      <c r="A382" s="2" t="s">
        <v>815</v>
      </c>
      <c r="B382" s="2" t="s">
        <v>206</v>
      </c>
      <c r="C382" s="2" t="s">
        <v>48</v>
      </c>
      <c r="D382" s="3" t="n">
        <v>45884</v>
      </c>
      <c r="E382" s="2" t="s">
        <v>472</v>
      </c>
      <c r="F382" s="2" t="s">
        <v>38</v>
      </c>
      <c r="G382" s="2" t="n">
        <v>42937</v>
      </c>
      <c r="H382" s="2" t="n">
        <v>5</v>
      </c>
      <c r="I382" s="2" t="n">
        <v>160</v>
      </c>
      <c r="J382" s="2" t="n">
        <v>1</v>
      </c>
      <c r="K382" s="2" t="n">
        <v>10179</v>
      </c>
      <c r="L382" s="2" t="n">
        <v>7227</v>
      </c>
      <c r="M382" s="2" t="n">
        <v>601</v>
      </c>
      <c r="N382" s="2" t="n">
        <v>29</v>
      </c>
      <c r="O382" s="2" t="n">
        <v>64</v>
      </c>
      <c r="P382" s="2" t="n">
        <v>61</v>
      </c>
      <c r="Q382" s="2" t="n">
        <v>92</v>
      </c>
      <c r="R382" s="2" t="n">
        <v>26</v>
      </c>
      <c r="S382" s="2" t="n">
        <v>4</v>
      </c>
      <c r="T382" s="2" t="s">
        <v>96</v>
      </c>
      <c r="U382" s="4" t="n">
        <f aca="false">(M382+N382+O382+P382)/L382</f>
        <v>0.104469351044694</v>
      </c>
      <c r="V382" s="2" t="str">
        <f aca="false">IF(S382&lt;=5,"Late night (0-5)",IF(S382&lt;=11,"Morning (6-11)",IF(S382&lt;=17,"Afternoon (12-17)","Evening (18-23)")))</f>
        <v>Late night (0-5)</v>
      </c>
    </row>
    <row r="383" customFormat="false" ht="15" hidden="false" customHeight="false" outlineLevel="0" collapsed="false">
      <c r="A383" s="2" t="s">
        <v>816</v>
      </c>
      <c r="B383" s="2" t="s">
        <v>35</v>
      </c>
      <c r="C383" s="2" t="s">
        <v>36</v>
      </c>
      <c r="D383" s="3" t="n">
        <v>45944</v>
      </c>
      <c r="E383" s="2" t="s">
        <v>391</v>
      </c>
      <c r="F383" s="2" t="s">
        <v>26</v>
      </c>
      <c r="G383" s="2" t="n">
        <v>33933</v>
      </c>
      <c r="H383" s="2" t="n">
        <v>10</v>
      </c>
      <c r="I383" s="2" t="n">
        <v>10</v>
      </c>
      <c r="J383" s="2" t="n">
        <v>1</v>
      </c>
      <c r="K383" s="2" t="n">
        <v>44894</v>
      </c>
      <c r="L383" s="2" t="n">
        <v>28795</v>
      </c>
      <c r="M383" s="2" t="n">
        <v>1872</v>
      </c>
      <c r="N383" s="2" t="n">
        <v>45</v>
      </c>
      <c r="O383" s="2" t="n">
        <v>361</v>
      </c>
      <c r="P383" s="2" t="n">
        <v>330</v>
      </c>
      <c r="Q383" s="2" t="n">
        <v>402</v>
      </c>
      <c r="R383" s="2" t="n">
        <v>82</v>
      </c>
      <c r="S383" s="2" t="n">
        <v>20</v>
      </c>
      <c r="T383" s="2" t="s">
        <v>51</v>
      </c>
      <c r="U383" s="4" t="n">
        <f aca="false">(M383+N383+O383+P383)/L383</f>
        <v>0.0905712797360653</v>
      </c>
      <c r="V383" s="2" t="str">
        <f aca="false">IF(S383&lt;=5,"Late night (0-5)",IF(S383&lt;=11,"Morning (6-11)",IF(S383&lt;=17,"Afternoon (12-17)","Evening (18-23)")))</f>
        <v>Evening (18-23)</v>
      </c>
    </row>
    <row r="384" customFormat="false" ht="15" hidden="false" customHeight="false" outlineLevel="0" collapsed="false">
      <c r="A384" s="2" t="s">
        <v>817</v>
      </c>
      <c r="B384" s="2" t="s">
        <v>148</v>
      </c>
      <c r="C384" s="2" t="s">
        <v>48</v>
      </c>
      <c r="D384" s="3" t="n">
        <v>45987</v>
      </c>
      <c r="E384" s="2" t="s">
        <v>592</v>
      </c>
      <c r="F384" s="2" t="s">
        <v>38</v>
      </c>
      <c r="G384" s="2" t="n">
        <v>46311</v>
      </c>
      <c r="H384" s="2" t="n">
        <v>11</v>
      </c>
      <c r="I384" s="2" t="n">
        <v>308</v>
      </c>
      <c r="J384" s="2" t="n">
        <v>0</v>
      </c>
      <c r="K384" s="2" t="n">
        <v>21966</v>
      </c>
      <c r="L384" s="2" t="n">
        <v>19568</v>
      </c>
      <c r="M384" s="2" t="n">
        <v>714</v>
      </c>
      <c r="N384" s="2" t="n">
        <v>16</v>
      </c>
      <c r="O384" s="2" t="n">
        <v>136</v>
      </c>
      <c r="P384" s="2" t="n">
        <v>111</v>
      </c>
      <c r="Q384" s="2" t="n">
        <v>447</v>
      </c>
      <c r="R384" s="2" t="n">
        <v>22</v>
      </c>
      <c r="S384" s="2" t="n">
        <v>2</v>
      </c>
      <c r="T384" s="2" t="s">
        <v>66</v>
      </c>
      <c r="U384" s="4" t="n">
        <f aca="false">(M384+N384+O384+P384)/L384</f>
        <v>0.0499284546197874</v>
      </c>
      <c r="V384" s="2" t="str">
        <f aca="false">IF(S384&lt;=5,"Late night (0-5)",IF(S384&lt;=11,"Morning (6-11)",IF(S384&lt;=17,"Afternoon (12-17)","Evening (18-23)")))</f>
        <v>Late night (0-5)</v>
      </c>
    </row>
    <row r="385" customFormat="false" ht="15" hidden="false" customHeight="false" outlineLevel="0" collapsed="false">
      <c r="A385" s="2" t="s">
        <v>818</v>
      </c>
      <c r="B385" s="2" t="s">
        <v>106</v>
      </c>
      <c r="C385" s="2" t="s">
        <v>91</v>
      </c>
      <c r="D385" s="3" t="n">
        <v>45915</v>
      </c>
      <c r="E385" s="2" t="s">
        <v>61</v>
      </c>
      <c r="F385" s="2" t="s">
        <v>26</v>
      </c>
      <c r="G385" s="2" t="n">
        <v>59477</v>
      </c>
      <c r="H385" s="2" t="n">
        <v>6</v>
      </c>
      <c r="I385" s="2" t="n">
        <v>269</v>
      </c>
      <c r="J385" s="2" t="n">
        <v>1</v>
      </c>
      <c r="K385" s="2" t="n">
        <v>35418</v>
      </c>
      <c r="L385" s="2" t="n">
        <v>23206</v>
      </c>
      <c r="M385" s="2" t="n">
        <v>1654</v>
      </c>
      <c r="N385" s="2" t="n">
        <v>33</v>
      </c>
      <c r="O385" s="2" t="n">
        <v>193</v>
      </c>
      <c r="P385" s="2" t="n">
        <v>333</v>
      </c>
      <c r="Q385" s="2" t="n">
        <v>575</v>
      </c>
      <c r="R385" s="2" t="n">
        <v>34</v>
      </c>
      <c r="S385" s="2" t="n">
        <v>18</v>
      </c>
      <c r="T385" s="2" t="s">
        <v>33</v>
      </c>
      <c r="U385" s="4" t="n">
        <f aca="false">(M385+N385+O385+P385)/L385</f>
        <v>0.0953632681203137</v>
      </c>
      <c r="V385" s="2" t="str">
        <f aca="false">IF(S385&lt;=5,"Late night (0-5)",IF(S385&lt;=11,"Morning (6-11)",IF(S385&lt;=17,"Afternoon (12-17)","Evening (18-23)")))</f>
        <v>Evening (18-23)</v>
      </c>
    </row>
    <row r="386" customFormat="false" ht="15" hidden="false" customHeight="false" outlineLevel="0" collapsed="false">
      <c r="A386" s="2" t="s">
        <v>819</v>
      </c>
      <c r="B386" s="2" t="s">
        <v>188</v>
      </c>
      <c r="C386" s="2" t="s">
        <v>30</v>
      </c>
      <c r="D386" s="3" t="n">
        <v>45975</v>
      </c>
      <c r="E386" s="2" t="s">
        <v>820</v>
      </c>
      <c r="F386" s="2" t="s">
        <v>38</v>
      </c>
      <c r="G386" s="2" t="n">
        <v>38900</v>
      </c>
      <c r="H386" s="2" t="n">
        <v>15</v>
      </c>
      <c r="I386" s="2" t="n">
        <v>222</v>
      </c>
      <c r="J386" s="2" t="n">
        <v>1</v>
      </c>
      <c r="K386" s="2" t="n">
        <v>52492</v>
      </c>
      <c r="L386" s="2" t="n">
        <v>31909</v>
      </c>
      <c r="M386" s="2" t="n">
        <v>2700</v>
      </c>
      <c r="N386" s="2" t="n">
        <v>64</v>
      </c>
      <c r="O386" s="2" t="n">
        <v>523</v>
      </c>
      <c r="P386" s="2" t="n">
        <v>787</v>
      </c>
      <c r="Q386" s="2" t="n">
        <v>697</v>
      </c>
      <c r="R386" s="2" t="n">
        <v>188</v>
      </c>
      <c r="S386" s="2" t="n">
        <v>23</v>
      </c>
      <c r="T386" s="2" t="s">
        <v>96</v>
      </c>
      <c r="U386" s="4" t="n">
        <f aca="false">(M386+N386+O386+P386)/L386</f>
        <v>0.127675577423298</v>
      </c>
      <c r="V386" s="2" t="str">
        <f aca="false">IF(S386&lt;=5,"Late night (0-5)",IF(S386&lt;=11,"Morning (6-11)",IF(S386&lt;=17,"Afternoon (12-17)","Evening (18-23)")))</f>
        <v>Evening (18-23)</v>
      </c>
    </row>
    <row r="387" customFormat="false" ht="15" hidden="false" customHeight="false" outlineLevel="0" collapsed="false">
      <c r="A387" s="2" t="s">
        <v>821</v>
      </c>
      <c r="B387" s="2" t="s">
        <v>243</v>
      </c>
      <c r="C387" s="2" t="s">
        <v>91</v>
      </c>
      <c r="D387" s="3" t="n">
        <v>45960</v>
      </c>
      <c r="E387" s="2" t="s">
        <v>438</v>
      </c>
      <c r="F387" s="2" t="s">
        <v>38</v>
      </c>
      <c r="G387" s="2" t="n">
        <v>42046</v>
      </c>
      <c r="H387" s="2" t="n">
        <v>13</v>
      </c>
      <c r="I387" s="2" t="n">
        <v>264</v>
      </c>
      <c r="J387" s="2" t="n">
        <v>0</v>
      </c>
      <c r="K387" s="2" t="n">
        <v>32075</v>
      </c>
      <c r="L387" s="2" t="n">
        <v>24810</v>
      </c>
      <c r="M387" s="2" t="n">
        <v>2063</v>
      </c>
      <c r="N387" s="2" t="n">
        <v>125</v>
      </c>
      <c r="O387" s="2" t="n">
        <v>376</v>
      </c>
      <c r="P387" s="2" t="n">
        <v>183</v>
      </c>
      <c r="Q387" s="2" t="n">
        <v>714</v>
      </c>
      <c r="R387" s="2" t="n">
        <v>145</v>
      </c>
      <c r="S387" s="2" t="n">
        <v>7</v>
      </c>
      <c r="T387" s="2" t="s">
        <v>79</v>
      </c>
      <c r="U387" s="4" t="n">
        <f aca="false">(M387+N387+O387+P387)/L387</f>
        <v>0.110721483272874</v>
      </c>
      <c r="V387" s="2" t="str">
        <f aca="false">IF(S387&lt;=5,"Late night (0-5)",IF(S387&lt;=11,"Morning (6-11)",IF(S387&lt;=17,"Afternoon (12-17)","Evening (18-23)")))</f>
        <v>Morning (6-11)</v>
      </c>
    </row>
    <row r="388" customFormat="false" ht="15" hidden="false" customHeight="false" outlineLevel="0" collapsed="false">
      <c r="A388" s="2" t="s">
        <v>822</v>
      </c>
      <c r="B388" s="2" t="s">
        <v>310</v>
      </c>
      <c r="C388" s="2" t="s">
        <v>91</v>
      </c>
      <c r="D388" s="3" t="n">
        <v>45936</v>
      </c>
      <c r="E388" s="2" t="s">
        <v>823</v>
      </c>
      <c r="F388" s="2" t="s">
        <v>50</v>
      </c>
      <c r="G388" s="2" t="n">
        <v>56571</v>
      </c>
      <c r="H388" s="2" t="n">
        <v>3</v>
      </c>
      <c r="I388" s="2" t="n">
        <v>121</v>
      </c>
      <c r="J388" s="2" t="n">
        <v>0</v>
      </c>
      <c r="K388" s="2" t="n">
        <v>62061</v>
      </c>
      <c r="L388" s="2" t="n">
        <v>55432</v>
      </c>
      <c r="M388" s="2" t="n">
        <v>2819</v>
      </c>
      <c r="N388" s="2" t="n">
        <v>152</v>
      </c>
      <c r="O388" s="2" t="n">
        <v>252</v>
      </c>
      <c r="P388" s="2" t="n">
        <v>804</v>
      </c>
      <c r="Q388" s="2" t="n">
        <v>630</v>
      </c>
      <c r="R388" s="2" t="n">
        <v>75</v>
      </c>
      <c r="S388" s="2" t="n">
        <v>19</v>
      </c>
      <c r="T388" s="2" t="s">
        <v>33</v>
      </c>
      <c r="U388" s="4" t="n">
        <f aca="false">(M388+N388+O388+P388)/L388</f>
        <v>0.0726475681916583</v>
      </c>
      <c r="V388" s="2" t="str">
        <f aca="false">IF(S388&lt;=5,"Late night (0-5)",IF(S388&lt;=11,"Morning (6-11)",IF(S388&lt;=17,"Afternoon (12-17)","Evening (18-23)")))</f>
        <v>Evening (18-23)</v>
      </c>
    </row>
    <row r="389" customFormat="false" ht="15" hidden="false" customHeight="false" outlineLevel="0" collapsed="false">
      <c r="A389" s="2" t="s">
        <v>824</v>
      </c>
      <c r="B389" s="2" t="s">
        <v>181</v>
      </c>
      <c r="C389" s="2" t="s">
        <v>91</v>
      </c>
      <c r="D389" s="3" t="n">
        <v>45772</v>
      </c>
      <c r="E389" s="2" t="s">
        <v>825</v>
      </c>
      <c r="F389" s="2" t="s">
        <v>26</v>
      </c>
      <c r="G389" s="2" t="n">
        <v>31658</v>
      </c>
      <c r="H389" s="2" t="n">
        <v>11</v>
      </c>
      <c r="I389" s="2" t="n">
        <v>173</v>
      </c>
      <c r="J389" s="2" t="n">
        <v>0</v>
      </c>
      <c r="K389" s="2" t="n">
        <v>25715</v>
      </c>
      <c r="L389" s="2" t="n">
        <v>18643</v>
      </c>
      <c r="M389" s="2" t="n">
        <v>1598</v>
      </c>
      <c r="N389" s="2" t="n">
        <v>67</v>
      </c>
      <c r="O389" s="2" t="n">
        <v>160</v>
      </c>
      <c r="P389" s="2" t="n">
        <v>460</v>
      </c>
      <c r="Q389" s="2" t="n">
        <v>466</v>
      </c>
      <c r="R389" s="2" t="n">
        <v>101</v>
      </c>
      <c r="S389" s="2" t="n">
        <v>18</v>
      </c>
      <c r="T389" s="2" t="s">
        <v>96</v>
      </c>
      <c r="U389" s="4" t="n">
        <f aca="false">(M389+N389+O389+P389)/L389</f>
        <v>0.122566110604516</v>
      </c>
      <c r="V389" s="2" t="str">
        <f aca="false">IF(S389&lt;=5,"Late night (0-5)",IF(S389&lt;=11,"Morning (6-11)",IF(S389&lt;=17,"Afternoon (12-17)","Evening (18-23)")))</f>
        <v>Evening (18-23)</v>
      </c>
    </row>
    <row r="390" customFormat="false" ht="15" hidden="false" customHeight="false" outlineLevel="0" collapsed="false">
      <c r="A390" s="2" t="s">
        <v>826</v>
      </c>
      <c r="B390" s="2" t="s">
        <v>83</v>
      </c>
      <c r="C390" s="2" t="s">
        <v>84</v>
      </c>
      <c r="D390" s="3" t="n">
        <v>45916</v>
      </c>
      <c r="E390" s="2" t="s">
        <v>827</v>
      </c>
      <c r="F390" s="2" t="s">
        <v>38</v>
      </c>
      <c r="G390" s="2" t="n">
        <v>17918</v>
      </c>
      <c r="H390" s="2" t="n">
        <v>13</v>
      </c>
      <c r="I390" s="2" t="n">
        <v>175</v>
      </c>
      <c r="J390" s="2" t="n">
        <v>1</v>
      </c>
      <c r="K390" s="2" t="n">
        <v>13578</v>
      </c>
      <c r="L390" s="2" t="n">
        <v>11016</v>
      </c>
      <c r="M390" s="2" t="n">
        <v>475</v>
      </c>
      <c r="N390" s="2" t="n">
        <v>29</v>
      </c>
      <c r="O390" s="2" t="n">
        <v>21</v>
      </c>
      <c r="P390" s="2" t="n">
        <v>110</v>
      </c>
      <c r="Q390" s="2" t="n">
        <v>128</v>
      </c>
      <c r="R390" s="2" t="n">
        <v>27</v>
      </c>
      <c r="S390" s="2" t="n">
        <v>23</v>
      </c>
      <c r="T390" s="2" t="s">
        <v>51</v>
      </c>
      <c r="U390" s="4" t="n">
        <f aca="false">(M390+N390+O390+P390)/L390</f>
        <v>0.057643427741467</v>
      </c>
      <c r="V390" s="2" t="str">
        <f aca="false">IF(S390&lt;=5,"Late night (0-5)",IF(S390&lt;=11,"Morning (6-11)",IF(S390&lt;=17,"Afternoon (12-17)","Evening (18-23)")))</f>
        <v>Evening (18-23)</v>
      </c>
    </row>
    <row r="391" customFormat="false" ht="15" hidden="false" customHeight="false" outlineLevel="0" collapsed="false">
      <c r="A391" s="2" t="s">
        <v>828</v>
      </c>
      <c r="B391" s="2" t="s">
        <v>426</v>
      </c>
      <c r="C391" s="2" t="s">
        <v>30</v>
      </c>
      <c r="D391" s="3" t="n">
        <v>45911</v>
      </c>
      <c r="E391" s="2" t="s">
        <v>559</v>
      </c>
      <c r="F391" s="2" t="s">
        <v>38</v>
      </c>
      <c r="G391" s="2" t="n">
        <v>40649</v>
      </c>
      <c r="H391" s="2" t="n">
        <v>20</v>
      </c>
      <c r="I391" s="2" t="n">
        <v>74</v>
      </c>
      <c r="J391" s="2" t="n">
        <v>0</v>
      </c>
      <c r="K391" s="2" t="n">
        <v>68520</v>
      </c>
      <c r="L391" s="2" t="n">
        <v>38078</v>
      </c>
      <c r="M391" s="2" t="n">
        <v>2464</v>
      </c>
      <c r="N391" s="2" t="n">
        <v>168</v>
      </c>
      <c r="O391" s="2" t="n">
        <v>385</v>
      </c>
      <c r="P391" s="2" t="n">
        <v>650</v>
      </c>
      <c r="Q391" s="2" t="n">
        <v>1099</v>
      </c>
      <c r="R391" s="2" t="n">
        <v>107</v>
      </c>
      <c r="S391" s="2" t="n">
        <v>14</v>
      </c>
      <c r="T391" s="2" t="s">
        <v>79</v>
      </c>
      <c r="U391" s="4" t="n">
        <f aca="false">(M391+N391+O391+P391)/L391</f>
        <v>0.0963023268028783</v>
      </c>
      <c r="V391" s="2" t="str">
        <f aca="false">IF(S391&lt;=5,"Late night (0-5)",IF(S391&lt;=11,"Morning (6-11)",IF(S391&lt;=17,"Afternoon (12-17)","Evening (18-23)")))</f>
        <v>Afternoon (12-17)</v>
      </c>
    </row>
    <row r="392" customFormat="false" ht="15" hidden="false" customHeight="false" outlineLevel="0" collapsed="false">
      <c r="A392" s="2" t="s">
        <v>829</v>
      </c>
      <c r="B392" s="2" t="s">
        <v>103</v>
      </c>
      <c r="C392" s="2" t="s">
        <v>36</v>
      </c>
      <c r="D392" s="3" t="n">
        <v>45768</v>
      </c>
      <c r="E392" s="2" t="s">
        <v>830</v>
      </c>
      <c r="F392" s="2" t="s">
        <v>38</v>
      </c>
      <c r="G392" s="2" t="n">
        <v>56979</v>
      </c>
      <c r="H392" s="2" t="n">
        <v>13</v>
      </c>
      <c r="I392" s="2" t="n">
        <v>163</v>
      </c>
      <c r="J392" s="2" t="n">
        <v>0</v>
      </c>
      <c r="K392" s="2" t="n">
        <v>34414</v>
      </c>
      <c r="L392" s="2" t="n">
        <v>22380</v>
      </c>
      <c r="M392" s="2" t="n">
        <v>871</v>
      </c>
      <c r="N392" s="2" t="n">
        <v>47</v>
      </c>
      <c r="O392" s="2" t="n">
        <v>81</v>
      </c>
      <c r="P392" s="2" t="n">
        <v>93</v>
      </c>
      <c r="Q392" s="2" t="n">
        <v>438</v>
      </c>
      <c r="R392" s="2" t="n">
        <v>22</v>
      </c>
      <c r="S392" s="2" t="n">
        <v>6</v>
      </c>
      <c r="T392" s="2" t="s">
        <v>33</v>
      </c>
      <c r="U392" s="4" t="n">
        <f aca="false">(M392+N392+O392+P392)/L392</f>
        <v>0.0487935656836461</v>
      </c>
      <c r="V392" s="2" t="str">
        <f aca="false">IF(S392&lt;=5,"Late night (0-5)",IF(S392&lt;=11,"Morning (6-11)",IF(S392&lt;=17,"Afternoon (12-17)","Evening (18-23)")))</f>
        <v>Morning (6-11)</v>
      </c>
    </row>
    <row r="393" customFormat="false" ht="15" hidden="false" customHeight="false" outlineLevel="0" collapsed="false">
      <c r="A393" s="2" t="s">
        <v>831</v>
      </c>
      <c r="B393" s="2" t="s">
        <v>345</v>
      </c>
      <c r="C393" s="2" t="s">
        <v>30</v>
      </c>
      <c r="D393" s="3" t="n">
        <v>45951</v>
      </c>
      <c r="E393" s="2" t="s">
        <v>159</v>
      </c>
      <c r="F393" s="2" t="s">
        <v>32</v>
      </c>
      <c r="G393" s="2" t="n">
        <v>8662</v>
      </c>
      <c r="H393" s="2" t="n">
        <v>13</v>
      </c>
      <c r="I393" s="2" t="n">
        <v>184</v>
      </c>
      <c r="J393" s="2" t="n">
        <v>0</v>
      </c>
      <c r="K393" s="2" t="n">
        <v>15671</v>
      </c>
      <c r="L393" s="2" t="n">
        <v>9648</v>
      </c>
      <c r="M393" s="2" t="n">
        <v>873</v>
      </c>
      <c r="N393" s="2" t="n">
        <v>49</v>
      </c>
      <c r="O393" s="2" t="n">
        <v>133</v>
      </c>
      <c r="P393" s="2" t="n">
        <v>111</v>
      </c>
      <c r="Q393" s="2" t="n">
        <v>247</v>
      </c>
      <c r="R393" s="2" t="n">
        <v>43</v>
      </c>
      <c r="S393" s="2" t="n">
        <v>19</v>
      </c>
      <c r="T393" s="2" t="s">
        <v>51</v>
      </c>
      <c r="U393" s="4" t="n">
        <f aca="false">(M393+N393+O393+P393)/L393</f>
        <v>0.120854063018242</v>
      </c>
      <c r="V393" s="2" t="str">
        <f aca="false">IF(S393&lt;=5,"Late night (0-5)",IF(S393&lt;=11,"Morning (6-11)",IF(S393&lt;=17,"Afternoon (12-17)","Evening (18-23)")))</f>
        <v>Evening (18-23)</v>
      </c>
    </row>
    <row r="394" customFormat="false" ht="15" hidden="false" customHeight="false" outlineLevel="0" collapsed="false">
      <c r="A394" s="2" t="s">
        <v>832</v>
      </c>
      <c r="B394" s="2" t="s">
        <v>83</v>
      </c>
      <c r="C394" s="2" t="s">
        <v>84</v>
      </c>
      <c r="D394" s="3" t="n">
        <v>45823</v>
      </c>
      <c r="E394" s="2" t="s">
        <v>833</v>
      </c>
      <c r="F394" s="2" t="s">
        <v>32</v>
      </c>
      <c r="G394" s="2" t="n">
        <v>17918</v>
      </c>
      <c r="H394" s="2" t="n">
        <v>5</v>
      </c>
      <c r="I394" s="2" t="n">
        <v>215</v>
      </c>
      <c r="J394" s="2" t="n">
        <v>0</v>
      </c>
      <c r="K394" s="2" t="n">
        <v>37892</v>
      </c>
      <c r="L394" s="2" t="n">
        <v>32633</v>
      </c>
      <c r="M394" s="2" t="n">
        <v>3185</v>
      </c>
      <c r="N394" s="2" t="n">
        <v>143</v>
      </c>
      <c r="O394" s="2" t="n">
        <v>502</v>
      </c>
      <c r="P394" s="2" t="n">
        <v>767</v>
      </c>
      <c r="Q394" s="2" t="n">
        <v>856</v>
      </c>
      <c r="R394" s="2" t="n">
        <v>152</v>
      </c>
      <c r="S394" s="2" t="n">
        <v>21</v>
      </c>
      <c r="T394" s="2" t="s">
        <v>27</v>
      </c>
      <c r="U394" s="4" t="n">
        <f aca="false">(M394+N394+O394+P394)/L394</f>
        <v>0.140869671804615</v>
      </c>
      <c r="V394" s="2" t="str">
        <f aca="false">IF(S394&lt;=5,"Late night (0-5)",IF(S394&lt;=11,"Morning (6-11)",IF(S394&lt;=17,"Afternoon (12-17)","Evening (18-23)")))</f>
        <v>Evening (18-23)</v>
      </c>
    </row>
    <row r="395" customFormat="false" ht="15" hidden="false" customHeight="false" outlineLevel="0" collapsed="false">
      <c r="A395" s="2" t="s">
        <v>834</v>
      </c>
      <c r="B395" s="2" t="s">
        <v>247</v>
      </c>
      <c r="C395" s="2" t="s">
        <v>24</v>
      </c>
      <c r="D395" s="3" t="n">
        <v>45979</v>
      </c>
      <c r="E395" s="2" t="s">
        <v>835</v>
      </c>
      <c r="F395" s="2" t="s">
        <v>32</v>
      </c>
      <c r="G395" s="2" t="n">
        <v>70847</v>
      </c>
      <c r="H395" s="2" t="n">
        <v>10</v>
      </c>
      <c r="I395" s="2" t="n">
        <v>160</v>
      </c>
      <c r="J395" s="2" t="n">
        <v>0</v>
      </c>
      <c r="K395" s="2" t="n">
        <v>77566</v>
      </c>
      <c r="L395" s="2" t="n">
        <v>44196</v>
      </c>
      <c r="M395" s="2" t="n">
        <v>2923</v>
      </c>
      <c r="N395" s="2" t="n">
        <v>214</v>
      </c>
      <c r="O395" s="2" t="n">
        <v>574</v>
      </c>
      <c r="P395" s="2" t="n">
        <v>529</v>
      </c>
      <c r="Q395" s="2" t="n">
        <v>397</v>
      </c>
      <c r="R395" s="2" t="n">
        <v>46</v>
      </c>
      <c r="S395" s="2" t="n">
        <v>4</v>
      </c>
      <c r="T395" s="2" t="s">
        <v>51</v>
      </c>
      <c r="U395" s="4" t="n">
        <f aca="false">(M395+N395+O395+P395)/L395</f>
        <v>0.0959362838265906</v>
      </c>
      <c r="V395" s="2" t="str">
        <f aca="false">IF(S395&lt;=5,"Late night (0-5)",IF(S395&lt;=11,"Morning (6-11)",IF(S395&lt;=17,"Afternoon (12-17)","Evening (18-23)")))</f>
        <v>Late night (0-5)</v>
      </c>
    </row>
    <row r="396" customFormat="false" ht="15" hidden="false" customHeight="false" outlineLevel="0" collapsed="false">
      <c r="A396" s="2" t="s">
        <v>836</v>
      </c>
      <c r="B396" s="2" t="s">
        <v>374</v>
      </c>
      <c r="C396" s="2" t="s">
        <v>24</v>
      </c>
      <c r="D396" s="3" t="n">
        <v>45677</v>
      </c>
      <c r="E396" s="2" t="s">
        <v>837</v>
      </c>
      <c r="F396" s="2" t="s">
        <v>38</v>
      </c>
      <c r="G396" s="2" t="n">
        <v>9509</v>
      </c>
      <c r="H396" s="2" t="n">
        <v>8</v>
      </c>
      <c r="I396" s="2" t="n">
        <v>69</v>
      </c>
      <c r="J396" s="2" t="n">
        <v>1</v>
      </c>
      <c r="K396" s="2" t="n">
        <v>9528</v>
      </c>
      <c r="L396" s="2" t="n">
        <v>5779</v>
      </c>
      <c r="M396" s="2" t="n">
        <v>303</v>
      </c>
      <c r="N396" s="2" t="n">
        <v>17</v>
      </c>
      <c r="O396" s="2" t="n">
        <v>20</v>
      </c>
      <c r="P396" s="2" t="n">
        <v>59</v>
      </c>
      <c r="Q396" s="2" t="n">
        <v>40</v>
      </c>
      <c r="R396" s="2" t="n">
        <v>6</v>
      </c>
      <c r="S396" s="2" t="n">
        <v>11</v>
      </c>
      <c r="T396" s="2" t="s">
        <v>33</v>
      </c>
      <c r="U396" s="4" t="n">
        <f aca="false">(M396+N396+O396+P396)/L396</f>
        <v>0.0690430870392802</v>
      </c>
      <c r="V396" s="2" t="str">
        <f aca="false">IF(S396&lt;=5,"Late night (0-5)",IF(S396&lt;=11,"Morning (6-11)",IF(S396&lt;=17,"Afternoon (12-17)","Evening (18-23)")))</f>
        <v>Morning (6-11)</v>
      </c>
    </row>
    <row r="397" customFormat="false" ht="15" hidden="false" customHeight="false" outlineLevel="0" collapsed="false">
      <c r="A397" s="2" t="s">
        <v>838</v>
      </c>
      <c r="B397" s="2" t="s">
        <v>188</v>
      </c>
      <c r="C397" s="2" t="s">
        <v>30</v>
      </c>
      <c r="D397" s="3" t="n">
        <v>45658</v>
      </c>
      <c r="E397" s="2" t="s">
        <v>512</v>
      </c>
      <c r="F397" s="2" t="s">
        <v>32</v>
      </c>
      <c r="G397" s="2" t="n">
        <v>38900</v>
      </c>
      <c r="H397" s="2" t="n">
        <v>7</v>
      </c>
      <c r="I397" s="2" t="n">
        <v>233</v>
      </c>
      <c r="J397" s="2" t="n">
        <v>0</v>
      </c>
      <c r="K397" s="2" t="n">
        <v>40472</v>
      </c>
      <c r="L397" s="2" t="n">
        <v>33131</v>
      </c>
      <c r="M397" s="2" t="n">
        <v>1607</v>
      </c>
      <c r="N397" s="2" t="n">
        <v>36</v>
      </c>
      <c r="O397" s="2" t="n">
        <v>136</v>
      </c>
      <c r="P397" s="2" t="n">
        <v>176</v>
      </c>
      <c r="Q397" s="2" t="n">
        <v>225</v>
      </c>
      <c r="R397" s="2" t="n">
        <v>31</v>
      </c>
      <c r="S397" s="2" t="n">
        <v>14</v>
      </c>
      <c r="T397" s="2" t="s">
        <v>66</v>
      </c>
      <c r="U397" s="4" t="n">
        <f aca="false">(M397+N397+O397+P397)/L397</f>
        <v>0.0590081796504784</v>
      </c>
      <c r="V397" s="2" t="str">
        <f aca="false">IF(S397&lt;=5,"Late night (0-5)",IF(S397&lt;=11,"Morning (6-11)",IF(S397&lt;=17,"Afternoon (12-17)","Evening (18-23)")))</f>
        <v>Afternoon (12-17)</v>
      </c>
    </row>
    <row r="398" customFormat="false" ht="15" hidden="false" customHeight="false" outlineLevel="0" collapsed="false">
      <c r="A398" s="2" t="s">
        <v>839</v>
      </c>
      <c r="B398" s="2" t="s">
        <v>132</v>
      </c>
      <c r="C398" s="2" t="s">
        <v>36</v>
      </c>
      <c r="D398" s="3" t="n">
        <v>45728</v>
      </c>
      <c r="E398" s="2" t="s">
        <v>840</v>
      </c>
      <c r="F398" s="2" t="s">
        <v>38</v>
      </c>
      <c r="G398" s="2" t="n">
        <v>83053</v>
      </c>
      <c r="H398" s="2" t="n">
        <v>8</v>
      </c>
      <c r="I398" s="2" t="n">
        <v>219</v>
      </c>
      <c r="J398" s="2" t="n">
        <v>1</v>
      </c>
      <c r="K398" s="2" t="n">
        <v>54774</v>
      </c>
      <c r="L398" s="2" t="n">
        <v>49306</v>
      </c>
      <c r="M398" s="2" t="n">
        <v>2866</v>
      </c>
      <c r="N398" s="2" t="n">
        <v>189</v>
      </c>
      <c r="O398" s="2" t="n">
        <v>134</v>
      </c>
      <c r="P398" s="2" t="n">
        <v>670</v>
      </c>
      <c r="Q398" s="2" t="n">
        <v>966</v>
      </c>
      <c r="R398" s="2" t="n">
        <v>170</v>
      </c>
      <c r="S398" s="2" t="n">
        <v>6</v>
      </c>
      <c r="T398" s="2" t="s">
        <v>66</v>
      </c>
      <c r="U398" s="4" t="n">
        <f aca="false">(M398+N398+O398+P398)/L398</f>
        <v>0.0782663367541476</v>
      </c>
      <c r="V398" s="2" t="str">
        <f aca="false">IF(S398&lt;=5,"Late night (0-5)",IF(S398&lt;=11,"Morning (6-11)",IF(S398&lt;=17,"Afternoon (12-17)","Evening (18-23)")))</f>
        <v>Morning (6-11)</v>
      </c>
    </row>
    <row r="399" customFormat="false" ht="15" hidden="false" customHeight="false" outlineLevel="0" collapsed="false">
      <c r="A399" s="2" t="s">
        <v>841</v>
      </c>
      <c r="B399" s="2" t="s">
        <v>188</v>
      </c>
      <c r="C399" s="2" t="s">
        <v>30</v>
      </c>
      <c r="D399" s="3" t="n">
        <v>45848</v>
      </c>
      <c r="E399" s="2" t="s">
        <v>842</v>
      </c>
      <c r="F399" s="2" t="s">
        <v>26</v>
      </c>
      <c r="G399" s="2" t="n">
        <v>38900</v>
      </c>
      <c r="H399" s="2" t="n">
        <v>12</v>
      </c>
      <c r="I399" s="2" t="n">
        <v>160</v>
      </c>
      <c r="J399" s="2" t="n">
        <v>1</v>
      </c>
      <c r="K399" s="2" t="n">
        <v>60253</v>
      </c>
      <c r="L399" s="2" t="n">
        <v>33892</v>
      </c>
      <c r="M399" s="2" t="n">
        <v>1846</v>
      </c>
      <c r="N399" s="2" t="n">
        <v>89</v>
      </c>
      <c r="O399" s="2" t="n">
        <v>363</v>
      </c>
      <c r="P399" s="2" t="n">
        <v>632</v>
      </c>
      <c r="Q399" s="2" t="n">
        <v>821</v>
      </c>
      <c r="R399" s="2" t="n">
        <v>144</v>
      </c>
      <c r="S399" s="2" t="n">
        <v>12</v>
      </c>
      <c r="T399" s="2" t="s">
        <v>79</v>
      </c>
      <c r="U399" s="4" t="n">
        <f aca="false">(M399+N399+O399+P399)/L399</f>
        <v>0.0864510799008616</v>
      </c>
      <c r="V399" s="2" t="str">
        <f aca="false">IF(S399&lt;=5,"Late night (0-5)",IF(S399&lt;=11,"Morning (6-11)",IF(S399&lt;=17,"Afternoon (12-17)","Evening (18-23)")))</f>
        <v>Afternoon (12-17)</v>
      </c>
    </row>
    <row r="400" customFormat="false" ht="15" hidden="false" customHeight="false" outlineLevel="0" collapsed="false">
      <c r="A400" s="2" t="s">
        <v>843</v>
      </c>
      <c r="B400" s="2" t="s">
        <v>247</v>
      </c>
      <c r="C400" s="2" t="s">
        <v>24</v>
      </c>
      <c r="D400" s="3" t="n">
        <v>45945</v>
      </c>
      <c r="E400" s="2" t="s">
        <v>691</v>
      </c>
      <c r="F400" s="2" t="s">
        <v>26</v>
      </c>
      <c r="G400" s="2" t="n">
        <v>70847</v>
      </c>
      <c r="H400" s="2" t="n">
        <v>12</v>
      </c>
      <c r="I400" s="2" t="n">
        <v>144</v>
      </c>
      <c r="J400" s="2" t="n">
        <v>1</v>
      </c>
      <c r="K400" s="2" t="n">
        <v>105599</v>
      </c>
      <c r="L400" s="2" t="n">
        <v>62160</v>
      </c>
      <c r="M400" s="2" t="n">
        <v>2764</v>
      </c>
      <c r="N400" s="2" t="n">
        <v>114</v>
      </c>
      <c r="O400" s="2" t="n">
        <v>251</v>
      </c>
      <c r="P400" s="2" t="n">
        <v>855</v>
      </c>
      <c r="Q400" s="2" t="n">
        <v>601</v>
      </c>
      <c r="R400" s="2" t="n">
        <v>177</v>
      </c>
      <c r="S400" s="2" t="n">
        <v>11</v>
      </c>
      <c r="T400" s="2" t="s">
        <v>66</v>
      </c>
      <c r="U400" s="4" t="n">
        <f aca="false">(M400+N400+O400+P400)/L400</f>
        <v>0.0640926640926641</v>
      </c>
      <c r="V400" s="2" t="str">
        <f aca="false">IF(S400&lt;=5,"Late night (0-5)",IF(S400&lt;=11,"Morning (6-11)",IF(S400&lt;=17,"Afternoon (12-17)","Evening (18-23)")))</f>
        <v>Morning (6-11)</v>
      </c>
    </row>
    <row r="401" customFormat="false" ht="15" hidden="false" customHeight="false" outlineLevel="0" collapsed="false">
      <c r="A401" s="2" t="s">
        <v>844</v>
      </c>
      <c r="B401" s="2" t="s">
        <v>188</v>
      </c>
      <c r="C401" s="2" t="s">
        <v>30</v>
      </c>
      <c r="D401" s="3" t="n">
        <v>45691</v>
      </c>
      <c r="E401" s="2" t="s">
        <v>467</v>
      </c>
      <c r="F401" s="2" t="s">
        <v>32</v>
      </c>
      <c r="G401" s="2" t="n">
        <v>38900</v>
      </c>
      <c r="H401" s="2" t="n">
        <v>14</v>
      </c>
      <c r="I401" s="2" t="n">
        <v>149</v>
      </c>
      <c r="J401" s="2" t="n">
        <v>1</v>
      </c>
      <c r="K401" s="2" t="n">
        <v>54668</v>
      </c>
      <c r="L401" s="2" t="n">
        <v>32247</v>
      </c>
      <c r="M401" s="2" t="n">
        <v>2337</v>
      </c>
      <c r="N401" s="2" t="n">
        <v>176</v>
      </c>
      <c r="O401" s="2" t="n">
        <v>133</v>
      </c>
      <c r="P401" s="2" t="n">
        <v>653</v>
      </c>
      <c r="Q401" s="2" t="n">
        <v>949</v>
      </c>
      <c r="R401" s="2" t="n">
        <v>84</v>
      </c>
      <c r="S401" s="2" t="n">
        <v>2</v>
      </c>
      <c r="T401" s="2" t="s">
        <v>33</v>
      </c>
      <c r="U401" s="4" t="n">
        <f aca="false">(M401+N401+O401+P401)/L401</f>
        <v>0.102304090302974</v>
      </c>
      <c r="V401" s="2" t="str">
        <f aca="false">IF(S401&lt;=5,"Late night (0-5)",IF(S401&lt;=11,"Morning (6-11)",IF(S401&lt;=17,"Afternoon (12-17)","Evening (18-23)")))</f>
        <v>Late night (0-5)</v>
      </c>
    </row>
    <row r="402" customFormat="false" ht="15" hidden="false" customHeight="false" outlineLevel="0" collapsed="false">
      <c r="A402" s="2" t="s">
        <v>845</v>
      </c>
      <c r="B402" s="2" t="s">
        <v>132</v>
      </c>
      <c r="C402" s="2" t="s">
        <v>36</v>
      </c>
      <c r="D402" s="3" t="n">
        <v>45993</v>
      </c>
      <c r="E402" s="2" t="s">
        <v>846</v>
      </c>
      <c r="F402" s="2" t="s">
        <v>26</v>
      </c>
      <c r="G402" s="2" t="n">
        <v>83053</v>
      </c>
      <c r="H402" s="2" t="n">
        <v>22</v>
      </c>
      <c r="I402" s="2" t="n">
        <v>160</v>
      </c>
      <c r="J402" s="2" t="n">
        <v>0</v>
      </c>
      <c r="K402" s="2" t="n">
        <v>114728</v>
      </c>
      <c r="L402" s="2" t="n">
        <v>102586</v>
      </c>
      <c r="M402" s="2" t="n">
        <v>8722</v>
      </c>
      <c r="N402" s="2" t="n">
        <v>568</v>
      </c>
      <c r="O402" s="2" t="n">
        <v>857</v>
      </c>
      <c r="P402" s="2" t="n">
        <v>3625</v>
      </c>
      <c r="Q402" s="2" t="n">
        <v>2363</v>
      </c>
      <c r="R402" s="2" t="n">
        <v>605</v>
      </c>
      <c r="S402" s="2" t="n">
        <v>18</v>
      </c>
      <c r="T402" s="2" t="s">
        <v>51</v>
      </c>
      <c r="U402" s="4" t="n">
        <f aca="false">(M402+N402+O402+P402)/L402</f>
        <v>0.134248337979841</v>
      </c>
      <c r="V402" s="2" t="str">
        <f aca="false">IF(S402&lt;=5,"Late night (0-5)",IF(S402&lt;=11,"Morning (6-11)",IF(S402&lt;=17,"Afternoon (12-17)","Evening (18-23)")))</f>
        <v>Evening (18-23)</v>
      </c>
    </row>
    <row r="403" customFormat="false" ht="15" hidden="false" customHeight="false" outlineLevel="0" collapsed="false">
      <c r="A403" s="2" t="s">
        <v>847</v>
      </c>
      <c r="B403" s="2" t="s">
        <v>459</v>
      </c>
      <c r="C403" s="2" t="s">
        <v>84</v>
      </c>
      <c r="D403" s="3" t="n">
        <v>45682</v>
      </c>
      <c r="E403" s="2" t="s">
        <v>848</v>
      </c>
      <c r="F403" s="2" t="s">
        <v>32</v>
      </c>
      <c r="G403" s="2" t="n">
        <v>19744</v>
      </c>
      <c r="H403" s="2" t="n">
        <v>21</v>
      </c>
      <c r="I403" s="2" t="n">
        <v>195</v>
      </c>
      <c r="J403" s="2" t="n">
        <v>0</v>
      </c>
      <c r="K403" s="2" t="n">
        <v>40937</v>
      </c>
      <c r="L403" s="2" t="n">
        <v>26828</v>
      </c>
      <c r="M403" s="2" t="n">
        <v>1607</v>
      </c>
      <c r="N403" s="2" t="n">
        <v>75</v>
      </c>
      <c r="O403" s="2" t="n">
        <v>425</v>
      </c>
      <c r="P403" s="2" t="n">
        <v>348</v>
      </c>
      <c r="Q403" s="2" t="n">
        <v>645</v>
      </c>
      <c r="R403" s="2" t="n">
        <v>126</v>
      </c>
      <c r="S403" s="2" t="n">
        <v>7</v>
      </c>
      <c r="T403" s="2" t="s">
        <v>62</v>
      </c>
      <c r="U403" s="4" t="n">
        <f aca="false">(M403+N403+O403+P403)/L403</f>
        <v>0.0915088713284628</v>
      </c>
      <c r="V403" s="2" t="str">
        <f aca="false">IF(S403&lt;=5,"Late night (0-5)",IF(S403&lt;=11,"Morning (6-11)",IF(S403&lt;=17,"Afternoon (12-17)","Evening (18-23)")))</f>
        <v>Morning (6-11)</v>
      </c>
    </row>
    <row r="404" customFormat="false" ht="15" hidden="false" customHeight="false" outlineLevel="0" collapsed="false">
      <c r="A404" s="2" t="s">
        <v>849</v>
      </c>
      <c r="B404" s="2" t="s">
        <v>188</v>
      </c>
      <c r="C404" s="2" t="s">
        <v>30</v>
      </c>
      <c r="D404" s="3" t="n">
        <v>45991</v>
      </c>
      <c r="E404" s="2" t="s">
        <v>850</v>
      </c>
      <c r="F404" s="2" t="s">
        <v>38</v>
      </c>
      <c r="G404" s="2" t="n">
        <v>38900</v>
      </c>
      <c r="H404" s="2" t="n">
        <v>14</v>
      </c>
      <c r="I404" s="2" t="n">
        <v>192</v>
      </c>
      <c r="J404" s="2" t="n">
        <v>0</v>
      </c>
      <c r="K404" s="2" t="n">
        <v>9826</v>
      </c>
      <c r="L404" s="2" t="n">
        <v>5542</v>
      </c>
      <c r="M404" s="2" t="n">
        <v>495</v>
      </c>
      <c r="N404" s="2" t="n">
        <v>23</v>
      </c>
      <c r="O404" s="2" t="n">
        <v>48</v>
      </c>
      <c r="P404" s="2" t="n">
        <v>34</v>
      </c>
      <c r="Q404" s="2" t="n">
        <v>135</v>
      </c>
      <c r="R404" s="2" t="n">
        <v>12</v>
      </c>
      <c r="S404" s="2" t="n">
        <v>16</v>
      </c>
      <c r="T404" s="2" t="s">
        <v>27</v>
      </c>
      <c r="U404" s="4" t="n">
        <f aca="false">(M404+N404+O404+P404)/L404</f>
        <v>0.10826416456153</v>
      </c>
      <c r="V404" s="2" t="str">
        <f aca="false">IF(S404&lt;=5,"Late night (0-5)",IF(S404&lt;=11,"Morning (6-11)",IF(S404&lt;=17,"Afternoon (12-17)","Evening (18-23)")))</f>
        <v>Afternoon (12-17)</v>
      </c>
    </row>
    <row r="405" customFormat="false" ht="15" hidden="false" customHeight="false" outlineLevel="0" collapsed="false">
      <c r="A405" s="2" t="s">
        <v>851</v>
      </c>
      <c r="B405" s="2" t="s">
        <v>431</v>
      </c>
      <c r="C405" s="2" t="s">
        <v>36</v>
      </c>
      <c r="D405" s="3" t="n">
        <v>45936</v>
      </c>
      <c r="E405" s="2" t="s">
        <v>852</v>
      </c>
      <c r="F405" s="2" t="s">
        <v>38</v>
      </c>
      <c r="G405" s="2" t="n">
        <v>64821</v>
      </c>
      <c r="H405" s="2" t="n">
        <v>3</v>
      </c>
      <c r="I405" s="2" t="n">
        <v>24</v>
      </c>
      <c r="J405" s="2" t="n">
        <v>0</v>
      </c>
      <c r="K405" s="2" t="n">
        <v>11653</v>
      </c>
      <c r="L405" s="2" t="n">
        <v>9914</v>
      </c>
      <c r="M405" s="2" t="n">
        <v>726</v>
      </c>
      <c r="N405" s="2" t="n">
        <v>56</v>
      </c>
      <c r="O405" s="2" t="n">
        <v>117</v>
      </c>
      <c r="P405" s="2" t="n">
        <v>149</v>
      </c>
      <c r="Q405" s="2" t="n">
        <v>200</v>
      </c>
      <c r="R405" s="2" t="n">
        <v>58</v>
      </c>
      <c r="S405" s="2" t="n">
        <v>11</v>
      </c>
      <c r="T405" s="2" t="s">
        <v>33</v>
      </c>
      <c r="U405" s="4" t="n">
        <f aca="false">(M405+N405+O405+P405)/L405</f>
        <v>0.105709098244906</v>
      </c>
      <c r="V405" s="2" t="str">
        <f aca="false">IF(S405&lt;=5,"Late night (0-5)",IF(S405&lt;=11,"Morning (6-11)",IF(S405&lt;=17,"Afternoon (12-17)","Evening (18-23)")))</f>
        <v>Morning (6-11)</v>
      </c>
    </row>
    <row r="406" customFormat="false" ht="15" hidden="false" customHeight="false" outlineLevel="0" collapsed="false">
      <c r="A406" s="2" t="s">
        <v>853</v>
      </c>
      <c r="B406" s="2" t="s">
        <v>462</v>
      </c>
      <c r="C406" s="2" t="s">
        <v>84</v>
      </c>
      <c r="D406" s="3" t="n">
        <v>45851</v>
      </c>
      <c r="E406" s="2" t="s">
        <v>854</v>
      </c>
      <c r="F406" s="2" t="s">
        <v>26</v>
      </c>
      <c r="G406" s="2" t="n">
        <v>43510</v>
      </c>
      <c r="H406" s="2" t="n">
        <v>25</v>
      </c>
      <c r="I406" s="2" t="n">
        <v>87</v>
      </c>
      <c r="J406" s="2" t="n">
        <v>1</v>
      </c>
      <c r="K406" s="2" t="n">
        <v>30781</v>
      </c>
      <c r="L406" s="2" t="n">
        <v>17701</v>
      </c>
      <c r="M406" s="2" t="n">
        <v>567</v>
      </c>
      <c r="N406" s="2" t="n">
        <v>29</v>
      </c>
      <c r="O406" s="2" t="n">
        <v>23</v>
      </c>
      <c r="P406" s="2" t="n">
        <v>223</v>
      </c>
      <c r="Q406" s="2" t="n">
        <v>283</v>
      </c>
      <c r="R406" s="2" t="n">
        <v>43</v>
      </c>
      <c r="S406" s="2" t="n">
        <v>16</v>
      </c>
      <c r="T406" s="2" t="s">
        <v>27</v>
      </c>
      <c r="U406" s="4" t="n">
        <f aca="false">(M406+N406+O406+P406)/L406</f>
        <v>0.0475679340150274</v>
      </c>
      <c r="V406" s="2" t="str">
        <f aca="false">IF(S406&lt;=5,"Late night (0-5)",IF(S406&lt;=11,"Morning (6-11)",IF(S406&lt;=17,"Afternoon (12-17)","Evening (18-23)")))</f>
        <v>Afternoon (12-17)</v>
      </c>
    </row>
    <row r="407" customFormat="false" ht="15" hidden="false" customHeight="false" outlineLevel="0" collapsed="false">
      <c r="A407" s="2" t="s">
        <v>855</v>
      </c>
      <c r="B407" s="2" t="s">
        <v>129</v>
      </c>
      <c r="C407" s="2" t="s">
        <v>54</v>
      </c>
      <c r="D407" s="3" t="n">
        <v>45889</v>
      </c>
      <c r="E407" s="2" t="s">
        <v>856</v>
      </c>
      <c r="F407" s="2" t="s">
        <v>32</v>
      </c>
      <c r="G407" s="2" t="n">
        <v>10312</v>
      </c>
      <c r="H407" s="2" t="n">
        <v>13</v>
      </c>
      <c r="I407" s="2" t="n">
        <v>304</v>
      </c>
      <c r="J407" s="2" t="n">
        <v>0</v>
      </c>
      <c r="K407" s="2" t="n">
        <v>46534</v>
      </c>
      <c r="L407" s="2" t="n">
        <v>27087</v>
      </c>
      <c r="M407" s="2" t="n">
        <v>1704</v>
      </c>
      <c r="N407" s="2" t="n">
        <v>79</v>
      </c>
      <c r="O407" s="2" t="n">
        <v>254</v>
      </c>
      <c r="P407" s="2" t="n">
        <v>162</v>
      </c>
      <c r="Q407" s="2" t="n">
        <v>630</v>
      </c>
      <c r="R407" s="2" t="n">
        <v>102</v>
      </c>
      <c r="S407" s="2" t="n">
        <v>17</v>
      </c>
      <c r="T407" s="2" t="s">
        <v>66</v>
      </c>
      <c r="U407" s="4" t="n">
        <f aca="false">(M407+N407+O407+P407)/L407</f>
        <v>0.0811828552442131</v>
      </c>
      <c r="V407" s="2" t="str">
        <f aca="false">IF(S407&lt;=5,"Late night (0-5)",IF(S407&lt;=11,"Morning (6-11)",IF(S407&lt;=17,"Afternoon (12-17)","Evening (18-23)")))</f>
        <v>Afternoon (12-17)</v>
      </c>
    </row>
    <row r="408" customFormat="false" ht="15" hidden="false" customHeight="false" outlineLevel="0" collapsed="false">
      <c r="A408" s="2" t="s">
        <v>857</v>
      </c>
      <c r="B408" s="2" t="s">
        <v>409</v>
      </c>
      <c r="C408" s="2" t="s">
        <v>48</v>
      </c>
      <c r="D408" s="3" t="n">
        <v>46004</v>
      </c>
      <c r="E408" s="2" t="s">
        <v>858</v>
      </c>
      <c r="F408" s="2" t="s">
        <v>50</v>
      </c>
      <c r="G408" s="2" t="n">
        <v>31525</v>
      </c>
      <c r="H408" s="2" t="n">
        <v>5</v>
      </c>
      <c r="I408" s="2" t="n">
        <v>164</v>
      </c>
      <c r="J408" s="2" t="n">
        <v>0</v>
      </c>
      <c r="K408" s="2" t="n">
        <v>36683</v>
      </c>
      <c r="L408" s="2" t="n">
        <v>22938</v>
      </c>
      <c r="M408" s="2" t="n">
        <v>2002</v>
      </c>
      <c r="N408" s="2" t="n">
        <v>122</v>
      </c>
      <c r="O408" s="2" t="n">
        <v>396</v>
      </c>
      <c r="P408" s="2" t="n">
        <v>223</v>
      </c>
      <c r="Q408" s="2" t="n">
        <v>234</v>
      </c>
      <c r="R408" s="2" t="n">
        <v>29</v>
      </c>
      <c r="S408" s="2" t="n">
        <v>18</v>
      </c>
      <c r="T408" s="2" t="s">
        <v>62</v>
      </c>
      <c r="U408" s="4" t="n">
        <f aca="false">(M408+N408+O408+P408)/L408</f>
        <v>0.119583224343884</v>
      </c>
      <c r="V408" s="2" t="str">
        <f aca="false">IF(S408&lt;=5,"Late night (0-5)",IF(S408&lt;=11,"Morning (6-11)",IF(S408&lt;=17,"Afternoon (12-17)","Evening (18-23)")))</f>
        <v>Evening (18-23)</v>
      </c>
    </row>
    <row r="409" customFormat="false" ht="15" hidden="false" customHeight="false" outlineLevel="0" collapsed="false">
      <c r="A409" s="2" t="s">
        <v>859</v>
      </c>
      <c r="B409" s="2" t="s">
        <v>243</v>
      </c>
      <c r="C409" s="2" t="s">
        <v>91</v>
      </c>
      <c r="D409" s="3" t="n">
        <v>45881</v>
      </c>
      <c r="E409" s="2" t="s">
        <v>136</v>
      </c>
      <c r="F409" s="2" t="s">
        <v>32</v>
      </c>
      <c r="G409" s="2" t="n">
        <v>42046</v>
      </c>
      <c r="H409" s="2" t="n">
        <v>5</v>
      </c>
      <c r="I409" s="2" t="n">
        <v>63</v>
      </c>
      <c r="J409" s="2" t="n">
        <v>1</v>
      </c>
      <c r="K409" s="2" t="n">
        <v>64947</v>
      </c>
      <c r="L409" s="2" t="n">
        <v>43734</v>
      </c>
      <c r="M409" s="2" t="n">
        <v>3414</v>
      </c>
      <c r="N409" s="2" t="n">
        <v>127</v>
      </c>
      <c r="O409" s="2" t="n">
        <v>408</v>
      </c>
      <c r="P409" s="2" t="n">
        <v>366</v>
      </c>
      <c r="Q409" s="2" t="n">
        <v>1241</v>
      </c>
      <c r="R409" s="2" t="n">
        <v>182</v>
      </c>
      <c r="S409" s="2" t="n">
        <v>0</v>
      </c>
      <c r="T409" s="2" t="s">
        <v>51</v>
      </c>
      <c r="U409" s="4" t="n">
        <f aca="false">(M409+N409+O409+P409)/L409</f>
        <v>0.098664654502218</v>
      </c>
      <c r="V409" s="2" t="str">
        <f aca="false">IF(S409&lt;=5,"Late night (0-5)",IF(S409&lt;=11,"Morning (6-11)",IF(S409&lt;=17,"Afternoon (12-17)","Evening (18-23)")))</f>
        <v>Late night (0-5)</v>
      </c>
    </row>
    <row r="410" customFormat="false" ht="15" hidden="false" customHeight="false" outlineLevel="0" collapsed="false">
      <c r="A410" s="2" t="s">
        <v>860</v>
      </c>
      <c r="B410" s="2" t="s">
        <v>374</v>
      </c>
      <c r="C410" s="2" t="s">
        <v>24</v>
      </c>
      <c r="D410" s="3" t="n">
        <v>45928</v>
      </c>
      <c r="E410" s="2" t="s">
        <v>861</v>
      </c>
      <c r="F410" s="2" t="s">
        <v>32</v>
      </c>
      <c r="G410" s="2" t="n">
        <v>9509</v>
      </c>
      <c r="H410" s="2" t="n">
        <v>8</v>
      </c>
      <c r="I410" s="2" t="n">
        <v>208</v>
      </c>
      <c r="J410" s="2" t="n">
        <v>0</v>
      </c>
      <c r="K410" s="2" t="n">
        <v>55489</v>
      </c>
      <c r="L410" s="2" t="n">
        <v>36217</v>
      </c>
      <c r="M410" s="2" t="n">
        <v>1399</v>
      </c>
      <c r="N410" s="2" t="n">
        <v>52</v>
      </c>
      <c r="O410" s="2" t="n">
        <v>376</v>
      </c>
      <c r="P410" s="2" t="n">
        <v>289</v>
      </c>
      <c r="Q410" s="2" t="n">
        <v>986</v>
      </c>
      <c r="R410" s="2" t="n">
        <v>144</v>
      </c>
      <c r="S410" s="2" t="n">
        <v>17</v>
      </c>
      <c r="T410" s="2" t="s">
        <v>27</v>
      </c>
      <c r="U410" s="4" t="n">
        <f aca="false">(M410+N410+O410+P410)/L410</f>
        <v>0.0584256012369882</v>
      </c>
      <c r="V410" s="2" t="str">
        <f aca="false">IF(S410&lt;=5,"Late night (0-5)",IF(S410&lt;=11,"Morning (6-11)",IF(S410&lt;=17,"Afternoon (12-17)","Evening (18-23)")))</f>
        <v>Afternoon (12-17)</v>
      </c>
    </row>
    <row r="411" customFormat="false" ht="15" hidden="false" customHeight="false" outlineLevel="0" collapsed="false">
      <c r="A411" s="2" t="s">
        <v>862</v>
      </c>
      <c r="B411" s="2" t="s">
        <v>106</v>
      </c>
      <c r="C411" s="2" t="s">
        <v>91</v>
      </c>
      <c r="D411" s="3" t="n">
        <v>45661</v>
      </c>
      <c r="E411" s="2" t="s">
        <v>863</v>
      </c>
      <c r="F411" s="2" t="s">
        <v>32</v>
      </c>
      <c r="G411" s="2" t="n">
        <v>59477</v>
      </c>
      <c r="H411" s="2" t="n">
        <v>15</v>
      </c>
      <c r="I411" s="2" t="n">
        <v>217</v>
      </c>
      <c r="J411" s="2" t="n">
        <v>0</v>
      </c>
      <c r="K411" s="2" t="n">
        <v>197098</v>
      </c>
      <c r="L411" s="2" t="n">
        <v>110802</v>
      </c>
      <c r="M411" s="2" t="n">
        <v>10094</v>
      </c>
      <c r="N411" s="2" t="n">
        <v>610</v>
      </c>
      <c r="O411" s="2" t="n">
        <v>1027</v>
      </c>
      <c r="P411" s="2" t="n">
        <v>1799</v>
      </c>
      <c r="Q411" s="2" t="n">
        <v>2832</v>
      </c>
      <c r="R411" s="2" t="n">
        <v>750</v>
      </c>
      <c r="S411" s="2" t="n">
        <v>21</v>
      </c>
      <c r="T411" s="2" t="s">
        <v>62</v>
      </c>
      <c r="U411" s="4" t="n">
        <f aca="false">(M411+N411+O411+P411)/L411</f>
        <v>0.122109709211025</v>
      </c>
      <c r="V411" s="2" t="str">
        <f aca="false">IF(S411&lt;=5,"Late night (0-5)",IF(S411&lt;=11,"Morning (6-11)",IF(S411&lt;=17,"Afternoon (12-17)","Evening (18-23)")))</f>
        <v>Evening (18-23)</v>
      </c>
    </row>
    <row r="412" customFormat="false" ht="15" hidden="false" customHeight="false" outlineLevel="0" collapsed="false">
      <c r="A412" s="2" t="s">
        <v>864</v>
      </c>
      <c r="B412" s="2" t="s">
        <v>114</v>
      </c>
      <c r="C412" s="2" t="s">
        <v>84</v>
      </c>
      <c r="D412" s="3" t="n">
        <v>45882</v>
      </c>
      <c r="E412" s="2" t="s">
        <v>588</v>
      </c>
      <c r="F412" s="2" t="s">
        <v>38</v>
      </c>
      <c r="G412" s="2" t="n">
        <v>64307</v>
      </c>
      <c r="H412" s="2" t="n">
        <v>0</v>
      </c>
      <c r="I412" s="2" t="n">
        <v>187</v>
      </c>
      <c r="J412" s="2" t="n">
        <v>1</v>
      </c>
      <c r="K412" s="2" t="n">
        <v>85629</v>
      </c>
      <c r="L412" s="2" t="n">
        <v>71498</v>
      </c>
      <c r="M412" s="2" t="n">
        <v>3142</v>
      </c>
      <c r="N412" s="2" t="n">
        <v>246</v>
      </c>
      <c r="O412" s="2" t="n">
        <v>506</v>
      </c>
      <c r="P412" s="2" t="n">
        <v>892</v>
      </c>
      <c r="Q412" s="2" t="n">
        <v>1799</v>
      </c>
      <c r="R412" s="2" t="n">
        <v>383</v>
      </c>
      <c r="S412" s="2" t="n">
        <v>22</v>
      </c>
      <c r="T412" s="2" t="s">
        <v>66</v>
      </c>
      <c r="U412" s="4" t="n">
        <f aca="false">(M412+N412+O412+P412)/L412</f>
        <v>0.0669389353548351</v>
      </c>
      <c r="V412" s="2" t="str">
        <f aca="false">IF(S412&lt;=5,"Late night (0-5)",IF(S412&lt;=11,"Morning (6-11)",IF(S412&lt;=17,"Afternoon (12-17)","Evening (18-23)")))</f>
        <v>Evening (18-23)</v>
      </c>
    </row>
    <row r="413" customFormat="false" ht="15" hidden="false" customHeight="false" outlineLevel="0" collapsed="false">
      <c r="A413" s="2" t="s">
        <v>865</v>
      </c>
      <c r="B413" s="2" t="s">
        <v>154</v>
      </c>
      <c r="C413" s="2" t="s">
        <v>41</v>
      </c>
      <c r="D413" s="3" t="n">
        <v>46004</v>
      </c>
      <c r="E413" s="2" t="s">
        <v>65</v>
      </c>
      <c r="F413" s="2" t="s">
        <v>50</v>
      </c>
      <c r="G413" s="2" t="n">
        <v>33644</v>
      </c>
      <c r="H413" s="2" t="n">
        <v>9</v>
      </c>
      <c r="I413" s="2" t="n">
        <v>182</v>
      </c>
      <c r="J413" s="2" t="n">
        <v>0</v>
      </c>
      <c r="K413" s="2" t="n">
        <v>46802</v>
      </c>
      <c r="L413" s="2" t="n">
        <v>31159</v>
      </c>
      <c r="M413" s="2" t="n">
        <v>1978</v>
      </c>
      <c r="N413" s="2" t="n">
        <v>41</v>
      </c>
      <c r="O413" s="2" t="n">
        <v>348</v>
      </c>
      <c r="P413" s="2" t="n">
        <v>405</v>
      </c>
      <c r="Q413" s="2" t="n">
        <v>735</v>
      </c>
      <c r="R413" s="2" t="n">
        <v>127</v>
      </c>
      <c r="S413" s="2" t="n">
        <v>7</v>
      </c>
      <c r="T413" s="2" t="s">
        <v>62</v>
      </c>
      <c r="U413" s="4" t="n">
        <f aca="false">(M413+N413+O413+P413)/L413</f>
        <v>0.0889630604319779</v>
      </c>
      <c r="V413" s="2" t="str">
        <f aca="false">IF(S413&lt;=5,"Late night (0-5)",IF(S413&lt;=11,"Morning (6-11)",IF(S413&lt;=17,"Afternoon (12-17)","Evening (18-23)")))</f>
        <v>Morning (6-11)</v>
      </c>
    </row>
    <row r="414" customFormat="false" ht="15" hidden="false" customHeight="false" outlineLevel="0" collapsed="false">
      <c r="A414" s="2" t="s">
        <v>866</v>
      </c>
      <c r="B414" s="2" t="s">
        <v>87</v>
      </c>
      <c r="C414" s="2" t="s">
        <v>36</v>
      </c>
      <c r="D414" s="3" t="n">
        <v>45947</v>
      </c>
      <c r="E414" s="2" t="s">
        <v>867</v>
      </c>
      <c r="F414" s="2" t="s">
        <v>26</v>
      </c>
      <c r="G414" s="2" t="n">
        <v>25592</v>
      </c>
      <c r="H414" s="2" t="n">
        <v>13</v>
      </c>
      <c r="I414" s="2" t="n">
        <v>126</v>
      </c>
      <c r="J414" s="2" t="n">
        <v>1</v>
      </c>
      <c r="K414" s="2" t="n">
        <v>28238</v>
      </c>
      <c r="L414" s="2" t="n">
        <v>17834</v>
      </c>
      <c r="M414" s="2" t="n">
        <v>1581</v>
      </c>
      <c r="N414" s="2" t="n">
        <v>49</v>
      </c>
      <c r="O414" s="2" t="n">
        <v>293</v>
      </c>
      <c r="P414" s="2" t="n">
        <v>363</v>
      </c>
      <c r="Q414" s="2" t="n">
        <v>384</v>
      </c>
      <c r="R414" s="2" t="n">
        <v>102</v>
      </c>
      <c r="S414" s="2" t="n">
        <v>16</v>
      </c>
      <c r="T414" s="2" t="s">
        <v>96</v>
      </c>
      <c r="U414" s="4" t="n">
        <f aca="false">(M414+N414+O414+P414)/L414</f>
        <v>0.128182124032746</v>
      </c>
      <c r="V414" s="2" t="str">
        <f aca="false">IF(S414&lt;=5,"Late night (0-5)",IF(S414&lt;=11,"Morning (6-11)",IF(S414&lt;=17,"Afternoon (12-17)","Evening (18-23)")))</f>
        <v>Afternoon (12-17)</v>
      </c>
    </row>
    <row r="415" customFormat="false" ht="15" hidden="false" customHeight="false" outlineLevel="0" collapsed="false">
      <c r="A415" s="2" t="s">
        <v>868</v>
      </c>
      <c r="B415" s="2" t="s">
        <v>132</v>
      </c>
      <c r="C415" s="2" t="s">
        <v>36</v>
      </c>
      <c r="D415" s="3" t="n">
        <v>45760</v>
      </c>
      <c r="E415" s="2" t="s">
        <v>869</v>
      </c>
      <c r="F415" s="2" t="s">
        <v>26</v>
      </c>
      <c r="G415" s="2" t="n">
        <v>83053</v>
      </c>
      <c r="H415" s="2" t="n">
        <v>21</v>
      </c>
      <c r="I415" s="2" t="n">
        <v>153</v>
      </c>
      <c r="J415" s="2" t="n">
        <v>1</v>
      </c>
      <c r="K415" s="2" t="n">
        <v>134472</v>
      </c>
      <c r="L415" s="2" t="n">
        <v>109888</v>
      </c>
      <c r="M415" s="2" t="n">
        <v>5036</v>
      </c>
      <c r="N415" s="2" t="n">
        <v>131</v>
      </c>
      <c r="O415" s="2" t="n">
        <v>434</v>
      </c>
      <c r="P415" s="2" t="n">
        <v>2011</v>
      </c>
      <c r="Q415" s="2" t="n">
        <v>1593</v>
      </c>
      <c r="R415" s="2" t="n">
        <v>389</v>
      </c>
      <c r="S415" s="2" t="n">
        <v>10</v>
      </c>
      <c r="T415" s="2" t="s">
        <v>27</v>
      </c>
      <c r="U415" s="4" t="n">
        <f aca="false">(M415+N415+O415+P415)/L415</f>
        <v>0.0692705299941759</v>
      </c>
      <c r="V415" s="2" t="str">
        <f aca="false">IF(S415&lt;=5,"Late night (0-5)",IF(S415&lt;=11,"Morning (6-11)",IF(S415&lt;=17,"Afternoon (12-17)","Evening (18-23)")))</f>
        <v>Morning (6-11)</v>
      </c>
    </row>
    <row r="416" customFormat="false" ht="15" hidden="false" customHeight="false" outlineLevel="0" collapsed="false">
      <c r="A416" s="2" t="s">
        <v>870</v>
      </c>
      <c r="B416" s="2" t="s">
        <v>23</v>
      </c>
      <c r="C416" s="2" t="s">
        <v>24</v>
      </c>
      <c r="D416" s="3" t="n">
        <v>45742</v>
      </c>
      <c r="E416" s="2" t="s">
        <v>871</v>
      </c>
      <c r="F416" s="2" t="s">
        <v>26</v>
      </c>
      <c r="G416" s="2" t="n">
        <v>63447</v>
      </c>
      <c r="H416" s="2" t="n">
        <v>6</v>
      </c>
      <c r="I416" s="2" t="n">
        <v>189</v>
      </c>
      <c r="J416" s="2" t="n">
        <v>0</v>
      </c>
      <c r="K416" s="2" t="n">
        <v>15206</v>
      </c>
      <c r="L416" s="2" t="n">
        <v>13648</v>
      </c>
      <c r="M416" s="2" t="n">
        <v>613</v>
      </c>
      <c r="N416" s="2" t="n">
        <v>16</v>
      </c>
      <c r="O416" s="2" t="n">
        <v>40</v>
      </c>
      <c r="P416" s="2" t="n">
        <v>101</v>
      </c>
      <c r="Q416" s="2" t="n">
        <v>205</v>
      </c>
      <c r="R416" s="2" t="n">
        <v>37</v>
      </c>
      <c r="S416" s="2" t="n">
        <v>0</v>
      </c>
      <c r="T416" s="2" t="s">
        <v>66</v>
      </c>
      <c r="U416" s="4" t="n">
        <f aca="false">(M416+N416+O416+P416)/L416</f>
        <v>0.0564185228604924</v>
      </c>
      <c r="V416" s="2" t="str">
        <f aca="false">IF(S416&lt;=5,"Late night (0-5)",IF(S416&lt;=11,"Morning (6-11)",IF(S416&lt;=17,"Afternoon (12-17)","Evening (18-23)")))</f>
        <v>Late night (0-5)</v>
      </c>
    </row>
    <row r="417" customFormat="false" ht="15" hidden="false" customHeight="false" outlineLevel="0" collapsed="false">
      <c r="A417" s="2" t="s">
        <v>872</v>
      </c>
      <c r="B417" s="2" t="s">
        <v>29</v>
      </c>
      <c r="C417" s="2" t="s">
        <v>30</v>
      </c>
      <c r="D417" s="3" t="n">
        <v>45876</v>
      </c>
      <c r="E417" s="2" t="s">
        <v>873</v>
      </c>
      <c r="F417" s="2" t="s">
        <v>26</v>
      </c>
      <c r="G417" s="2" t="n">
        <v>11612</v>
      </c>
      <c r="H417" s="2" t="n">
        <v>6</v>
      </c>
      <c r="I417" s="2" t="n">
        <v>181</v>
      </c>
      <c r="J417" s="2" t="n">
        <v>0</v>
      </c>
      <c r="K417" s="2" t="n">
        <v>19882</v>
      </c>
      <c r="L417" s="2" t="n">
        <v>16268</v>
      </c>
      <c r="M417" s="2" t="n">
        <v>1397</v>
      </c>
      <c r="N417" s="2" t="n">
        <v>72</v>
      </c>
      <c r="O417" s="2" t="n">
        <v>84</v>
      </c>
      <c r="P417" s="2" t="n">
        <v>413</v>
      </c>
      <c r="Q417" s="2" t="n">
        <v>159</v>
      </c>
      <c r="R417" s="2" t="n">
        <v>10</v>
      </c>
      <c r="S417" s="2" t="n">
        <v>11</v>
      </c>
      <c r="T417" s="2" t="s">
        <v>79</v>
      </c>
      <c r="U417" s="4" t="n">
        <f aca="false">(M417+N417+O417+P417)/L417</f>
        <v>0.12085074993853</v>
      </c>
      <c r="V417" s="2" t="str">
        <f aca="false">IF(S417&lt;=5,"Late night (0-5)",IF(S417&lt;=11,"Morning (6-11)",IF(S417&lt;=17,"Afternoon (12-17)","Evening (18-23)")))</f>
        <v>Morning (6-11)</v>
      </c>
    </row>
    <row r="418" customFormat="false" ht="15" hidden="false" customHeight="false" outlineLevel="0" collapsed="false">
      <c r="A418" s="2" t="s">
        <v>874</v>
      </c>
      <c r="B418" s="2" t="s">
        <v>77</v>
      </c>
      <c r="C418" s="2" t="s">
        <v>30</v>
      </c>
      <c r="D418" s="3" t="n">
        <v>45842</v>
      </c>
      <c r="E418" s="2" t="s">
        <v>875</v>
      </c>
      <c r="F418" s="2" t="s">
        <v>32</v>
      </c>
      <c r="G418" s="2" t="n">
        <v>17548</v>
      </c>
      <c r="H418" s="2" t="n">
        <v>11</v>
      </c>
      <c r="I418" s="2" t="n">
        <v>160</v>
      </c>
      <c r="J418" s="2" t="n">
        <v>0</v>
      </c>
      <c r="K418" s="2" t="n">
        <v>4632</v>
      </c>
      <c r="L418" s="2" t="n">
        <v>2961</v>
      </c>
      <c r="M418" s="2" t="n">
        <v>300</v>
      </c>
      <c r="N418" s="2" t="n">
        <v>20</v>
      </c>
      <c r="O418" s="2" t="n">
        <v>76</v>
      </c>
      <c r="P418" s="2" t="n">
        <v>34</v>
      </c>
      <c r="Q418" s="2" t="n">
        <v>41</v>
      </c>
      <c r="R418" s="2" t="n">
        <v>9</v>
      </c>
      <c r="S418" s="2" t="n">
        <v>1</v>
      </c>
      <c r="T418" s="2" t="s">
        <v>96</v>
      </c>
      <c r="U418" s="4" t="n">
        <f aca="false">(M418+N418+O418+P418)/L418</f>
        <v>0.145221209050996</v>
      </c>
      <c r="V418" s="2" t="str">
        <f aca="false">IF(S418&lt;=5,"Late night (0-5)",IF(S418&lt;=11,"Morning (6-11)",IF(S418&lt;=17,"Afternoon (12-17)","Evening (18-23)")))</f>
        <v>Late night (0-5)</v>
      </c>
    </row>
    <row r="419" customFormat="false" ht="15" hidden="false" customHeight="false" outlineLevel="0" collapsed="false">
      <c r="A419" s="2" t="s">
        <v>876</v>
      </c>
      <c r="B419" s="2" t="s">
        <v>47</v>
      </c>
      <c r="C419" s="2" t="s">
        <v>48</v>
      </c>
      <c r="D419" s="3" t="n">
        <v>45743</v>
      </c>
      <c r="E419" s="2" t="s">
        <v>877</v>
      </c>
      <c r="F419" s="2" t="s">
        <v>38</v>
      </c>
      <c r="G419" s="2" t="n">
        <v>19609</v>
      </c>
      <c r="H419" s="2" t="n">
        <v>15</v>
      </c>
      <c r="I419" s="2" t="n">
        <v>187</v>
      </c>
      <c r="J419" s="2" t="n">
        <v>0</v>
      </c>
      <c r="K419" s="2" t="n">
        <v>37271</v>
      </c>
      <c r="L419" s="2" t="n">
        <v>23244</v>
      </c>
      <c r="M419" s="2" t="n">
        <v>1754</v>
      </c>
      <c r="N419" s="2" t="n">
        <v>124</v>
      </c>
      <c r="O419" s="2" t="n">
        <v>164</v>
      </c>
      <c r="P419" s="2" t="n">
        <v>231</v>
      </c>
      <c r="Q419" s="2" t="n">
        <v>531</v>
      </c>
      <c r="R419" s="2" t="n">
        <v>103</v>
      </c>
      <c r="S419" s="2" t="n">
        <v>22</v>
      </c>
      <c r="T419" s="2" t="s">
        <v>79</v>
      </c>
      <c r="U419" s="4" t="n">
        <f aca="false">(M419+N419+O419+P419)/L419</f>
        <v>0.0977886766477371</v>
      </c>
      <c r="V419" s="2" t="str">
        <f aca="false">IF(S419&lt;=5,"Late night (0-5)",IF(S419&lt;=11,"Morning (6-11)",IF(S419&lt;=17,"Afternoon (12-17)","Evening (18-23)")))</f>
        <v>Evening (18-23)</v>
      </c>
    </row>
    <row r="420" customFormat="false" ht="15" hidden="false" customHeight="false" outlineLevel="0" collapsed="false">
      <c r="A420" s="2" t="s">
        <v>878</v>
      </c>
      <c r="B420" s="2" t="s">
        <v>409</v>
      </c>
      <c r="C420" s="2" t="s">
        <v>48</v>
      </c>
      <c r="D420" s="3" t="n">
        <v>45807</v>
      </c>
      <c r="E420" s="2" t="s">
        <v>879</v>
      </c>
      <c r="F420" s="2" t="s">
        <v>50</v>
      </c>
      <c r="G420" s="2" t="n">
        <v>31525</v>
      </c>
      <c r="H420" s="2" t="n">
        <v>17</v>
      </c>
      <c r="I420" s="2" t="n">
        <v>97</v>
      </c>
      <c r="J420" s="2" t="n">
        <v>1</v>
      </c>
      <c r="K420" s="2" t="n">
        <v>17860</v>
      </c>
      <c r="L420" s="2" t="n">
        <v>13350</v>
      </c>
      <c r="M420" s="2" t="n">
        <v>1110</v>
      </c>
      <c r="N420" s="2" t="n">
        <v>80</v>
      </c>
      <c r="O420" s="2" t="n">
        <v>92</v>
      </c>
      <c r="P420" s="2" t="n">
        <v>241</v>
      </c>
      <c r="Q420" s="2" t="n">
        <v>179</v>
      </c>
      <c r="R420" s="2" t="n">
        <v>39</v>
      </c>
      <c r="S420" s="2" t="n">
        <v>2</v>
      </c>
      <c r="T420" s="2" t="s">
        <v>96</v>
      </c>
      <c r="U420" s="4" t="n">
        <f aca="false">(M420+N420+O420+P420)/L420</f>
        <v>0.114082397003745</v>
      </c>
      <c r="V420" s="2" t="str">
        <f aca="false">IF(S420&lt;=5,"Late night (0-5)",IF(S420&lt;=11,"Morning (6-11)",IF(S420&lt;=17,"Afternoon (12-17)","Evening (18-23)")))</f>
        <v>Late night (0-5)</v>
      </c>
    </row>
    <row r="421" customFormat="false" ht="15" hidden="false" customHeight="false" outlineLevel="0" collapsed="false">
      <c r="A421" s="2" t="s">
        <v>880</v>
      </c>
      <c r="B421" s="2" t="s">
        <v>90</v>
      </c>
      <c r="C421" s="2" t="s">
        <v>91</v>
      </c>
      <c r="D421" s="3" t="n">
        <v>45884</v>
      </c>
      <c r="E421" s="2" t="s">
        <v>881</v>
      </c>
      <c r="F421" s="2" t="s">
        <v>38</v>
      </c>
      <c r="G421" s="2" t="n">
        <v>54788</v>
      </c>
      <c r="H421" s="2" t="n">
        <v>18</v>
      </c>
      <c r="I421" s="2" t="n">
        <v>200</v>
      </c>
      <c r="J421" s="2" t="n">
        <v>0</v>
      </c>
      <c r="K421" s="2" t="n">
        <v>47042</v>
      </c>
      <c r="L421" s="2" t="n">
        <v>30892</v>
      </c>
      <c r="M421" s="2" t="n">
        <v>2689</v>
      </c>
      <c r="N421" s="2" t="n">
        <v>175</v>
      </c>
      <c r="O421" s="2" t="n">
        <v>393</v>
      </c>
      <c r="P421" s="2" t="n">
        <v>427</v>
      </c>
      <c r="Q421" s="2" t="n">
        <v>528</v>
      </c>
      <c r="R421" s="2" t="n">
        <v>77</v>
      </c>
      <c r="S421" s="2" t="n">
        <v>22</v>
      </c>
      <c r="T421" s="2" t="s">
        <v>96</v>
      </c>
      <c r="U421" s="4" t="n">
        <f aca="false">(M421+N421+O421+P421)/L421</f>
        <v>0.119254175838405</v>
      </c>
      <c r="V421" s="2" t="str">
        <f aca="false">IF(S421&lt;=5,"Late night (0-5)",IF(S421&lt;=11,"Morning (6-11)",IF(S421&lt;=17,"Afternoon (12-17)","Evening (18-23)")))</f>
        <v>Evening (18-23)</v>
      </c>
    </row>
    <row r="422" customFormat="false" ht="15" hidden="false" customHeight="false" outlineLevel="0" collapsed="false">
      <c r="A422" s="2" t="s">
        <v>882</v>
      </c>
      <c r="B422" s="2" t="s">
        <v>243</v>
      </c>
      <c r="C422" s="2" t="s">
        <v>91</v>
      </c>
      <c r="D422" s="3" t="n">
        <v>45874</v>
      </c>
      <c r="E422" s="2" t="s">
        <v>883</v>
      </c>
      <c r="F422" s="2" t="s">
        <v>32</v>
      </c>
      <c r="G422" s="2" t="n">
        <v>42046</v>
      </c>
      <c r="H422" s="2" t="n">
        <v>15</v>
      </c>
      <c r="I422" s="2" t="n">
        <v>179</v>
      </c>
      <c r="J422" s="2" t="n">
        <v>0</v>
      </c>
      <c r="K422" s="2" t="n">
        <v>29220</v>
      </c>
      <c r="L422" s="2" t="n">
        <v>21217</v>
      </c>
      <c r="M422" s="2" t="n">
        <v>824</v>
      </c>
      <c r="N422" s="2" t="n">
        <v>61</v>
      </c>
      <c r="O422" s="2" t="n">
        <v>122</v>
      </c>
      <c r="P422" s="2" t="n">
        <v>108</v>
      </c>
      <c r="Q422" s="2" t="n">
        <v>151</v>
      </c>
      <c r="R422" s="2" t="n">
        <v>31</v>
      </c>
      <c r="S422" s="2" t="n">
        <v>23</v>
      </c>
      <c r="T422" s="2" t="s">
        <v>51</v>
      </c>
      <c r="U422" s="4" t="n">
        <f aca="false">(M422+N422+O422+P422)/L422</f>
        <v>0.0525521987085827</v>
      </c>
      <c r="V422" s="2" t="str">
        <f aca="false">IF(S422&lt;=5,"Late night (0-5)",IF(S422&lt;=11,"Morning (6-11)",IF(S422&lt;=17,"Afternoon (12-17)","Evening (18-23)")))</f>
        <v>Evening (18-23)</v>
      </c>
    </row>
    <row r="423" customFormat="false" ht="15" hidden="false" customHeight="false" outlineLevel="0" collapsed="false">
      <c r="A423" s="2" t="s">
        <v>884</v>
      </c>
      <c r="B423" s="2" t="s">
        <v>310</v>
      </c>
      <c r="C423" s="2" t="s">
        <v>91</v>
      </c>
      <c r="D423" s="3" t="n">
        <v>45703</v>
      </c>
      <c r="E423" s="2" t="s">
        <v>885</v>
      </c>
      <c r="F423" s="2" t="s">
        <v>32</v>
      </c>
      <c r="G423" s="2" t="n">
        <v>56571</v>
      </c>
      <c r="H423" s="2" t="n">
        <v>6</v>
      </c>
      <c r="I423" s="2" t="n">
        <v>36</v>
      </c>
      <c r="J423" s="2" t="n">
        <v>1</v>
      </c>
      <c r="K423" s="2" t="n">
        <v>186813</v>
      </c>
      <c r="L423" s="2" t="n">
        <v>154098</v>
      </c>
      <c r="M423" s="2" t="n">
        <v>12233</v>
      </c>
      <c r="N423" s="2" t="n">
        <v>719</v>
      </c>
      <c r="O423" s="2" t="n">
        <v>1413</v>
      </c>
      <c r="P423" s="2" t="n">
        <v>2999</v>
      </c>
      <c r="Q423" s="2" t="n">
        <v>2594</v>
      </c>
      <c r="R423" s="2" t="n">
        <v>587</v>
      </c>
      <c r="S423" s="2" t="n">
        <v>20</v>
      </c>
      <c r="T423" s="2" t="s">
        <v>62</v>
      </c>
      <c r="U423" s="4" t="n">
        <f aca="false">(M423+N423+O423+P423)/L423</f>
        <v>0.112681540318499</v>
      </c>
      <c r="V423" s="2" t="str">
        <f aca="false">IF(S423&lt;=5,"Late night (0-5)",IF(S423&lt;=11,"Morning (6-11)",IF(S423&lt;=17,"Afternoon (12-17)","Evening (18-23)")))</f>
        <v>Evening (18-23)</v>
      </c>
    </row>
    <row r="424" customFormat="false" ht="15" hidden="false" customHeight="false" outlineLevel="0" collapsed="false">
      <c r="A424" s="2" t="s">
        <v>886</v>
      </c>
      <c r="B424" s="2" t="s">
        <v>164</v>
      </c>
      <c r="C424" s="2" t="s">
        <v>36</v>
      </c>
      <c r="D424" s="3" t="n">
        <v>45774</v>
      </c>
      <c r="E424" s="2" t="s">
        <v>317</v>
      </c>
      <c r="F424" s="2" t="s">
        <v>38</v>
      </c>
      <c r="G424" s="2" t="n">
        <v>44230</v>
      </c>
      <c r="H424" s="2" t="n">
        <v>14</v>
      </c>
      <c r="I424" s="2" t="n">
        <v>172</v>
      </c>
      <c r="J424" s="2" t="n">
        <v>0</v>
      </c>
      <c r="K424" s="2" t="n">
        <v>17445</v>
      </c>
      <c r="L424" s="2" t="n">
        <v>10564</v>
      </c>
      <c r="M424" s="2" t="n">
        <v>885</v>
      </c>
      <c r="N424" s="2" t="n">
        <v>53</v>
      </c>
      <c r="O424" s="2" t="n">
        <v>36</v>
      </c>
      <c r="P424" s="2" t="n">
        <v>84</v>
      </c>
      <c r="Q424" s="2" t="n">
        <v>304</v>
      </c>
      <c r="R424" s="2" t="n">
        <v>88</v>
      </c>
      <c r="S424" s="2" t="n">
        <v>1</v>
      </c>
      <c r="T424" s="2" t="s">
        <v>27</v>
      </c>
      <c r="U424" s="4" t="n">
        <f aca="false">(M424+N424+O424+P424)/L424</f>
        <v>0.100151457781144</v>
      </c>
      <c r="V424" s="2" t="str">
        <f aca="false">IF(S424&lt;=5,"Late night (0-5)",IF(S424&lt;=11,"Morning (6-11)",IF(S424&lt;=17,"Afternoon (12-17)","Evening (18-23)")))</f>
        <v>Late night (0-5)</v>
      </c>
    </row>
    <row r="425" customFormat="false" ht="15" hidden="false" customHeight="false" outlineLevel="0" collapsed="false">
      <c r="A425" s="2" t="s">
        <v>887</v>
      </c>
      <c r="B425" s="2" t="s">
        <v>114</v>
      </c>
      <c r="C425" s="2" t="s">
        <v>84</v>
      </c>
      <c r="D425" s="3" t="n">
        <v>45822</v>
      </c>
      <c r="E425" s="2" t="s">
        <v>888</v>
      </c>
      <c r="F425" s="2" t="s">
        <v>32</v>
      </c>
      <c r="G425" s="2" t="n">
        <v>64307</v>
      </c>
      <c r="H425" s="2" t="n">
        <v>9</v>
      </c>
      <c r="I425" s="2" t="n">
        <v>265</v>
      </c>
      <c r="J425" s="2" t="n">
        <v>0</v>
      </c>
      <c r="K425" s="2" t="n">
        <v>62123</v>
      </c>
      <c r="L425" s="2" t="n">
        <v>46635</v>
      </c>
      <c r="M425" s="2" t="n">
        <v>4703</v>
      </c>
      <c r="N425" s="2" t="n">
        <v>312</v>
      </c>
      <c r="O425" s="2" t="n">
        <v>1072</v>
      </c>
      <c r="P425" s="2" t="n">
        <v>759</v>
      </c>
      <c r="Q425" s="2" t="n">
        <v>1377</v>
      </c>
      <c r="R425" s="2" t="n">
        <v>313</v>
      </c>
      <c r="S425" s="2" t="n">
        <v>3</v>
      </c>
      <c r="T425" s="2" t="s">
        <v>62</v>
      </c>
      <c r="U425" s="4" t="n">
        <f aca="false">(M425+N425+O425+P425)/L425</f>
        <v>0.146799614023802</v>
      </c>
      <c r="V425" s="2" t="str">
        <f aca="false">IF(S425&lt;=5,"Late night (0-5)",IF(S425&lt;=11,"Morning (6-11)",IF(S425&lt;=17,"Afternoon (12-17)","Evening (18-23)")))</f>
        <v>Late night (0-5)</v>
      </c>
    </row>
    <row r="426" customFormat="false" ht="15" hidden="false" customHeight="false" outlineLevel="0" collapsed="false">
      <c r="A426" s="2" t="s">
        <v>889</v>
      </c>
      <c r="B426" s="2" t="s">
        <v>87</v>
      </c>
      <c r="C426" s="2" t="s">
        <v>36</v>
      </c>
      <c r="D426" s="3" t="n">
        <v>45905</v>
      </c>
      <c r="E426" s="2" t="s">
        <v>890</v>
      </c>
      <c r="F426" s="2" t="s">
        <v>32</v>
      </c>
      <c r="G426" s="2" t="n">
        <v>25592</v>
      </c>
      <c r="H426" s="2" t="n">
        <v>15</v>
      </c>
      <c r="I426" s="2" t="n">
        <v>334</v>
      </c>
      <c r="J426" s="2" t="n">
        <v>0</v>
      </c>
      <c r="K426" s="2" t="n">
        <v>30866</v>
      </c>
      <c r="L426" s="2" t="n">
        <v>24947</v>
      </c>
      <c r="M426" s="2" t="n">
        <v>2449</v>
      </c>
      <c r="N426" s="2" t="n">
        <v>57</v>
      </c>
      <c r="O426" s="2" t="n">
        <v>359</v>
      </c>
      <c r="P426" s="2" t="n">
        <v>200</v>
      </c>
      <c r="Q426" s="2" t="n">
        <v>369</v>
      </c>
      <c r="R426" s="2" t="n">
        <v>29</v>
      </c>
      <c r="S426" s="2" t="n">
        <v>22</v>
      </c>
      <c r="T426" s="2" t="s">
        <v>96</v>
      </c>
      <c r="U426" s="4" t="n">
        <f aca="false">(M426+N426+O426+P426)/L426</f>
        <v>0.12286046418407</v>
      </c>
      <c r="V426" s="2" t="str">
        <f aca="false">IF(S426&lt;=5,"Late night (0-5)",IF(S426&lt;=11,"Morning (6-11)",IF(S426&lt;=17,"Afternoon (12-17)","Evening (18-23)")))</f>
        <v>Evening (18-23)</v>
      </c>
    </row>
    <row r="427" customFormat="false" ht="15" hidden="false" customHeight="false" outlineLevel="0" collapsed="false">
      <c r="A427" s="2" t="s">
        <v>891</v>
      </c>
      <c r="B427" s="2" t="s">
        <v>164</v>
      </c>
      <c r="C427" s="2" t="s">
        <v>36</v>
      </c>
      <c r="D427" s="3" t="n">
        <v>45781</v>
      </c>
      <c r="E427" s="2" t="s">
        <v>420</v>
      </c>
      <c r="F427" s="2" t="s">
        <v>26</v>
      </c>
      <c r="G427" s="2" t="n">
        <v>44230</v>
      </c>
      <c r="H427" s="2" t="n">
        <v>12</v>
      </c>
      <c r="I427" s="2" t="n">
        <v>209</v>
      </c>
      <c r="J427" s="2" t="n">
        <v>0</v>
      </c>
      <c r="K427" s="2" t="n">
        <v>33165</v>
      </c>
      <c r="L427" s="2" t="n">
        <v>25035</v>
      </c>
      <c r="M427" s="2" t="n">
        <v>1041</v>
      </c>
      <c r="N427" s="2" t="n">
        <v>27</v>
      </c>
      <c r="O427" s="2" t="n">
        <v>184</v>
      </c>
      <c r="P427" s="2" t="n">
        <v>287</v>
      </c>
      <c r="Q427" s="2" t="n">
        <v>349</v>
      </c>
      <c r="R427" s="2" t="n">
        <v>53</v>
      </c>
      <c r="S427" s="2" t="n">
        <v>17</v>
      </c>
      <c r="T427" s="2" t="s">
        <v>27</v>
      </c>
      <c r="U427" s="4" t="n">
        <f aca="false">(M427+N427+O427+P427)/L427</f>
        <v>0.0614739364889155</v>
      </c>
      <c r="V427" s="2" t="str">
        <f aca="false">IF(S427&lt;=5,"Late night (0-5)",IF(S427&lt;=11,"Morning (6-11)",IF(S427&lt;=17,"Afternoon (12-17)","Evening (18-23)")))</f>
        <v>Afternoon (12-17)</v>
      </c>
    </row>
    <row r="428" customFormat="false" ht="15" hidden="false" customHeight="false" outlineLevel="0" collapsed="false">
      <c r="A428" s="2" t="s">
        <v>892</v>
      </c>
      <c r="B428" s="2" t="s">
        <v>87</v>
      </c>
      <c r="C428" s="2" t="s">
        <v>36</v>
      </c>
      <c r="D428" s="3" t="n">
        <v>45873</v>
      </c>
      <c r="E428" s="2" t="s">
        <v>893</v>
      </c>
      <c r="F428" s="2" t="s">
        <v>32</v>
      </c>
      <c r="G428" s="2" t="n">
        <v>25592</v>
      </c>
      <c r="H428" s="2" t="n">
        <v>7</v>
      </c>
      <c r="I428" s="2" t="n">
        <v>210</v>
      </c>
      <c r="J428" s="2" t="n">
        <v>0</v>
      </c>
      <c r="K428" s="2" t="n">
        <v>43523</v>
      </c>
      <c r="L428" s="2" t="n">
        <v>31525</v>
      </c>
      <c r="M428" s="2" t="n">
        <v>1146</v>
      </c>
      <c r="N428" s="2" t="n">
        <v>44</v>
      </c>
      <c r="O428" s="2" t="n">
        <v>247</v>
      </c>
      <c r="P428" s="2" t="n">
        <v>140</v>
      </c>
      <c r="Q428" s="2" t="n">
        <v>820</v>
      </c>
      <c r="R428" s="2" t="n">
        <v>138</v>
      </c>
      <c r="S428" s="2" t="n">
        <v>11</v>
      </c>
      <c r="T428" s="2" t="s">
        <v>33</v>
      </c>
      <c r="U428" s="4" t="n">
        <f aca="false">(M428+N428+O428+P428)/L428</f>
        <v>0.0500237906423473</v>
      </c>
      <c r="V428" s="2" t="str">
        <f aca="false">IF(S428&lt;=5,"Late night (0-5)",IF(S428&lt;=11,"Morning (6-11)",IF(S428&lt;=17,"Afternoon (12-17)","Evening (18-23)")))</f>
        <v>Morning (6-11)</v>
      </c>
    </row>
    <row r="429" customFormat="false" ht="15" hidden="false" customHeight="false" outlineLevel="0" collapsed="false">
      <c r="A429" s="2" t="s">
        <v>894</v>
      </c>
      <c r="B429" s="2" t="s">
        <v>220</v>
      </c>
      <c r="C429" s="2" t="s">
        <v>48</v>
      </c>
      <c r="D429" s="3" t="n">
        <v>45831</v>
      </c>
      <c r="E429" s="2" t="s">
        <v>895</v>
      </c>
      <c r="F429" s="2" t="s">
        <v>32</v>
      </c>
      <c r="G429" s="2" t="n">
        <v>18917</v>
      </c>
      <c r="H429" s="2" t="n">
        <v>10</v>
      </c>
      <c r="I429" s="2" t="n">
        <v>370</v>
      </c>
      <c r="J429" s="2" t="n">
        <v>0</v>
      </c>
      <c r="K429" s="2" t="n">
        <v>14714</v>
      </c>
      <c r="L429" s="2" t="n">
        <v>9150</v>
      </c>
      <c r="M429" s="2" t="n">
        <v>550</v>
      </c>
      <c r="N429" s="2" t="n">
        <v>11</v>
      </c>
      <c r="O429" s="2" t="n">
        <v>113</v>
      </c>
      <c r="P429" s="2" t="n">
        <v>164</v>
      </c>
      <c r="Q429" s="2" t="n">
        <v>113</v>
      </c>
      <c r="R429" s="2" t="n">
        <v>10</v>
      </c>
      <c r="S429" s="2" t="n">
        <v>12</v>
      </c>
      <c r="T429" s="2" t="s">
        <v>33</v>
      </c>
      <c r="U429" s="4" t="n">
        <f aca="false">(M429+N429+O429+P429)/L429</f>
        <v>0.0915846994535519</v>
      </c>
      <c r="V429" s="2" t="str">
        <f aca="false">IF(S429&lt;=5,"Late night (0-5)",IF(S429&lt;=11,"Morning (6-11)",IF(S429&lt;=17,"Afternoon (12-17)","Evening (18-23)")))</f>
        <v>Afternoon (12-17)</v>
      </c>
    </row>
    <row r="430" customFormat="false" ht="15" hidden="false" customHeight="false" outlineLevel="0" collapsed="false">
      <c r="A430" s="2" t="s">
        <v>896</v>
      </c>
      <c r="B430" s="2" t="s">
        <v>151</v>
      </c>
      <c r="C430" s="2" t="s">
        <v>36</v>
      </c>
      <c r="D430" s="3" t="n">
        <v>46008</v>
      </c>
      <c r="E430" s="2" t="s">
        <v>897</v>
      </c>
      <c r="F430" s="2" t="s">
        <v>32</v>
      </c>
      <c r="G430" s="2" t="n">
        <v>19247</v>
      </c>
      <c r="H430" s="2" t="n">
        <v>22</v>
      </c>
      <c r="I430" s="2" t="n">
        <v>168</v>
      </c>
      <c r="J430" s="2" t="n">
        <v>0</v>
      </c>
      <c r="K430" s="2" t="n">
        <v>24155</v>
      </c>
      <c r="L430" s="2" t="n">
        <v>13831</v>
      </c>
      <c r="M430" s="2" t="n">
        <v>973</v>
      </c>
      <c r="N430" s="2" t="n">
        <v>42</v>
      </c>
      <c r="O430" s="2" t="n">
        <v>257</v>
      </c>
      <c r="P430" s="2" t="n">
        <v>254</v>
      </c>
      <c r="Q430" s="2" t="n">
        <v>320</v>
      </c>
      <c r="R430" s="2" t="n">
        <v>82</v>
      </c>
      <c r="S430" s="2" t="n">
        <v>23</v>
      </c>
      <c r="T430" s="2" t="s">
        <v>66</v>
      </c>
      <c r="U430" s="4" t="n">
        <f aca="false">(M430+N430+O430+P430)/L430</f>
        <v>0.110331863205842</v>
      </c>
      <c r="V430" s="2" t="str">
        <f aca="false">IF(S430&lt;=5,"Late night (0-5)",IF(S430&lt;=11,"Morning (6-11)",IF(S430&lt;=17,"Afternoon (12-17)","Evening (18-23)")))</f>
        <v>Evening (18-23)</v>
      </c>
    </row>
    <row r="431" customFormat="false" ht="15" hidden="false" customHeight="false" outlineLevel="0" collapsed="false">
      <c r="A431" s="2" t="s">
        <v>898</v>
      </c>
      <c r="B431" s="2" t="s">
        <v>240</v>
      </c>
      <c r="C431" s="2" t="s">
        <v>41</v>
      </c>
      <c r="D431" s="3" t="n">
        <v>45972</v>
      </c>
      <c r="E431" s="2" t="s">
        <v>899</v>
      </c>
      <c r="F431" s="2" t="s">
        <v>32</v>
      </c>
      <c r="G431" s="2" t="n">
        <v>83197</v>
      </c>
      <c r="H431" s="2" t="n">
        <v>10</v>
      </c>
      <c r="I431" s="2" t="n">
        <v>199</v>
      </c>
      <c r="J431" s="2" t="n">
        <v>1</v>
      </c>
      <c r="K431" s="2" t="n">
        <v>36927</v>
      </c>
      <c r="L431" s="2" t="n">
        <v>32707</v>
      </c>
      <c r="M431" s="2" t="n">
        <v>3094</v>
      </c>
      <c r="N431" s="2" t="n">
        <v>230</v>
      </c>
      <c r="O431" s="2" t="n">
        <v>741</v>
      </c>
      <c r="P431" s="2" t="n">
        <v>823</v>
      </c>
      <c r="Q431" s="2" t="n">
        <v>234</v>
      </c>
      <c r="R431" s="2" t="n">
        <v>64</v>
      </c>
      <c r="S431" s="2" t="n">
        <v>3</v>
      </c>
      <c r="T431" s="2" t="s">
        <v>51</v>
      </c>
      <c r="U431" s="4" t="n">
        <f aca="false">(M431+N431+O431+P431)/L431</f>
        <v>0.149448130369646</v>
      </c>
      <c r="V431" s="2" t="str">
        <f aca="false">IF(S431&lt;=5,"Late night (0-5)",IF(S431&lt;=11,"Morning (6-11)",IF(S431&lt;=17,"Afternoon (12-17)","Evening (18-23)")))</f>
        <v>Late night (0-5)</v>
      </c>
    </row>
    <row r="432" customFormat="false" ht="15" hidden="false" customHeight="false" outlineLevel="0" collapsed="false">
      <c r="A432" s="2" t="s">
        <v>900</v>
      </c>
      <c r="B432" s="2" t="s">
        <v>106</v>
      </c>
      <c r="C432" s="2" t="s">
        <v>91</v>
      </c>
      <c r="D432" s="3" t="n">
        <v>46003</v>
      </c>
      <c r="E432" s="2" t="s">
        <v>901</v>
      </c>
      <c r="F432" s="2" t="s">
        <v>26</v>
      </c>
      <c r="G432" s="2" t="n">
        <v>59477</v>
      </c>
      <c r="H432" s="2" t="n">
        <v>10</v>
      </c>
      <c r="I432" s="2" t="n">
        <v>225</v>
      </c>
      <c r="J432" s="2" t="n">
        <v>1</v>
      </c>
      <c r="K432" s="2" t="n">
        <v>41014</v>
      </c>
      <c r="L432" s="2" t="n">
        <v>28666</v>
      </c>
      <c r="M432" s="2" t="n">
        <v>1064</v>
      </c>
      <c r="N432" s="2" t="n">
        <v>38</v>
      </c>
      <c r="O432" s="2" t="n">
        <v>174</v>
      </c>
      <c r="P432" s="2" t="n">
        <v>169</v>
      </c>
      <c r="Q432" s="2" t="n">
        <v>448</v>
      </c>
      <c r="R432" s="2" t="n">
        <v>40</v>
      </c>
      <c r="S432" s="2" t="n">
        <v>20</v>
      </c>
      <c r="T432" s="2" t="s">
        <v>96</v>
      </c>
      <c r="U432" s="4" t="n">
        <f aca="false">(M432+N432+O432+P432)/L432</f>
        <v>0.0504081490267216</v>
      </c>
      <c r="V432" s="2" t="str">
        <f aca="false">IF(S432&lt;=5,"Late night (0-5)",IF(S432&lt;=11,"Morning (6-11)",IF(S432&lt;=17,"Afternoon (12-17)","Evening (18-23)")))</f>
        <v>Evening (18-23)</v>
      </c>
    </row>
    <row r="433" customFormat="false" ht="15" hidden="false" customHeight="false" outlineLevel="0" collapsed="false">
      <c r="A433" s="2" t="s">
        <v>902</v>
      </c>
      <c r="B433" s="2" t="s">
        <v>29</v>
      </c>
      <c r="C433" s="2" t="s">
        <v>30</v>
      </c>
      <c r="D433" s="3" t="n">
        <v>45745</v>
      </c>
      <c r="E433" s="2" t="s">
        <v>903</v>
      </c>
      <c r="F433" s="2" t="s">
        <v>32</v>
      </c>
      <c r="G433" s="2" t="n">
        <v>11612</v>
      </c>
      <c r="H433" s="2" t="n">
        <v>12</v>
      </c>
      <c r="I433" s="2" t="n">
        <v>152</v>
      </c>
      <c r="J433" s="2" t="n">
        <v>0</v>
      </c>
      <c r="K433" s="2" t="n">
        <v>14703</v>
      </c>
      <c r="L433" s="2" t="n">
        <v>10452</v>
      </c>
      <c r="M433" s="2" t="n">
        <v>1019</v>
      </c>
      <c r="N433" s="2" t="n">
        <v>47</v>
      </c>
      <c r="O433" s="2" t="n">
        <v>67</v>
      </c>
      <c r="P433" s="2" t="n">
        <v>303</v>
      </c>
      <c r="Q433" s="2" t="n">
        <v>273</v>
      </c>
      <c r="R433" s="2" t="n">
        <v>58</v>
      </c>
      <c r="S433" s="2" t="n">
        <v>9</v>
      </c>
      <c r="T433" s="2" t="s">
        <v>62</v>
      </c>
      <c r="U433" s="4" t="n">
        <f aca="false">(M433+N433+O433+P433)/L433</f>
        <v>0.137389973210869</v>
      </c>
      <c r="V433" s="2" t="str">
        <f aca="false">IF(S433&lt;=5,"Late night (0-5)",IF(S433&lt;=11,"Morning (6-11)",IF(S433&lt;=17,"Afternoon (12-17)","Evening (18-23)")))</f>
        <v>Morning (6-11)</v>
      </c>
    </row>
    <row r="434" customFormat="false" ht="15" hidden="false" customHeight="false" outlineLevel="0" collapsed="false">
      <c r="A434" s="2" t="s">
        <v>904</v>
      </c>
      <c r="B434" s="2" t="s">
        <v>64</v>
      </c>
      <c r="C434" s="2" t="s">
        <v>36</v>
      </c>
      <c r="D434" s="3" t="n">
        <v>46009</v>
      </c>
      <c r="E434" s="2" t="s">
        <v>905</v>
      </c>
      <c r="F434" s="2" t="s">
        <v>38</v>
      </c>
      <c r="G434" s="2" t="n">
        <v>43781</v>
      </c>
      <c r="H434" s="2" t="n">
        <v>11</v>
      </c>
      <c r="I434" s="2" t="n">
        <v>280</v>
      </c>
      <c r="J434" s="2" t="n">
        <v>1</v>
      </c>
      <c r="K434" s="2" t="n">
        <v>30814</v>
      </c>
      <c r="L434" s="2" t="n">
        <v>24241</v>
      </c>
      <c r="M434" s="2" t="n">
        <v>1126</v>
      </c>
      <c r="N434" s="2" t="n">
        <v>53</v>
      </c>
      <c r="O434" s="2" t="n">
        <v>81</v>
      </c>
      <c r="P434" s="2" t="n">
        <v>187</v>
      </c>
      <c r="Q434" s="2" t="n">
        <v>471</v>
      </c>
      <c r="R434" s="2" t="n">
        <v>107</v>
      </c>
      <c r="S434" s="2" t="n">
        <v>13</v>
      </c>
      <c r="T434" s="2" t="s">
        <v>79</v>
      </c>
      <c r="U434" s="4" t="n">
        <f aca="false">(M434+N434+O434+P434)/L434</f>
        <v>0.0596922569200941</v>
      </c>
      <c r="V434" s="2" t="str">
        <f aca="false">IF(S434&lt;=5,"Late night (0-5)",IF(S434&lt;=11,"Morning (6-11)",IF(S434&lt;=17,"Afternoon (12-17)","Evening (18-23)")))</f>
        <v>Afternoon (12-17)</v>
      </c>
    </row>
    <row r="435" customFormat="false" ht="15" hidden="false" customHeight="false" outlineLevel="0" collapsed="false">
      <c r="A435" s="2" t="s">
        <v>906</v>
      </c>
      <c r="B435" s="2" t="s">
        <v>307</v>
      </c>
      <c r="C435" s="2" t="s">
        <v>48</v>
      </c>
      <c r="D435" s="3" t="n">
        <v>45872</v>
      </c>
      <c r="E435" s="2" t="s">
        <v>420</v>
      </c>
      <c r="F435" s="2" t="s">
        <v>32</v>
      </c>
      <c r="G435" s="2" t="n">
        <v>91358</v>
      </c>
      <c r="H435" s="2" t="n">
        <v>13</v>
      </c>
      <c r="I435" s="2" t="n">
        <v>246</v>
      </c>
      <c r="J435" s="2" t="n">
        <v>0</v>
      </c>
      <c r="K435" s="2" t="n">
        <v>87024</v>
      </c>
      <c r="L435" s="2" t="n">
        <v>55800</v>
      </c>
      <c r="M435" s="2" t="n">
        <v>3844</v>
      </c>
      <c r="N435" s="2" t="n">
        <v>235</v>
      </c>
      <c r="O435" s="2" t="n">
        <v>758</v>
      </c>
      <c r="P435" s="2" t="n">
        <v>1046</v>
      </c>
      <c r="Q435" s="2" t="n">
        <v>372</v>
      </c>
      <c r="R435" s="2" t="n">
        <v>51</v>
      </c>
      <c r="S435" s="2" t="n">
        <v>17</v>
      </c>
      <c r="T435" s="2" t="s">
        <v>27</v>
      </c>
      <c r="U435" s="4" t="n">
        <f aca="false">(M435+N435+O435+P435)/L435</f>
        <v>0.105430107526882</v>
      </c>
      <c r="V435" s="2" t="str">
        <f aca="false">IF(S435&lt;=5,"Late night (0-5)",IF(S435&lt;=11,"Morning (6-11)",IF(S435&lt;=17,"Afternoon (12-17)","Evening (18-23)")))</f>
        <v>Afternoon (12-17)</v>
      </c>
    </row>
    <row r="436" customFormat="false" ht="15" hidden="false" customHeight="false" outlineLevel="0" collapsed="false">
      <c r="A436" s="2" t="s">
        <v>907</v>
      </c>
      <c r="B436" s="2" t="s">
        <v>324</v>
      </c>
      <c r="C436" s="2" t="s">
        <v>24</v>
      </c>
      <c r="D436" s="3" t="n">
        <v>45903</v>
      </c>
      <c r="E436" s="2" t="s">
        <v>908</v>
      </c>
      <c r="F436" s="2" t="s">
        <v>26</v>
      </c>
      <c r="G436" s="2" t="n">
        <v>3823</v>
      </c>
      <c r="H436" s="2" t="n">
        <v>4</v>
      </c>
      <c r="I436" s="2" t="n">
        <v>323</v>
      </c>
      <c r="J436" s="2" t="n">
        <v>0</v>
      </c>
      <c r="K436" s="2" t="n">
        <v>1155</v>
      </c>
      <c r="L436" s="2" t="n">
        <v>923</v>
      </c>
      <c r="M436" s="2" t="n">
        <v>64</v>
      </c>
      <c r="N436" s="2" t="n">
        <v>3</v>
      </c>
      <c r="O436" s="2" t="n">
        <v>11</v>
      </c>
      <c r="P436" s="2" t="n">
        <v>11</v>
      </c>
      <c r="Q436" s="2" t="n">
        <v>21</v>
      </c>
      <c r="R436" s="2" t="n">
        <v>4</v>
      </c>
      <c r="S436" s="2" t="n">
        <v>3</v>
      </c>
      <c r="T436" s="2" t="s">
        <v>66</v>
      </c>
      <c r="U436" s="4" t="n">
        <f aca="false">(M436+N436+O436+P436)/L436</f>
        <v>0.0964247020585049</v>
      </c>
      <c r="V436" s="2" t="str">
        <f aca="false">IF(S436&lt;=5,"Late night (0-5)",IF(S436&lt;=11,"Morning (6-11)",IF(S436&lt;=17,"Afternoon (12-17)","Evening (18-23)")))</f>
        <v>Late night (0-5)</v>
      </c>
    </row>
    <row r="437" customFormat="false" ht="15" hidden="false" customHeight="false" outlineLevel="0" collapsed="false">
      <c r="A437" s="2" t="s">
        <v>909</v>
      </c>
      <c r="B437" s="2" t="s">
        <v>324</v>
      </c>
      <c r="C437" s="2" t="s">
        <v>24</v>
      </c>
      <c r="D437" s="3" t="n">
        <v>45805</v>
      </c>
      <c r="E437" s="2" t="s">
        <v>805</v>
      </c>
      <c r="F437" s="2" t="s">
        <v>32</v>
      </c>
      <c r="G437" s="2" t="n">
        <v>3823</v>
      </c>
      <c r="H437" s="2" t="n">
        <v>11</v>
      </c>
      <c r="I437" s="2" t="n">
        <v>136</v>
      </c>
      <c r="J437" s="2" t="n">
        <v>1</v>
      </c>
      <c r="K437" s="2" t="n">
        <v>4316</v>
      </c>
      <c r="L437" s="2" t="n">
        <v>3391</v>
      </c>
      <c r="M437" s="2" t="n">
        <v>355</v>
      </c>
      <c r="N437" s="2" t="n">
        <v>11</v>
      </c>
      <c r="O437" s="2" t="n">
        <v>32</v>
      </c>
      <c r="P437" s="2" t="n">
        <v>57</v>
      </c>
      <c r="Q437" s="2" t="n">
        <v>33</v>
      </c>
      <c r="R437" s="2" t="n">
        <v>2</v>
      </c>
      <c r="S437" s="2" t="n">
        <v>11</v>
      </c>
      <c r="T437" s="2" t="s">
        <v>66</v>
      </c>
      <c r="U437" s="4" t="n">
        <f aca="false">(M437+N437+O437+P437)/L437</f>
        <v>0.134178708345621</v>
      </c>
      <c r="V437" s="2" t="str">
        <f aca="false">IF(S437&lt;=5,"Late night (0-5)",IF(S437&lt;=11,"Morning (6-11)",IF(S437&lt;=17,"Afternoon (12-17)","Evening (18-23)")))</f>
        <v>Morning (6-11)</v>
      </c>
    </row>
    <row r="438" customFormat="false" ht="15" hidden="false" customHeight="false" outlineLevel="0" collapsed="false">
      <c r="A438" s="2" t="s">
        <v>910</v>
      </c>
      <c r="B438" s="2" t="s">
        <v>138</v>
      </c>
      <c r="C438" s="2" t="s">
        <v>41</v>
      </c>
      <c r="D438" s="3" t="n">
        <v>45983</v>
      </c>
      <c r="E438" s="2" t="s">
        <v>911</v>
      </c>
      <c r="F438" s="2" t="s">
        <v>38</v>
      </c>
      <c r="G438" s="2" t="n">
        <v>18712</v>
      </c>
      <c r="H438" s="2" t="n">
        <v>15</v>
      </c>
      <c r="I438" s="2" t="n">
        <v>59</v>
      </c>
      <c r="J438" s="2" t="n">
        <v>0</v>
      </c>
      <c r="K438" s="2" t="n">
        <v>46698</v>
      </c>
      <c r="L438" s="2" t="n">
        <v>39242</v>
      </c>
      <c r="M438" s="2" t="n">
        <v>2071</v>
      </c>
      <c r="N438" s="2" t="n">
        <v>112</v>
      </c>
      <c r="O438" s="2" t="n">
        <v>188</v>
      </c>
      <c r="P438" s="2" t="n">
        <v>419</v>
      </c>
      <c r="Q438" s="2" t="n">
        <v>486</v>
      </c>
      <c r="R438" s="2" t="n">
        <v>66</v>
      </c>
      <c r="S438" s="2" t="n">
        <v>13</v>
      </c>
      <c r="T438" s="2" t="s">
        <v>62</v>
      </c>
      <c r="U438" s="4" t="n">
        <f aca="false">(M438+N438+O438+P438)/L438</f>
        <v>0.0710972937159166</v>
      </c>
      <c r="V438" s="2" t="str">
        <f aca="false">IF(S438&lt;=5,"Late night (0-5)",IF(S438&lt;=11,"Morning (6-11)",IF(S438&lt;=17,"Afternoon (12-17)","Evening (18-23)")))</f>
        <v>Afternoon (12-17)</v>
      </c>
    </row>
    <row r="439" customFormat="false" ht="15" hidden="false" customHeight="false" outlineLevel="0" collapsed="false">
      <c r="A439" s="2" t="s">
        <v>912</v>
      </c>
      <c r="B439" s="2" t="s">
        <v>431</v>
      </c>
      <c r="C439" s="2" t="s">
        <v>36</v>
      </c>
      <c r="D439" s="3" t="n">
        <v>45974</v>
      </c>
      <c r="E439" s="2" t="s">
        <v>913</v>
      </c>
      <c r="F439" s="2" t="s">
        <v>50</v>
      </c>
      <c r="G439" s="2" t="n">
        <v>64821</v>
      </c>
      <c r="H439" s="2" t="n">
        <v>19</v>
      </c>
      <c r="I439" s="2" t="n">
        <v>250</v>
      </c>
      <c r="J439" s="2" t="n">
        <v>0</v>
      </c>
      <c r="K439" s="2" t="n">
        <v>63542</v>
      </c>
      <c r="L439" s="2" t="n">
        <v>49401</v>
      </c>
      <c r="M439" s="2" t="n">
        <v>4168</v>
      </c>
      <c r="N439" s="2" t="n">
        <v>169</v>
      </c>
      <c r="O439" s="2" t="n">
        <v>490</v>
      </c>
      <c r="P439" s="2" t="n">
        <v>707</v>
      </c>
      <c r="Q439" s="2" t="n">
        <v>1387</v>
      </c>
      <c r="R439" s="2" t="n">
        <v>161</v>
      </c>
      <c r="S439" s="2" t="n">
        <v>5</v>
      </c>
      <c r="T439" s="2" t="s">
        <v>79</v>
      </c>
      <c r="U439" s="4" t="n">
        <f aca="false">(M439+N439+O439+P439)/L439</f>
        <v>0.112022023845671</v>
      </c>
      <c r="V439" s="2" t="str">
        <f aca="false">IF(S439&lt;=5,"Late night (0-5)",IF(S439&lt;=11,"Morning (6-11)",IF(S439&lt;=17,"Afternoon (12-17)","Evening (18-23)")))</f>
        <v>Late night (0-5)</v>
      </c>
    </row>
    <row r="440" customFormat="false" ht="15" hidden="false" customHeight="false" outlineLevel="0" collapsed="false">
      <c r="A440" s="2" t="s">
        <v>914</v>
      </c>
      <c r="B440" s="2" t="s">
        <v>307</v>
      </c>
      <c r="C440" s="2" t="s">
        <v>48</v>
      </c>
      <c r="D440" s="3" t="n">
        <v>45760</v>
      </c>
      <c r="E440" s="2" t="s">
        <v>756</v>
      </c>
      <c r="F440" s="2" t="s">
        <v>26</v>
      </c>
      <c r="G440" s="2" t="n">
        <v>91358</v>
      </c>
      <c r="H440" s="2" t="n">
        <v>5</v>
      </c>
      <c r="I440" s="2" t="n">
        <v>223</v>
      </c>
      <c r="J440" s="2" t="n">
        <v>0</v>
      </c>
      <c r="K440" s="2" t="n">
        <v>206864</v>
      </c>
      <c r="L440" s="2" t="n">
        <v>152088</v>
      </c>
      <c r="M440" s="2" t="n">
        <v>6634</v>
      </c>
      <c r="N440" s="2" t="n">
        <v>527</v>
      </c>
      <c r="O440" s="2" t="n">
        <v>510</v>
      </c>
      <c r="P440" s="2" t="n">
        <v>1482</v>
      </c>
      <c r="Q440" s="2" t="n">
        <v>1764</v>
      </c>
      <c r="R440" s="2" t="n">
        <v>306</v>
      </c>
      <c r="S440" s="2" t="n">
        <v>10</v>
      </c>
      <c r="T440" s="2" t="s">
        <v>27</v>
      </c>
      <c r="U440" s="4" t="n">
        <f aca="false">(M440+N440+O440+P440)/L440</f>
        <v>0.0601822629004261</v>
      </c>
      <c r="V440" s="2" t="str">
        <f aca="false">IF(S440&lt;=5,"Late night (0-5)",IF(S440&lt;=11,"Morning (6-11)",IF(S440&lt;=17,"Afternoon (12-17)","Evening (18-23)")))</f>
        <v>Morning (6-11)</v>
      </c>
    </row>
    <row r="441" customFormat="false" ht="15" hidden="false" customHeight="false" outlineLevel="0" collapsed="false">
      <c r="A441" s="2" t="s">
        <v>915</v>
      </c>
      <c r="B441" s="2" t="s">
        <v>64</v>
      </c>
      <c r="C441" s="2" t="s">
        <v>36</v>
      </c>
      <c r="D441" s="3" t="n">
        <v>45772</v>
      </c>
      <c r="E441" s="2" t="s">
        <v>916</v>
      </c>
      <c r="F441" s="2" t="s">
        <v>32</v>
      </c>
      <c r="G441" s="2" t="n">
        <v>43781</v>
      </c>
      <c r="H441" s="2" t="n">
        <v>16</v>
      </c>
      <c r="I441" s="2" t="n">
        <v>126</v>
      </c>
      <c r="J441" s="2" t="n">
        <v>1</v>
      </c>
      <c r="K441" s="2" t="n">
        <v>95169</v>
      </c>
      <c r="L441" s="2" t="n">
        <v>63258</v>
      </c>
      <c r="M441" s="2" t="n">
        <v>5462</v>
      </c>
      <c r="N441" s="2" t="n">
        <v>318</v>
      </c>
      <c r="O441" s="2" t="n">
        <v>257</v>
      </c>
      <c r="P441" s="2" t="n">
        <v>1135</v>
      </c>
      <c r="Q441" s="2" t="n">
        <v>826</v>
      </c>
      <c r="R441" s="2" t="n">
        <v>200</v>
      </c>
      <c r="S441" s="2" t="n">
        <v>13</v>
      </c>
      <c r="T441" s="2" t="s">
        <v>96</v>
      </c>
      <c r="U441" s="4" t="n">
        <f aca="false">(M441+N441+O441+P441)/L441</f>
        <v>0.113376964178444</v>
      </c>
      <c r="V441" s="2" t="str">
        <f aca="false">IF(S441&lt;=5,"Late night (0-5)",IF(S441&lt;=11,"Morning (6-11)",IF(S441&lt;=17,"Afternoon (12-17)","Evening (18-23)")))</f>
        <v>Afternoon (12-17)</v>
      </c>
    </row>
    <row r="442" customFormat="false" ht="15" hidden="false" customHeight="false" outlineLevel="0" collapsed="false">
      <c r="A442" s="2" t="s">
        <v>917</v>
      </c>
      <c r="B442" s="2" t="s">
        <v>409</v>
      </c>
      <c r="C442" s="2" t="s">
        <v>48</v>
      </c>
      <c r="D442" s="3" t="n">
        <v>45788</v>
      </c>
      <c r="E442" s="2" t="s">
        <v>918</v>
      </c>
      <c r="F442" s="2" t="s">
        <v>32</v>
      </c>
      <c r="G442" s="2" t="n">
        <v>31525</v>
      </c>
      <c r="H442" s="2" t="n">
        <v>10</v>
      </c>
      <c r="I442" s="2" t="n">
        <v>202</v>
      </c>
      <c r="J442" s="2" t="n">
        <v>0</v>
      </c>
      <c r="K442" s="2" t="n">
        <v>28225</v>
      </c>
      <c r="L442" s="2" t="n">
        <v>20069</v>
      </c>
      <c r="M442" s="2" t="n">
        <v>1219</v>
      </c>
      <c r="N442" s="2" t="n">
        <v>80</v>
      </c>
      <c r="O442" s="2" t="n">
        <v>285</v>
      </c>
      <c r="P442" s="2" t="n">
        <v>136</v>
      </c>
      <c r="Q442" s="2" t="n">
        <v>181</v>
      </c>
      <c r="R442" s="2" t="n">
        <v>25</v>
      </c>
      <c r="S442" s="2" t="n">
        <v>14</v>
      </c>
      <c r="T442" s="2" t="s">
        <v>27</v>
      </c>
      <c r="U442" s="4" t="n">
        <f aca="false">(M442+N442+O442+P442)/L442</f>
        <v>0.0857043200956699</v>
      </c>
      <c r="V442" s="2" t="str">
        <f aca="false">IF(S442&lt;=5,"Late night (0-5)",IF(S442&lt;=11,"Morning (6-11)",IF(S442&lt;=17,"Afternoon (12-17)","Evening (18-23)")))</f>
        <v>Afternoon (12-17)</v>
      </c>
    </row>
    <row r="443" customFormat="false" ht="15" hidden="false" customHeight="false" outlineLevel="0" collapsed="false">
      <c r="A443" s="2" t="s">
        <v>919</v>
      </c>
      <c r="B443" s="2" t="s">
        <v>68</v>
      </c>
      <c r="C443" s="2" t="s">
        <v>54</v>
      </c>
      <c r="D443" s="3" t="n">
        <v>45907</v>
      </c>
      <c r="E443" s="2" t="s">
        <v>606</v>
      </c>
      <c r="F443" s="2" t="s">
        <v>38</v>
      </c>
      <c r="G443" s="2" t="n">
        <v>35922</v>
      </c>
      <c r="H443" s="2" t="n">
        <v>20</v>
      </c>
      <c r="I443" s="2" t="n">
        <v>165</v>
      </c>
      <c r="J443" s="2" t="n">
        <v>0</v>
      </c>
      <c r="K443" s="2" t="n">
        <v>45241</v>
      </c>
      <c r="L443" s="2" t="n">
        <v>27813</v>
      </c>
      <c r="M443" s="2" t="n">
        <v>1675</v>
      </c>
      <c r="N443" s="2" t="n">
        <v>108</v>
      </c>
      <c r="O443" s="2" t="n">
        <v>182</v>
      </c>
      <c r="P443" s="2" t="n">
        <v>237</v>
      </c>
      <c r="Q443" s="2" t="n">
        <v>291</v>
      </c>
      <c r="R443" s="2" t="n">
        <v>29</v>
      </c>
      <c r="S443" s="2" t="n">
        <v>13</v>
      </c>
      <c r="T443" s="2" t="s">
        <v>27</v>
      </c>
      <c r="U443" s="4" t="n">
        <f aca="false">(M443+N443+O443+P443)/L443</f>
        <v>0.0791716103980153</v>
      </c>
      <c r="V443" s="2" t="str">
        <f aca="false">IF(S443&lt;=5,"Late night (0-5)",IF(S443&lt;=11,"Morning (6-11)",IF(S443&lt;=17,"Afternoon (12-17)","Evening (18-23)")))</f>
        <v>Afternoon (12-17)</v>
      </c>
    </row>
    <row r="444" customFormat="false" ht="15" hidden="false" customHeight="false" outlineLevel="0" collapsed="false">
      <c r="A444" s="2" t="s">
        <v>920</v>
      </c>
      <c r="B444" s="2" t="s">
        <v>324</v>
      </c>
      <c r="C444" s="2" t="s">
        <v>24</v>
      </c>
      <c r="D444" s="3" t="n">
        <v>45871</v>
      </c>
      <c r="E444" s="2" t="s">
        <v>921</v>
      </c>
      <c r="F444" s="2" t="s">
        <v>50</v>
      </c>
      <c r="G444" s="2" t="n">
        <v>3823</v>
      </c>
      <c r="H444" s="2" t="n">
        <v>17</v>
      </c>
      <c r="I444" s="2" t="n">
        <v>199</v>
      </c>
      <c r="J444" s="2" t="n">
        <v>0</v>
      </c>
      <c r="K444" s="2" t="n">
        <v>4096</v>
      </c>
      <c r="L444" s="2" t="n">
        <v>3399</v>
      </c>
      <c r="M444" s="2" t="n">
        <v>287</v>
      </c>
      <c r="N444" s="2" t="n">
        <v>11</v>
      </c>
      <c r="O444" s="2" t="n">
        <v>11</v>
      </c>
      <c r="P444" s="2" t="n">
        <v>20</v>
      </c>
      <c r="Q444" s="2" t="n">
        <v>55</v>
      </c>
      <c r="R444" s="2" t="n">
        <v>3</v>
      </c>
      <c r="S444" s="2" t="n">
        <v>12</v>
      </c>
      <c r="T444" s="2" t="s">
        <v>62</v>
      </c>
      <c r="U444" s="4" t="n">
        <f aca="false">(M444+N444+O444+P444)/L444</f>
        <v>0.0967931744630774</v>
      </c>
      <c r="V444" s="2" t="str">
        <f aca="false">IF(S444&lt;=5,"Late night (0-5)",IF(S444&lt;=11,"Morning (6-11)",IF(S444&lt;=17,"Afternoon (12-17)","Evening (18-23)")))</f>
        <v>Afternoon (12-17)</v>
      </c>
    </row>
    <row r="445" customFormat="false" ht="15" hidden="false" customHeight="false" outlineLevel="0" collapsed="false">
      <c r="A445" s="2" t="s">
        <v>922</v>
      </c>
      <c r="B445" s="2" t="s">
        <v>106</v>
      </c>
      <c r="C445" s="2" t="s">
        <v>91</v>
      </c>
      <c r="D445" s="3" t="n">
        <v>46021</v>
      </c>
      <c r="E445" s="2" t="s">
        <v>923</v>
      </c>
      <c r="F445" s="2" t="s">
        <v>32</v>
      </c>
      <c r="G445" s="2" t="n">
        <v>59477</v>
      </c>
      <c r="H445" s="2" t="n">
        <v>11</v>
      </c>
      <c r="I445" s="2" t="n">
        <v>357</v>
      </c>
      <c r="J445" s="2" t="n">
        <v>0</v>
      </c>
      <c r="K445" s="2" t="n">
        <v>133547</v>
      </c>
      <c r="L445" s="2" t="n">
        <v>109718</v>
      </c>
      <c r="M445" s="2" t="n">
        <v>7943</v>
      </c>
      <c r="N445" s="2" t="n">
        <v>311</v>
      </c>
      <c r="O445" s="2" t="n">
        <v>2206</v>
      </c>
      <c r="P445" s="2" t="n">
        <v>1458</v>
      </c>
      <c r="Q445" s="2" t="n">
        <v>2923</v>
      </c>
      <c r="R445" s="2" t="n">
        <v>431</v>
      </c>
      <c r="S445" s="2" t="n">
        <v>22</v>
      </c>
      <c r="T445" s="2" t="s">
        <v>51</v>
      </c>
      <c r="U445" s="4" t="n">
        <f aca="false">(M445+N445+O445+P445)/L445</f>
        <v>0.108623926794145</v>
      </c>
      <c r="V445" s="2" t="str">
        <f aca="false">IF(S445&lt;=5,"Late night (0-5)",IF(S445&lt;=11,"Morning (6-11)",IF(S445&lt;=17,"Afternoon (12-17)","Evening (18-23)")))</f>
        <v>Evening (18-23)</v>
      </c>
    </row>
    <row r="446" customFormat="false" ht="15" hidden="false" customHeight="false" outlineLevel="0" collapsed="false">
      <c r="A446" s="2" t="s">
        <v>924</v>
      </c>
      <c r="B446" s="2" t="s">
        <v>164</v>
      </c>
      <c r="C446" s="2" t="s">
        <v>36</v>
      </c>
      <c r="D446" s="3" t="n">
        <v>45932</v>
      </c>
      <c r="E446" s="2" t="s">
        <v>820</v>
      </c>
      <c r="F446" s="2" t="s">
        <v>32</v>
      </c>
      <c r="G446" s="2" t="n">
        <v>44230</v>
      </c>
      <c r="H446" s="2" t="n">
        <v>24</v>
      </c>
      <c r="I446" s="2" t="n">
        <v>21</v>
      </c>
      <c r="J446" s="2" t="n">
        <v>0</v>
      </c>
      <c r="K446" s="2" t="n">
        <v>90984</v>
      </c>
      <c r="L446" s="2" t="n">
        <v>73033</v>
      </c>
      <c r="M446" s="2" t="n">
        <v>6898</v>
      </c>
      <c r="N446" s="2" t="n">
        <v>516</v>
      </c>
      <c r="O446" s="2" t="n">
        <v>1912</v>
      </c>
      <c r="P446" s="2" t="n">
        <v>731</v>
      </c>
      <c r="Q446" s="2" t="n">
        <v>932</v>
      </c>
      <c r="R446" s="2" t="n">
        <v>84</v>
      </c>
      <c r="S446" s="2" t="n">
        <v>23</v>
      </c>
      <c r="T446" s="2" t="s">
        <v>79</v>
      </c>
      <c r="U446" s="4" t="n">
        <f aca="false">(M446+N446+O446+P446)/L446</f>
        <v>0.13770487313954</v>
      </c>
      <c r="V446" s="2" t="str">
        <f aca="false">IF(S446&lt;=5,"Late night (0-5)",IF(S446&lt;=11,"Morning (6-11)",IF(S446&lt;=17,"Afternoon (12-17)","Evening (18-23)")))</f>
        <v>Evening (18-23)</v>
      </c>
    </row>
    <row r="447" customFormat="false" ht="15" hidden="false" customHeight="false" outlineLevel="0" collapsed="false">
      <c r="A447" s="2" t="s">
        <v>925</v>
      </c>
      <c r="B447" s="2" t="s">
        <v>462</v>
      </c>
      <c r="C447" s="2" t="s">
        <v>84</v>
      </c>
      <c r="D447" s="3" t="n">
        <v>45715</v>
      </c>
      <c r="E447" s="2" t="s">
        <v>762</v>
      </c>
      <c r="F447" s="2" t="s">
        <v>32</v>
      </c>
      <c r="G447" s="2" t="n">
        <v>43510</v>
      </c>
      <c r="H447" s="2" t="n">
        <v>20</v>
      </c>
      <c r="I447" s="2" t="n">
        <v>62</v>
      </c>
      <c r="J447" s="2" t="n">
        <v>0</v>
      </c>
      <c r="K447" s="2" t="n">
        <v>264380</v>
      </c>
      <c r="L447" s="2" t="n">
        <v>194732</v>
      </c>
      <c r="M447" s="2" t="n">
        <v>18366</v>
      </c>
      <c r="N447" s="2" t="n">
        <v>1117</v>
      </c>
      <c r="O447" s="2" t="n">
        <v>2824</v>
      </c>
      <c r="P447" s="2" t="n">
        <v>2494</v>
      </c>
      <c r="Q447" s="2" t="n">
        <v>1997</v>
      </c>
      <c r="R447" s="2" t="n">
        <v>131</v>
      </c>
      <c r="S447" s="2" t="n">
        <v>7</v>
      </c>
      <c r="T447" s="2" t="s">
        <v>79</v>
      </c>
      <c r="U447" s="4" t="n">
        <f aca="false">(M447+N447+O447+P447)/L447</f>
        <v>0.127359653267054</v>
      </c>
      <c r="V447" s="2" t="str">
        <f aca="false">IF(S447&lt;=5,"Late night (0-5)",IF(S447&lt;=11,"Morning (6-11)",IF(S447&lt;=17,"Afternoon (12-17)","Evening (18-23)")))</f>
        <v>Morning (6-11)</v>
      </c>
    </row>
    <row r="448" customFormat="false" ht="15" hidden="false" customHeight="false" outlineLevel="0" collapsed="false">
      <c r="A448" s="2" t="s">
        <v>926</v>
      </c>
      <c r="B448" s="2" t="s">
        <v>64</v>
      </c>
      <c r="C448" s="2" t="s">
        <v>36</v>
      </c>
      <c r="D448" s="3" t="n">
        <v>45891</v>
      </c>
      <c r="E448" s="2" t="s">
        <v>927</v>
      </c>
      <c r="F448" s="2" t="s">
        <v>32</v>
      </c>
      <c r="G448" s="2" t="n">
        <v>43781</v>
      </c>
      <c r="H448" s="2" t="n">
        <v>16</v>
      </c>
      <c r="I448" s="2" t="n">
        <v>246</v>
      </c>
      <c r="J448" s="2" t="n">
        <v>1</v>
      </c>
      <c r="K448" s="2" t="n">
        <v>38178</v>
      </c>
      <c r="L448" s="2" t="n">
        <v>28498</v>
      </c>
      <c r="M448" s="2" t="n">
        <v>3076</v>
      </c>
      <c r="N448" s="2" t="n">
        <v>117</v>
      </c>
      <c r="O448" s="2" t="n">
        <v>159</v>
      </c>
      <c r="P448" s="2" t="n">
        <v>548</v>
      </c>
      <c r="Q448" s="2" t="n">
        <v>202</v>
      </c>
      <c r="R448" s="2" t="n">
        <v>23</v>
      </c>
      <c r="S448" s="2" t="n">
        <v>10</v>
      </c>
      <c r="T448" s="2" t="s">
        <v>96</v>
      </c>
      <c r="U448" s="4" t="n">
        <f aca="false">(M448+N448+O448+P448)/L448</f>
        <v>0.136851708891852</v>
      </c>
      <c r="V448" s="2" t="str">
        <f aca="false">IF(S448&lt;=5,"Late night (0-5)",IF(S448&lt;=11,"Morning (6-11)",IF(S448&lt;=17,"Afternoon (12-17)","Evening (18-23)")))</f>
        <v>Morning (6-11)</v>
      </c>
    </row>
    <row r="449" customFormat="false" ht="15" hidden="false" customHeight="false" outlineLevel="0" collapsed="false">
      <c r="A449" s="2" t="s">
        <v>928</v>
      </c>
      <c r="B449" s="2" t="s">
        <v>64</v>
      </c>
      <c r="C449" s="2" t="s">
        <v>36</v>
      </c>
      <c r="D449" s="3" t="n">
        <v>45733</v>
      </c>
      <c r="E449" s="2" t="s">
        <v>929</v>
      </c>
      <c r="F449" s="2" t="s">
        <v>38</v>
      </c>
      <c r="G449" s="2" t="n">
        <v>43781</v>
      </c>
      <c r="H449" s="2" t="n">
        <v>5</v>
      </c>
      <c r="I449" s="2" t="n">
        <v>328</v>
      </c>
      <c r="J449" s="2" t="n">
        <v>1</v>
      </c>
      <c r="K449" s="2" t="n">
        <v>59022</v>
      </c>
      <c r="L449" s="2" t="n">
        <v>33998</v>
      </c>
      <c r="M449" s="2" t="n">
        <v>2054</v>
      </c>
      <c r="N449" s="2" t="n">
        <v>150</v>
      </c>
      <c r="O449" s="2" t="n">
        <v>313</v>
      </c>
      <c r="P449" s="2" t="n">
        <v>211</v>
      </c>
      <c r="Q449" s="2" t="n">
        <v>497</v>
      </c>
      <c r="R449" s="2" t="n">
        <v>145</v>
      </c>
      <c r="S449" s="2" t="n">
        <v>13</v>
      </c>
      <c r="T449" s="2" t="s">
        <v>33</v>
      </c>
      <c r="U449" s="4" t="n">
        <f aca="false">(M449+N449+O449+P449)/L449</f>
        <v>0.0802400141184776</v>
      </c>
      <c r="V449" s="2" t="str">
        <f aca="false">IF(S449&lt;=5,"Late night (0-5)",IF(S449&lt;=11,"Morning (6-11)",IF(S449&lt;=17,"Afternoon (12-17)","Evening (18-23)")))</f>
        <v>Afternoon (12-17)</v>
      </c>
    </row>
    <row r="450" customFormat="false" ht="15" hidden="false" customHeight="false" outlineLevel="0" collapsed="false">
      <c r="A450" s="2" t="s">
        <v>930</v>
      </c>
      <c r="B450" s="2" t="s">
        <v>77</v>
      </c>
      <c r="C450" s="2" t="s">
        <v>30</v>
      </c>
      <c r="D450" s="3" t="n">
        <v>45760</v>
      </c>
      <c r="E450" s="2" t="s">
        <v>931</v>
      </c>
      <c r="F450" s="2" t="s">
        <v>32</v>
      </c>
      <c r="G450" s="2" t="n">
        <v>17548</v>
      </c>
      <c r="H450" s="2" t="n">
        <v>5</v>
      </c>
      <c r="I450" s="2" t="n">
        <v>181</v>
      </c>
      <c r="J450" s="2" t="n">
        <v>0</v>
      </c>
      <c r="K450" s="2" t="n">
        <v>12957</v>
      </c>
      <c r="L450" s="2" t="n">
        <v>8605</v>
      </c>
      <c r="M450" s="2" t="n">
        <v>792</v>
      </c>
      <c r="N450" s="2" t="n">
        <v>58</v>
      </c>
      <c r="O450" s="2" t="n">
        <v>205</v>
      </c>
      <c r="P450" s="2" t="n">
        <v>127</v>
      </c>
      <c r="Q450" s="2" t="n">
        <v>222</v>
      </c>
      <c r="R450" s="2" t="n">
        <v>40</v>
      </c>
      <c r="S450" s="2" t="n">
        <v>12</v>
      </c>
      <c r="T450" s="2" t="s">
        <v>27</v>
      </c>
      <c r="U450" s="4" t="n">
        <f aca="false">(M450+N450+O450+P450)/L450</f>
        <v>0.137361998837885</v>
      </c>
      <c r="V450" s="2" t="str">
        <f aca="false">IF(S450&lt;=5,"Late night (0-5)",IF(S450&lt;=11,"Morning (6-11)",IF(S450&lt;=17,"Afternoon (12-17)","Evening (18-23)")))</f>
        <v>Afternoon (12-17)</v>
      </c>
    </row>
    <row r="451" customFormat="false" ht="15" hidden="false" customHeight="false" outlineLevel="0" collapsed="false">
      <c r="A451" s="2" t="s">
        <v>932</v>
      </c>
      <c r="B451" s="2" t="s">
        <v>310</v>
      </c>
      <c r="C451" s="2" t="s">
        <v>91</v>
      </c>
      <c r="D451" s="3" t="n">
        <v>45777</v>
      </c>
      <c r="E451" s="2" t="s">
        <v>933</v>
      </c>
      <c r="F451" s="2" t="s">
        <v>26</v>
      </c>
      <c r="G451" s="2" t="n">
        <v>56571</v>
      </c>
      <c r="H451" s="2" t="n">
        <v>2</v>
      </c>
      <c r="I451" s="2" t="n">
        <v>42</v>
      </c>
      <c r="J451" s="2" t="n">
        <v>0</v>
      </c>
      <c r="K451" s="2" t="n">
        <v>23630</v>
      </c>
      <c r="L451" s="2" t="n">
        <v>16990</v>
      </c>
      <c r="M451" s="2" t="n">
        <v>902</v>
      </c>
      <c r="N451" s="2" t="n">
        <v>24</v>
      </c>
      <c r="O451" s="2" t="n">
        <v>154</v>
      </c>
      <c r="P451" s="2" t="n">
        <v>301</v>
      </c>
      <c r="Q451" s="2" t="n">
        <v>228</v>
      </c>
      <c r="R451" s="2" t="n">
        <v>65</v>
      </c>
      <c r="S451" s="2" t="n">
        <v>20</v>
      </c>
      <c r="T451" s="2" t="s">
        <v>66</v>
      </c>
      <c r="U451" s="4" t="n">
        <f aca="false">(M451+N451+O451+P451)/L451</f>
        <v>0.0812831077104179</v>
      </c>
      <c r="V451" s="2" t="str">
        <f aca="false">IF(S451&lt;=5,"Late night (0-5)",IF(S451&lt;=11,"Morning (6-11)",IF(S451&lt;=17,"Afternoon (12-17)","Evening (18-23)")))</f>
        <v>Evening (18-23)</v>
      </c>
    </row>
    <row r="452" customFormat="false" ht="15" hidden="false" customHeight="false" outlineLevel="0" collapsed="false">
      <c r="A452" s="2" t="s">
        <v>934</v>
      </c>
      <c r="B452" s="2" t="s">
        <v>324</v>
      </c>
      <c r="C452" s="2" t="s">
        <v>24</v>
      </c>
      <c r="D452" s="3" t="n">
        <v>45957</v>
      </c>
      <c r="E452" s="2" t="s">
        <v>935</v>
      </c>
      <c r="F452" s="2" t="s">
        <v>50</v>
      </c>
      <c r="G452" s="2" t="n">
        <v>3823</v>
      </c>
      <c r="H452" s="2" t="n">
        <v>12</v>
      </c>
      <c r="I452" s="2" t="n">
        <v>413</v>
      </c>
      <c r="J452" s="2" t="n">
        <v>0</v>
      </c>
      <c r="K452" s="2" t="n">
        <v>3288</v>
      </c>
      <c r="L452" s="2" t="n">
        <v>2224</v>
      </c>
      <c r="M452" s="2" t="n">
        <v>148</v>
      </c>
      <c r="N452" s="2" t="n">
        <v>4</v>
      </c>
      <c r="O452" s="2" t="n">
        <v>6</v>
      </c>
      <c r="P452" s="2" t="n">
        <v>33</v>
      </c>
      <c r="Q452" s="2" t="n">
        <v>45</v>
      </c>
      <c r="R452" s="2" t="n">
        <v>11</v>
      </c>
      <c r="S452" s="2" t="n">
        <v>20</v>
      </c>
      <c r="T452" s="2" t="s">
        <v>33</v>
      </c>
      <c r="U452" s="4" t="n">
        <f aca="false">(M452+N452+O452+P452)/L452</f>
        <v>0.0858812949640288</v>
      </c>
      <c r="V452" s="2" t="str">
        <f aca="false">IF(S452&lt;=5,"Late night (0-5)",IF(S452&lt;=11,"Morning (6-11)",IF(S452&lt;=17,"Afternoon (12-17)","Evening (18-23)")))</f>
        <v>Evening (18-23)</v>
      </c>
    </row>
    <row r="453" customFormat="false" ht="15" hidden="false" customHeight="false" outlineLevel="0" collapsed="false">
      <c r="A453" s="2" t="s">
        <v>936</v>
      </c>
      <c r="B453" s="2" t="s">
        <v>240</v>
      </c>
      <c r="C453" s="2" t="s">
        <v>41</v>
      </c>
      <c r="D453" s="3" t="n">
        <v>45951</v>
      </c>
      <c r="E453" s="2" t="s">
        <v>937</v>
      </c>
      <c r="F453" s="2" t="s">
        <v>26</v>
      </c>
      <c r="G453" s="2" t="n">
        <v>83197</v>
      </c>
      <c r="H453" s="2" t="n">
        <v>10</v>
      </c>
      <c r="I453" s="2" t="n">
        <v>248</v>
      </c>
      <c r="J453" s="2" t="n">
        <v>0</v>
      </c>
      <c r="K453" s="2" t="n">
        <v>68163</v>
      </c>
      <c r="L453" s="2" t="n">
        <v>45538</v>
      </c>
      <c r="M453" s="2" t="n">
        <v>1895</v>
      </c>
      <c r="N453" s="2" t="n">
        <v>77</v>
      </c>
      <c r="O453" s="2" t="n">
        <v>247</v>
      </c>
      <c r="P453" s="2" t="n">
        <v>468</v>
      </c>
      <c r="Q453" s="2" t="n">
        <v>396</v>
      </c>
      <c r="R453" s="2" t="n">
        <v>64</v>
      </c>
      <c r="S453" s="2" t="n">
        <v>14</v>
      </c>
      <c r="T453" s="2" t="s">
        <v>51</v>
      </c>
      <c r="U453" s="4" t="n">
        <f aca="false">(M453+N453+O453+P453)/L453</f>
        <v>0.0590056655979621</v>
      </c>
      <c r="V453" s="2" t="str">
        <f aca="false">IF(S453&lt;=5,"Late night (0-5)",IF(S453&lt;=11,"Morning (6-11)",IF(S453&lt;=17,"Afternoon (12-17)","Evening (18-23)")))</f>
        <v>Afternoon (12-17)</v>
      </c>
    </row>
    <row r="454" customFormat="false" ht="15" hidden="false" customHeight="false" outlineLevel="0" collapsed="false">
      <c r="A454" s="2" t="s">
        <v>938</v>
      </c>
      <c r="B454" s="2" t="s">
        <v>123</v>
      </c>
      <c r="C454" s="2" t="s">
        <v>24</v>
      </c>
      <c r="D454" s="3" t="n">
        <v>45695</v>
      </c>
      <c r="E454" s="2" t="s">
        <v>939</v>
      </c>
      <c r="F454" s="2" t="s">
        <v>38</v>
      </c>
      <c r="G454" s="2" t="n">
        <v>41391</v>
      </c>
      <c r="H454" s="2" t="n">
        <v>17</v>
      </c>
      <c r="I454" s="2" t="n">
        <v>125</v>
      </c>
      <c r="J454" s="2" t="n">
        <v>0</v>
      </c>
      <c r="K454" s="2" t="n">
        <v>6866</v>
      </c>
      <c r="L454" s="2" t="n">
        <v>4795</v>
      </c>
      <c r="M454" s="2" t="n">
        <v>387</v>
      </c>
      <c r="N454" s="2" t="n">
        <v>28</v>
      </c>
      <c r="O454" s="2" t="n">
        <v>21</v>
      </c>
      <c r="P454" s="2" t="n">
        <v>36</v>
      </c>
      <c r="Q454" s="2" t="n">
        <v>65</v>
      </c>
      <c r="R454" s="2" t="n">
        <v>15</v>
      </c>
      <c r="S454" s="2" t="n">
        <v>4</v>
      </c>
      <c r="T454" s="2" t="s">
        <v>96</v>
      </c>
      <c r="U454" s="4" t="n">
        <f aca="false">(M454+N454+O454+P454)/L454</f>
        <v>0.0984358706986444</v>
      </c>
      <c r="V454" s="2" t="str">
        <f aca="false">IF(S454&lt;=5,"Late night (0-5)",IF(S454&lt;=11,"Morning (6-11)",IF(S454&lt;=17,"Afternoon (12-17)","Evening (18-23)")))</f>
        <v>Late night (0-5)</v>
      </c>
    </row>
    <row r="455" customFormat="false" ht="15" hidden="false" customHeight="false" outlineLevel="0" collapsed="false">
      <c r="A455" s="2" t="s">
        <v>940</v>
      </c>
      <c r="B455" s="2" t="s">
        <v>94</v>
      </c>
      <c r="C455" s="2" t="s">
        <v>30</v>
      </c>
      <c r="D455" s="3" t="n">
        <v>45660</v>
      </c>
      <c r="E455" s="2" t="s">
        <v>897</v>
      </c>
      <c r="F455" s="2" t="s">
        <v>32</v>
      </c>
      <c r="G455" s="2" t="n">
        <v>58559</v>
      </c>
      <c r="H455" s="2" t="n">
        <v>13</v>
      </c>
      <c r="I455" s="2" t="n">
        <v>32</v>
      </c>
      <c r="J455" s="2" t="n">
        <v>0</v>
      </c>
      <c r="K455" s="2" t="n">
        <v>112714</v>
      </c>
      <c r="L455" s="2" t="n">
        <v>93435</v>
      </c>
      <c r="M455" s="2" t="n">
        <v>4383</v>
      </c>
      <c r="N455" s="2" t="n">
        <v>121</v>
      </c>
      <c r="O455" s="2" t="n">
        <v>688</v>
      </c>
      <c r="P455" s="2" t="n">
        <v>222</v>
      </c>
      <c r="Q455" s="2" t="n">
        <v>1734</v>
      </c>
      <c r="R455" s="2" t="n">
        <v>216</v>
      </c>
      <c r="S455" s="2" t="n">
        <v>23</v>
      </c>
      <c r="T455" s="2" t="s">
        <v>96</v>
      </c>
      <c r="U455" s="4" t="n">
        <f aca="false">(M455+N455+O455+P455)/L455</f>
        <v>0.0579440252582009</v>
      </c>
      <c r="V455" s="2" t="str">
        <f aca="false">IF(S455&lt;=5,"Late night (0-5)",IF(S455&lt;=11,"Morning (6-11)",IF(S455&lt;=17,"Afternoon (12-17)","Evening (18-23)")))</f>
        <v>Evening (18-23)</v>
      </c>
    </row>
    <row r="456" customFormat="false" ht="15" hidden="false" customHeight="false" outlineLevel="0" collapsed="false">
      <c r="A456" s="2" t="s">
        <v>941</v>
      </c>
      <c r="B456" s="2" t="s">
        <v>264</v>
      </c>
      <c r="C456" s="2" t="s">
        <v>36</v>
      </c>
      <c r="D456" s="3" t="n">
        <v>45922</v>
      </c>
      <c r="E456" s="2" t="s">
        <v>512</v>
      </c>
      <c r="F456" s="2" t="s">
        <v>38</v>
      </c>
      <c r="G456" s="2" t="n">
        <v>22362</v>
      </c>
      <c r="H456" s="2" t="n">
        <v>18</v>
      </c>
      <c r="I456" s="2" t="n">
        <v>161</v>
      </c>
      <c r="J456" s="2" t="n">
        <v>0</v>
      </c>
      <c r="K456" s="2" t="n">
        <v>26873</v>
      </c>
      <c r="L456" s="2" t="n">
        <v>19106</v>
      </c>
      <c r="M456" s="2" t="n">
        <v>1063</v>
      </c>
      <c r="N456" s="2" t="n">
        <v>39</v>
      </c>
      <c r="O456" s="2" t="n">
        <v>144</v>
      </c>
      <c r="P456" s="2" t="n">
        <v>182</v>
      </c>
      <c r="Q456" s="2" t="n">
        <v>443</v>
      </c>
      <c r="R456" s="2" t="n">
        <v>61</v>
      </c>
      <c r="S456" s="2" t="n">
        <v>14</v>
      </c>
      <c r="T456" s="2" t="s">
        <v>33</v>
      </c>
      <c r="U456" s="4" t="n">
        <f aca="false">(M456+N456+O456+P456)/L456</f>
        <v>0.0747409190830106</v>
      </c>
      <c r="V456" s="2" t="str">
        <f aca="false">IF(S456&lt;=5,"Late night (0-5)",IF(S456&lt;=11,"Morning (6-11)",IF(S456&lt;=17,"Afternoon (12-17)","Evening (18-23)")))</f>
        <v>Afternoon (12-17)</v>
      </c>
    </row>
    <row r="457" customFormat="false" ht="15" hidden="false" customHeight="false" outlineLevel="0" collapsed="false">
      <c r="A457" s="2" t="s">
        <v>942</v>
      </c>
      <c r="B457" s="2" t="s">
        <v>94</v>
      </c>
      <c r="C457" s="2" t="s">
        <v>30</v>
      </c>
      <c r="D457" s="3" t="n">
        <v>46020</v>
      </c>
      <c r="E457" s="2" t="s">
        <v>418</v>
      </c>
      <c r="F457" s="2" t="s">
        <v>26</v>
      </c>
      <c r="G457" s="2" t="n">
        <v>58559</v>
      </c>
      <c r="H457" s="2" t="n">
        <v>15</v>
      </c>
      <c r="I457" s="2" t="n">
        <v>189</v>
      </c>
      <c r="J457" s="2" t="n">
        <v>1</v>
      </c>
      <c r="K457" s="2" t="n">
        <v>36399</v>
      </c>
      <c r="L457" s="2" t="n">
        <v>31781</v>
      </c>
      <c r="M457" s="2" t="n">
        <v>1330</v>
      </c>
      <c r="N457" s="2" t="n">
        <v>44</v>
      </c>
      <c r="O457" s="2" t="n">
        <v>240</v>
      </c>
      <c r="P457" s="2" t="n">
        <v>523</v>
      </c>
      <c r="Q457" s="2" t="n">
        <v>342</v>
      </c>
      <c r="R457" s="2" t="n">
        <v>81</v>
      </c>
      <c r="S457" s="2" t="n">
        <v>13</v>
      </c>
      <c r="T457" s="2" t="s">
        <v>33</v>
      </c>
      <c r="U457" s="4" t="n">
        <f aca="false">(M457+N457+O457+P457)/L457</f>
        <v>0.0672414335609326</v>
      </c>
      <c r="V457" s="2" t="str">
        <f aca="false">IF(S457&lt;=5,"Late night (0-5)",IF(S457&lt;=11,"Morning (6-11)",IF(S457&lt;=17,"Afternoon (12-17)","Evening (18-23)")))</f>
        <v>Afternoon (12-17)</v>
      </c>
    </row>
    <row r="458" customFormat="false" ht="15" hidden="false" customHeight="false" outlineLevel="0" collapsed="false">
      <c r="A458" s="2" t="s">
        <v>943</v>
      </c>
      <c r="B458" s="2" t="s">
        <v>103</v>
      </c>
      <c r="C458" s="2" t="s">
        <v>36</v>
      </c>
      <c r="D458" s="3" t="n">
        <v>45836</v>
      </c>
      <c r="E458" s="2" t="s">
        <v>65</v>
      </c>
      <c r="F458" s="2" t="s">
        <v>32</v>
      </c>
      <c r="G458" s="2" t="n">
        <v>56979</v>
      </c>
      <c r="H458" s="2" t="n">
        <v>20</v>
      </c>
      <c r="I458" s="2" t="n">
        <v>155</v>
      </c>
      <c r="J458" s="2" t="n">
        <v>1</v>
      </c>
      <c r="K458" s="2" t="n">
        <v>156534</v>
      </c>
      <c r="L458" s="2" t="n">
        <v>98817</v>
      </c>
      <c r="M458" s="2" t="n">
        <v>10332</v>
      </c>
      <c r="N458" s="2" t="n">
        <v>401</v>
      </c>
      <c r="O458" s="2" t="n">
        <v>1745</v>
      </c>
      <c r="P458" s="2" t="n">
        <v>2432</v>
      </c>
      <c r="Q458" s="2" t="n">
        <v>1093</v>
      </c>
      <c r="R458" s="2" t="n">
        <v>202</v>
      </c>
      <c r="S458" s="2" t="n">
        <v>7</v>
      </c>
      <c r="T458" s="2" t="s">
        <v>62</v>
      </c>
      <c r="U458" s="4" t="n">
        <f aca="false">(M458+N458+O458+P458)/L458</f>
        <v>0.150884969185464</v>
      </c>
      <c r="V458" s="2" t="str">
        <f aca="false">IF(S458&lt;=5,"Late night (0-5)",IF(S458&lt;=11,"Morning (6-11)",IF(S458&lt;=17,"Afternoon (12-17)","Evening (18-23)")))</f>
        <v>Morning (6-11)</v>
      </c>
    </row>
    <row r="459" customFormat="false" ht="15" hidden="false" customHeight="false" outlineLevel="0" collapsed="false">
      <c r="A459" s="2" t="s">
        <v>944</v>
      </c>
      <c r="B459" s="2" t="s">
        <v>94</v>
      </c>
      <c r="C459" s="2" t="s">
        <v>30</v>
      </c>
      <c r="D459" s="3" t="n">
        <v>45810</v>
      </c>
      <c r="E459" s="2" t="s">
        <v>945</v>
      </c>
      <c r="F459" s="2" t="s">
        <v>50</v>
      </c>
      <c r="G459" s="2" t="n">
        <v>58559</v>
      </c>
      <c r="H459" s="2" t="n">
        <v>15</v>
      </c>
      <c r="I459" s="2" t="n">
        <v>149</v>
      </c>
      <c r="J459" s="2" t="n">
        <v>0</v>
      </c>
      <c r="K459" s="2" t="n">
        <v>27470</v>
      </c>
      <c r="L459" s="2" t="n">
        <v>16962</v>
      </c>
      <c r="M459" s="2" t="n">
        <v>630</v>
      </c>
      <c r="N459" s="2" t="n">
        <v>43</v>
      </c>
      <c r="O459" s="2" t="n">
        <v>88</v>
      </c>
      <c r="P459" s="2" t="n">
        <v>84</v>
      </c>
      <c r="Q459" s="2" t="n">
        <v>459</v>
      </c>
      <c r="R459" s="2" t="n">
        <v>87</v>
      </c>
      <c r="S459" s="2" t="n">
        <v>17</v>
      </c>
      <c r="T459" s="2" t="s">
        <v>33</v>
      </c>
      <c r="U459" s="4" t="n">
        <f aca="false">(M459+N459+O459+P459)/L459</f>
        <v>0.0498172385331918</v>
      </c>
      <c r="V459" s="2" t="str">
        <f aca="false">IF(S459&lt;=5,"Late night (0-5)",IF(S459&lt;=11,"Morning (6-11)",IF(S459&lt;=17,"Afternoon (12-17)","Evening (18-23)")))</f>
        <v>Afternoon (12-17)</v>
      </c>
    </row>
    <row r="460" customFormat="false" ht="15" hidden="false" customHeight="false" outlineLevel="0" collapsed="false">
      <c r="A460" s="2" t="s">
        <v>946</v>
      </c>
      <c r="B460" s="2" t="s">
        <v>129</v>
      </c>
      <c r="C460" s="2" t="s">
        <v>54</v>
      </c>
      <c r="D460" s="3" t="n">
        <v>45819</v>
      </c>
      <c r="E460" s="2" t="s">
        <v>947</v>
      </c>
      <c r="F460" s="2" t="s">
        <v>50</v>
      </c>
      <c r="G460" s="2" t="n">
        <v>10312</v>
      </c>
      <c r="H460" s="2" t="n">
        <v>18</v>
      </c>
      <c r="I460" s="2" t="n">
        <v>150</v>
      </c>
      <c r="J460" s="2" t="n">
        <v>1</v>
      </c>
      <c r="K460" s="2" t="n">
        <v>13370</v>
      </c>
      <c r="L460" s="2" t="n">
        <v>8995</v>
      </c>
      <c r="M460" s="2" t="n">
        <v>336</v>
      </c>
      <c r="N460" s="2" t="n">
        <v>21</v>
      </c>
      <c r="O460" s="2" t="n">
        <v>37</v>
      </c>
      <c r="P460" s="2" t="n">
        <v>55</v>
      </c>
      <c r="Q460" s="2" t="n">
        <v>175</v>
      </c>
      <c r="R460" s="2" t="n">
        <v>14</v>
      </c>
      <c r="S460" s="2" t="n">
        <v>14</v>
      </c>
      <c r="T460" s="2" t="s">
        <v>66</v>
      </c>
      <c r="U460" s="4" t="n">
        <f aca="false">(M460+N460+O460+P460)/L460</f>
        <v>0.0499166203446359</v>
      </c>
      <c r="V460" s="2" t="str">
        <f aca="false">IF(S460&lt;=5,"Late night (0-5)",IF(S460&lt;=11,"Morning (6-11)",IF(S460&lt;=17,"Afternoon (12-17)","Evening (18-23)")))</f>
        <v>Afternoon (12-17)</v>
      </c>
    </row>
    <row r="461" customFormat="false" ht="15" hidden="false" customHeight="false" outlineLevel="0" collapsed="false">
      <c r="A461" s="2" t="s">
        <v>948</v>
      </c>
      <c r="B461" s="2" t="s">
        <v>462</v>
      </c>
      <c r="C461" s="2" t="s">
        <v>84</v>
      </c>
      <c r="D461" s="3" t="n">
        <v>45752</v>
      </c>
      <c r="E461" s="2" t="s">
        <v>305</v>
      </c>
      <c r="F461" s="2" t="s">
        <v>32</v>
      </c>
      <c r="G461" s="2" t="n">
        <v>43510</v>
      </c>
      <c r="H461" s="2" t="n">
        <v>5</v>
      </c>
      <c r="I461" s="2" t="n">
        <v>219</v>
      </c>
      <c r="J461" s="2" t="n">
        <v>1</v>
      </c>
      <c r="K461" s="2" t="n">
        <v>121457</v>
      </c>
      <c r="L461" s="2" t="n">
        <v>88219</v>
      </c>
      <c r="M461" s="2" t="n">
        <v>5073</v>
      </c>
      <c r="N461" s="2" t="n">
        <v>381</v>
      </c>
      <c r="O461" s="2" t="n">
        <v>857</v>
      </c>
      <c r="P461" s="2" t="n">
        <v>1032</v>
      </c>
      <c r="Q461" s="2" t="n">
        <v>1975</v>
      </c>
      <c r="R461" s="2" t="n">
        <v>529</v>
      </c>
      <c r="S461" s="2" t="n">
        <v>14</v>
      </c>
      <c r="T461" s="2" t="s">
        <v>62</v>
      </c>
      <c r="U461" s="4" t="n">
        <f aca="false">(M461+N461+O461+P461)/L461</f>
        <v>0.0832360375882746</v>
      </c>
      <c r="V461" s="2" t="str">
        <f aca="false">IF(S461&lt;=5,"Late night (0-5)",IF(S461&lt;=11,"Morning (6-11)",IF(S461&lt;=17,"Afternoon (12-17)","Evening (18-23)")))</f>
        <v>Afternoon (12-17)</v>
      </c>
    </row>
    <row r="462" customFormat="false" ht="15" hidden="false" customHeight="false" outlineLevel="0" collapsed="false">
      <c r="A462" s="2" t="s">
        <v>949</v>
      </c>
      <c r="B462" s="2" t="s">
        <v>220</v>
      </c>
      <c r="C462" s="2" t="s">
        <v>48</v>
      </c>
      <c r="D462" s="3" t="n">
        <v>45796</v>
      </c>
      <c r="E462" s="2" t="s">
        <v>950</v>
      </c>
      <c r="F462" s="2" t="s">
        <v>32</v>
      </c>
      <c r="G462" s="2" t="n">
        <v>18917</v>
      </c>
      <c r="H462" s="2" t="n">
        <v>7</v>
      </c>
      <c r="I462" s="2" t="n">
        <v>313</v>
      </c>
      <c r="J462" s="2" t="n">
        <v>0</v>
      </c>
      <c r="K462" s="2" t="n">
        <v>44002</v>
      </c>
      <c r="L462" s="2" t="n">
        <v>25594</v>
      </c>
      <c r="M462" s="2" t="n">
        <v>2360</v>
      </c>
      <c r="N462" s="2" t="n">
        <v>125</v>
      </c>
      <c r="O462" s="2" t="n">
        <v>382</v>
      </c>
      <c r="P462" s="2" t="n">
        <v>483</v>
      </c>
      <c r="Q462" s="2" t="n">
        <v>596</v>
      </c>
      <c r="R462" s="2" t="n">
        <v>49</v>
      </c>
      <c r="S462" s="2" t="n">
        <v>8</v>
      </c>
      <c r="T462" s="2" t="s">
        <v>33</v>
      </c>
      <c r="U462" s="4" t="n">
        <f aca="false">(M462+N462+O462+P462)/L462</f>
        <v>0.130890052356021</v>
      </c>
      <c r="V462" s="2" t="str">
        <f aca="false">IF(S462&lt;=5,"Late night (0-5)",IF(S462&lt;=11,"Morning (6-11)",IF(S462&lt;=17,"Afternoon (12-17)","Evening (18-23)")))</f>
        <v>Morning (6-11)</v>
      </c>
    </row>
    <row r="463" customFormat="false" ht="15" hidden="false" customHeight="false" outlineLevel="0" collapsed="false">
      <c r="A463" s="2" t="s">
        <v>951</v>
      </c>
      <c r="B463" s="2" t="s">
        <v>188</v>
      </c>
      <c r="C463" s="2" t="s">
        <v>30</v>
      </c>
      <c r="D463" s="3" t="n">
        <v>45873</v>
      </c>
      <c r="E463" s="2" t="s">
        <v>952</v>
      </c>
      <c r="F463" s="2" t="s">
        <v>26</v>
      </c>
      <c r="G463" s="2" t="n">
        <v>38900</v>
      </c>
      <c r="H463" s="2" t="n">
        <v>11</v>
      </c>
      <c r="I463" s="2" t="n">
        <v>115</v>
      </c>
      <c r="J463" s="2" t="n">
        <v>0</v>
      </c>
      <c r="K463" s="2" t="n">
        <v>54648</v>
      </c>
      <c r="L463" s="2" t="n">
        <v>31693</v>
      </c>
      <c r="M463" s="2" t="n">
        <v>2200</v>
      </c>
      <c r="N463" s="2" t="n">
        <v>153</v>
      </c>
      <c r="O463" s="2" t="n">
        <v>296</v>
      </c>
      <c r="P463" s="2" t="n">
        <v>823</v>
      </c>
      <c r="Q463" s="2" t="n">
        <v>445</v>
      </c>
      <c r="R463" s="2" t="n">
        <v>83</v>
      </c>
      <c r="S463" s="2" t="n">
        <v>18</v>
      </c>
      <c r="T463" s="2" t="s">
        <v>33</v>
      </c>
      <c r="U463" s="4" t="n">
        <f aca="false">(M463+N463+O463+P463)/L463</f>
        <v>0.109551004953775</v>
      </c>
      <c r="V463" s="2" t="str">
        <f aca="false">IF(S463&lt;=5,"Late night (0-5)",IF(S463&lt;=11,"Morning (6-11)",IF(S463&lt;=17,"Afternoon (12-17)","Evening (18-23)")))</f>
        <v>Evening (18-23)</v>
      </c>
    </row>
    <row r="464" customFormat="false" ht="15" hidden="false" customHeight="false" outlineLevel="0" collapsed="false">
      <c r="A464" s="2" t="s">
        <v>953</v>
      </c>
      <c r="B464" s="2" t="s">
        <v>29</v>
      </c>
      <c r="C464" s="2" t="s">
        <v>30</v>
      </c>
      <c r="D464" s="3" t="n">
        <v>45906</v>
      </c>
      <c r="E464" s="2" t="s">
        <v>954</v>
      </c>
      <c r="F464" s="2" t="s">
        <v>32</v>
      </c>
      <c r="G464" s="2" t="n">
        <v>11612</v>
      </c>
      <c r="H464" s="2" t="n">
        <v>11</v>
      </c>
      <c r="I464" s="2" t="n">
        <v>40</v>
      </c>
      <c r="J464" s="2" t="n">
        <v>0</v>
      </c>
      <c r="K464" s="2" t="n">
        <v>32540</v>
      </c>
      <c r="L464" s="2" t="n">
        <v>19825</v>
      </c>
      <c r="M464" s="2" t="n">
        <v>765</v>
      </c>
      <c r="N464" s="2" t="n">
        <v>34</v>
      </c>
      <c r="O464" s="2" t="n">
        <v>53</v>
      </c>
      <c r="P464" s="2" t="n">
        <v>114</v>
      </c>
      <c r="Q464" s="2" t="n">
        <v>586</v>
      </c>
      <c r="R464" s="2" t="n">
        <v>139</v>
      </c>
      <c r="S464" s="2" t="n">
        <v>11</v>
      </c>
      <c r="T464" s="2" t="s">
        <v>62</v>
      </c>
      <c r="U464" s="4" t="n">
        <f aca="false">(M464+N464+O464+P464)/L464</f>
        <v>0.0487263556116015</v>
      </c>
      <c r="V464" s="2" t="str">
        <f aca="false">IF(S464&lt;=5,"Late night (0-5)",IF(S464&lt;=11,"Morning (6-11)",IF(S464&lt;=17,"Afternoon (12-17)","Evening (18-23)")))</f>
        <v>Morning (6-11)</v>
      </c>
    </row>
    <row r="465" customFormat="false" ht="15" hidden="false" customHeight="false" outlineLevel="0" collapsed="false">
      <c r="A465" s="2" t="s">
        <v>955</v>
      </c>
      <c r="B465" s="2" t="s">
        <v>154</v>
      </c>
      <c r="C465" s="2" t="s">
        <v>41</v>
      </c>
      <c r="D465" s="3" t="n">
        <v>45879</v>
      </c>
      <c r="E465" s="2" t="s">
        <v>956</v>
      </c>
      <c r="F465" s="2" t="s">
        <v>38</v>
      </c>
      <c r="G465" s="2" t="n">
        <v>33644</v>
      </c>
      <c r="H465" s="2" t="n">
        <v>9</v>
      </c>
      <c r="I465" s="2" t="n">
        <v>159</v>
      </c>
      <c r="J465" s="2" t="n">
        <v>1</v>
      </c>
      <c r="K465" s="2" t="n">
        <v>29290</v>
      </c>
      <c r="L465" s="2" t="n">
        <v>23156</v>
      </c>
      <c r="M465" s="2" t="n">
        <v>974</v>
      </c>
      <c r="N465" s="2" t="n">
        <v>55</v>
      </c>
      <c r="O465" s="2" t="n">
        <v>121</v>
      </c>
      <c r="P465" s="2" t="n">
        <v>103</v>
      </c>
      <c r="Q465" s="2" t="n">
        <v>503</v>
      </c>
      <c r="R465" s="2" t="n">
        <v>37</v>
      </c>
      <c r="S465" s="2" t="n">
        <v>3</v>
      </c>
      <c r="T465" s="2" t="s">
        <v>27</v>
      </c>
      <c r="U465" s="4" t="n">
        <f aca="false">(M465+N465+O465+P465)/L465</f>
        <v>0.0541112454655381</v>
      </c>
      <c r="V465" s="2" t="str">
        <f aca="false">IF(S465&lt;=5,"Late night (0-5)",IF(S465&lt;=11,"Morning (6-11)",IF(S465&lt;=17,"Afternoon (12-17)","Evening (18-23)")))</f>
        <v>Late night (0-5)</v>
      </c>
    </row>
    <row r="466" customFormat="false" ht="15" hidden="false" customHeight="false" outlineLevel="0" collapsed="false">
      <c r="A466" s="2" t="s">
        <v>957</v>
      </c>
      <c r="B466" s="2" t="s">
        <v>307</v>
      </c>
      <c r="C466" s="2" t="s">
        <v>48</v>
      </c>
      <c r="D466" s="3" t="n">
        <v>45742</v>
      </c>
      <c r="E466" s="2" t="s">
        <v>958</v>
      </c>
      <c r="F466" s="2" t="s">
        <v>38</v>
      </c>
      <c r="G466" s="2" t="n">
        <v>91358</v>
      </c>
      <c r="H466" s="2" t="n">
        <v>18</v>
      </c>
      <c r="I466" s="2" t="n">
        <v>45</v>
      </c>
      <c r="J466" s="2" t="n">
        <v>0</v>
      </c>
      <c r="K466" s="2" t="n">
        <v>124022</v>
      </c>
      <c r="L466" s="2" t="n">
        <v>68909</v>
      </c>
      <c r="M466" s="2" t="n">
        <v>2997</v>
      </c>
      <c r="N466" s="2" t="n">
        <v>110</v>
      </c>
      <c r="O466" s="2" t="n">
        <v>315</v>
      </c>
      <c r="P466" s="2" t="n">
        <v>351</v>
      </c>
      <c r="Q466" s="2" t="n">
        <v>1536</v>
      </c>
      <c r="R466" s="2" t="n">
        <v>261</v>
      </c>
      <c r="S466" s="2" t="n">
        <v>21</v>
      </c>
      <c r="T466" s="2" t="s">
        <v>66</v>
      </c>
      <c r="U466" s="4" t="n">
        <f aca="false">(M466+N466+O466+P466)/L466</f>
        <v>0.0547533703870322</v>
      </c>
      <c r="V466" s="2" t="str">
        <f aca="false">IF(S466&lt;=5,"Late night (0-5)",IF(S466&lt;=11,"Morning (6-11)",IF(S466&lt;=17,"Afternoon (12-17)","Evening (18-23)")))</f>
        <v>Evening (18-23)</v>
      </c>
    </row>
    <row r="467" customFormat="false" ht="15" hidden="false" customHeight="false" outlineLevel="0" collapsed="false">
      <c r="A467" s="2" t="s">
        <v>959</v>
      </c>
      <c r="B467" s="2" t="s">
        <v>106</v>
      </c>
      <c r="C467" s="2" t="s">
        <v>91</v>
      </c>
      <c r="D467" s="3" t="n">
        <v>45696</v>
      </c>
      <c r="E467" s="2" t="s">
        <v>397</v>
      </c>
      <c r="F467" s="2" t="s">
        <v>50</v>
      </c>
      <c r="G467" s="2" t="n">
        <v>59477</v>
      </c>
      <c r="H467" s="2" t="n">
        <v>21</v>
      </c>
      <c r="I467" s="2" t="n">
        <v>173</v>
      </c>
      <c r="J467" s="2" t="n">
        <v>1</v>
      </c>
      <c r="K467" s="2" t="n">
        <v>65373</v>
      </c>
      <c r="L467" s="2" t="n">
        <v>56386</v>
      </c>
      <c r="M467" s="2" t="n">
        <v>2986</v>
      </c>
      <c r="N467" s="2" t="n">
        <v>106</v>
      </c>
      <c r="O467" s="2" t="n">
        <v>572</v>
      </c>
      <c r="P467" s="2" t="n">
        <v>456</v>
      </c>
      <c r="Q467" s="2" t="n">
        <v>1357</v>
      </c>
      <c r="R467" s="2" t="n">
        <v>199</v>
      </c>
      <c r="S467" s="2" t="n">
        <v>23</v>
      </c>
      <c r="T467" s="2" t="s">
        <v>62</v>
      </c>
      <c r="U467" s="4" t="n">
        <f aca="false">(M467+N467+O467+P467)/L467</f>
        <v>0.0730677827829603</v>
      </c>
      <c r="V467" s="2" t="str">
        <f aca="false">IF(S467&lt;=5,"Late night (0-5)",IF(S467&lt;=11,"Morning (6-11)",IF(S467&lt;=17,"Afternoon (12-17)","Evening (18-23)")))</f>
        <v>Evening (18-23)</v>
      </c>
    </row>
    <row r="468" customFormat="false" ht="15" hidden="false" customHeight="false" outlineLevel="0" collapsed="false">
      <c r="A468" s="2" t="s">
        <v>960</v>
      </c>
      <c r="B468" s="2" t="s">
        <v>135</v>
      </c>
      <c r="C468" s="2" t="s">
        <v>36</v>
      </c>
      <c r="D468" s="3" t="n">
        <v>45765</v>
      </c>
      <c r="E468" s="2" t="s">
        <v>961</v>
      </c>
      <c r="F468" s="2" t="s">
        <v>32</v>
      </c>
      <c r="G468" s="2" t="n">
        <v>45812</v>
      </c>
      <c r="H468" s="2" t="n">
        <v>13</v>
      </c>
      <c r="I468" s="2" t="n">
        <v>139</v>
      </c>
      <c r="J468" s="2" t="n">
        <v>1</v>
      </c>
      <c r="K468" s="2" t="n">
        <v>42948</v>
      </c>
      <c r="L468" s="2" t="n">
        <v>24701</v>
      </c>
      <c r="M468" s="2" t="n">
        <v>1361</v>
      </c>
      <c r="N468" s="2" t="n">
        <v>74</v>
      </c>
      <c r="O468" s="2" t="n">
        <v>352</v>
      </c>
      <c r="P468" s="2" t="n">
        <v>321</v>
      </c>
      <c r="Q468" s="2" t="n">
        <v>152</v>
      </c>
      <c r="R468" s="2" t="n">
        <v>28</v>
      </c>
      <c r="S468" s="2" t="n">
        <v>4</v>
      </c>
      <c r="T468" s="2" t="s">
        <v>96</v>
      </c>
      <c r="U468" s="4" t="n">
        <f aca="false">(M468+N468+O468+P468)/L468</f>
        <v>0.0853406744666208</v>
      </c>
      <c r="V468" s="2" t="str">
        <f aca="false">IF(S468&lt;=5,"Late night (0-5)",IF(S468&lt;=11,"Morning (6-11)",IF(S468&lt;=17,"Afternoon (12-17)","Evening (18-23)")))</f>
        <v>Late night (0-5)</v>
      </c>
    </row>
    <row r="469" customFormat="false" ht="15" hidden="false" customHeight="false" outlineLevel="0" collapsed="false">
      <c r="A469" s="2" t="s">
        <v>962</v>
      </c>
      <c r="B469" s="2" t="s">
        <v>111</v>
      </c>
      <c r="C469" s="2" t="s">
        <v>48</v>
      </c>
      <c r="D469" s="3" t="n">
        <v>45741</v>
      </c>
      <c r="E469" s="2" t="s">
        <v>963</v>
      </c>
      <c r="F469" s="2" t="s">
        <v>38</v>
      </c>
      <c r="G469" s="2" t="n">
        <v>16824</v>
      </c>
      <c r="H469" s="2" t="n">
        <v>9</v>
      </c>
      <c r="I469" s="2" t="n">
        <v>191</v>
      </c>
      <c r="J469" s="2" t="n">
        <v>0</v>
      </c>
      <c r="K469" s="2" t="n">
        <v>27250</v>
      </c>
      <c r="L469" s="2" t="n">
        <v>15871</v>
      </c>
      <c r="M469" s="2" t="n">
        <v>1081</v>
      </c>
      <c r="N469" s="2" t="n">
        <v>62</v>
      </c>
      <c r="O469" s="2" t="n">
        <v>86</v>
      </c>
      <c r="P469" s="2" t="n">
        <v>90</v>
      </c>
      <c r="Q469" s="2" t="n">
        <v>460</v>
      </c>
      <c r="R469" s="2" t="n">
        <v>35</v>
      </c>
      <c r="S469" s="2" t="n">
        <v>5</v>
      </c>
      <c r="T469" s="2" t="s">
        <v>51</v>
      </c>
      <c r="U469" s="4" t="n">
        <f aca="false">(M469+N469+O469+P469)/L469</f>
        <v>0.0831075546594418</v>
      </c>
      <c r="V469" s="2" t="str">
        <f aca="false">IF(S469&lt;=5,"Late night (0-5)",IF(S469&lt;=11,"Morning (6-11)",IF(S469&lt;=17,"Afternoon (12-17)","Evening (18-23)")))</f>
        <v>Late night (0-5)</v>
      </c>
    </row>
    <row r="470" customFormat="false" ht="15" hidden="false" customHeight="false" outlineLevel="0" collapsed="false">
      <c r="A470" s="2" t="s">
        <v>964</v>
      </c>
      <c r="B470" s="2" t="s">
        <v>141</v>
      </c>
      <c r="C470" s="2" t="s">
        <v>48</v>
      </c>
      <c r="D470" s="3" t="n">
        <v>45904</v>
      </c>
      <c r="E470" s="2" t="s">
        <v>965</v>
      </c>
      <c r="F470" s="2" t="s">
        <v>26</v>
      </c>
      <c r="G470" s="2" t="n">
        <v>16119</v>
      </c>
      <c r="H470" s="2" t="n">
        <v>7</v>
      </c>
      <c r="I470" s="2" t="n">
        <v>210</v>
      </c>
      <c r="J470" s="2" t="n">
        <v>0</v>
      </c>
      <c r="K470" s="2" t="n">
        <v>17049</v>
      </c>
      <c r="L470" s="2" t="n">
        <v>14349</v>
      </c>
      <c r="M470" s="2" t="n">
        <v>1085</v>
      </c>
      <c r="N470" s="2" t="n">
        <v>23</v>
      </c>
      <c r="O470" s="2" t="n">
        <v>42</v>
      </c>
      <c r="P470" s="2" t="n">
        <v>419</v>
      </c>
      <c r="Q470" s="2" t="n">
        <v>324</v>
      </c>
      <c r="R470" s="2" t="n">
        <v>16</v>
      </c>
      <c r="S470" s="2" t="n">
        <v>8</v>
      </c>
      <c r="T470" s="2" t="s">
        <v>79</v>
      </c>
      <c r="U470" s="4" t="n">
        <f aca="false">(M470+N470+O470+P470)/L470</f>
        <v>0.109345598996446</v>
      </c>
      <c r="V470" s="2" t="str">
        <f aca="false">IF(S470&lt;=5,"Late night (0-5)",IF(S470&lt;=11,"Morning (6-11)",IF(S470&lt;=17,"Afternoon (12-17)","Evening (18-23)")))</f>
        <v>Morning (6-11)</v>
      </c>
    </row>
    <row r="471" customFormat="false" ht="15" hidden="false" customHeight="false" outlineLevel="0" collapsed="false">
      <c r="A471" s="2" t="s">
        <v>966</v>
      </c>
      <c r="B471" s="2" t="s">
        <v>374</v>
      </c>
      <c r="C471" s="2" t="s">
        <v>24</v>
      </c>
      <c r="D471" s="3" t="n">
        <v>45804</v>
      </c>
      <c r="E471" s="2" t="s">
        <v>967</v>
      </c>
      <c r="F471" s="2" t="s">
        <v>50</v>
      </c>
      <c r="G471" s="2" t="n">
        <v>9509</v>
      </c>
      <c r="H471" s="2" t="n">
        <v>15</v>
      </c>
      <c r="I471" s="2" t="n">
        <v>226</v>
      </c>
      <c r="J471" s="2" t="n">
        <v>1</v>
      </c>
      <c r="K471" s="2" t="n">
        <v>10493</v>
      </c>
      <c r="L471" s="2" t="n">
        <v>7271</v>
      </c>
      <c r="M471" s="2" t="n">
        <v>416</v>
      </c>
      <c r="N471" s="2" t="n">
        <v>19</v>
      </c>
      <c r="O471" s="2" t="n">
        <v>50</v>
      </c>
      <c r="P471" s="2" t="n">
        <v>76</v>
      </c>
      <c r="Q471" s="2" t="n">
        <v>194</v>
      </c>
      <c r="R471" s="2" t="n">
        <v>26</v>
      </c>
      <c r="S471" s="2" t="n">
        <v>3</v>
      </c>
      <c r="T471" s="2" t="s">
        <v>51</v>
      </c>
      <c r="U471" s="4" t="n">
        <f aca="false">(M471+N471+O471+P471)/L471</f>
        <v>0.0771558245083207</v>
      </c>
      <c r="V471" s="2" t="str">
        <f aca="false">IF(S471&lt;=5,"Late night (0-5)",IF(S471&lt;=11,"Morning (6-11)",IF(S471&lt;=17,"Afternoon (12-17)","Evening (18-23)")))</f>
        <v>Late night (0-5)</v>
      </c>
    </row>
    <row r="472" customFormat="false" ht="15" hidden="false" customHeight="false" outlineLevel="0" collapsed="false">
      <c r="A472" s="2" t="s">
        <v>968</v>
      </c>
      <c r="B472" s="2" t="s">
        <v>220</v>
      </c>
      <c r="C472" s="2" t="s">
        <v>48</v>
      </c>
      <c r="D472" s="3" t="n">
        <v>45928</v>
      </c>
      <c r="E472" s="2" t="s">
        <v>969</v>
      </c>
      <c r="F472" s="2" t="s">
        <v>38</v>
      </c>
      <c r="G472" s="2" t="n">
        <v>18917</v>
      </c>
      <c r="H472" s="2" t="n">
        <v>10</v>
      </c>
      <c r="I472" s="2" t="n">
        <v>10</v>
      </c>
      <c r="J472" s="2" t="n">
        <v>0</v>
      </c>
      <c r="K472" s="2" t="n">
        <v>23602</v>
      </c>
      <c r="L472" s="2" t="n">
        <v>14813</v>
      </c>
      <c r="M472" s="2" t="n">
        <v>1119</v>
      </c>
      <c r="N472" s="2" t="n">
        <v>82</v>
      </c>
      <c r="O472" s="2" t="n">
        <v>217</v>
      </c>
      <c r="P472" s="2" t="n">
        <v>78</v>
      </c>
      <c r="Q472" s="2" t="n">
        <v>443</v>
      </c>
      <c r="R472" s="2" t="n">
        <v>100</v>
      </c>
      <c r="S472" s="2" t="n">
        <v>22</v>
      </c>
      <c r="T472" s="2" t="s">
        <v>27</v>
      </c>
      <c r="U472" s="4" t="n">
        <f aca="false">(M472+N472+O472+P472)/L472</f>
        <v>0.100992371565517</v>
      </c>
      <c r="V472" s="2" t="str">
        <f aca="false">IF(S472&lt;=5,"Late night (0-5)",IF(S472&lt;=11,"Morning (6-11)",IF(S472&lt;=17,"Afternoon (12-17)","Evening (18-23)")))</f>
        <v>Evening (18-23)</v>
      </c>
    </row>
    <row r="473" customFormat="false" ht="15" hidden="false" customHeight="false" outlineLevel="0" collapsed="false">
      <c r="A473" s="2" t="s">
        <v>970</v>
      </c>
      <c r="B473" s="2" t="s">
        <v>148</v>
      </c>
      <c r="C473" s="2" t="s">
        <v>48</v>
      </c>
      <c r="D473" s="3" t="n">
        <v>45912</v>
      </c>
      <c r="E473" s="2" t="s">
        <v>971</v>
      </c>
      <c r="F473" s="2" t="s">
        <v>32</v>
      </c>
      <c r="G473" s="2" t="n">
        <v>46311</v>
      </c>
      <c r="H473" s="2" t="n">
        <v>28</v>
      </c>
      <c r="I473" s="2" t="n">
        <v>138</v>
      </c>
      <c r="J473" s="2" t="n">
        <v>0</v>
      </c>
      <c r="K473" s="2" t="n">
        <v>95407</v>
      </c>
      <c r="L473" s="2" t="n">
        <v>77774</v>
      </c>
      <c r="M473" s="2" t="n">
        <v>5693</v>
      </c>
      <c r="N473" s="2" t="n">
        <v>339</v>
      </c>
      <c r="O473" s="2" t="n">
        <v>580</v>
      </c>
      <c r="P473" s="2" t="n">
        <v>1020</v>
      </c>
      <c r="Q473" s="2" t="n">
        <v>1630</v>
      </c>
      <c r="R473" s="2" t="n">
        <v>168</v>
      </c>
      <c r="S473" s="2" t="n">
        <v>12</v>
      </c>
      <c r="T473" s="2" t="s">
        <v>96</v>
      </c>
      <c r="U473" s="4" t="n">
        <f aca="false">(M473+N473+O473+P473)/L473</f>
        <v>0.0981304806233446</v>
      </c>
      <c r="V473" s="2" t="str">
        <f aca="false">IF(S473&lt;=5,"Late night (0-5)",IF(S473&lt;=11,"Morning (6-11)",IF(S473&lt;=17,"Afternoon (12-17)","Evening (18-23)")))</f>
        <v>Afternoon (12-17)</v>
      </c>
    </row>
    <row r="474" customFormat="false" ht="15" hidden="false" customHeight="false" outlineLevel="0" collapsed="false">
      <c r="A474" s="2" t="s">
        <v>972</v>
      </c>
      <c r="B474" s="2" t="s">
        <v>327</v>
      </c>
      <c r="C474" s="2" t="s">
        <v>91</v>
      </c>
      <c r="D474" s="3" t="n">
        <v>45874</v>
      </c>
      <c r="E474" s="2" t="s">
        <v>973</v>
      </c>
      <c r="F474" s="2" t="s">
        <v>38</v>
      </c>
      <c r="G474" s="2" t="n">
        <v>16943</v>
      </c>
      <c r="H474" s="2" t="n">
        <v>14</v>
      </c>
      <c r="I474" s="2" t="n">
        <v>61</v>
      </c>
      <c r="J474" s="2" t="n">
        <v>1</v>
      </c>
      <c r="K474" s="2" t="n">
        <v>19543</v>
      </c>
      <c r="L474" s="2" t="n">
        <v>11166</v>
      </c>
      <c r="M474" s="2" t="n">
        <v>892</v>
      </c>
      <c r="N474" s="2" t="n">
        <v>52</v>
      </c>
      <c r="O474" s="2" t="n">
        <v>135</v>
      </c>
      <c r="P474" s="2" t="n">
        <v>200</v>
      </c>
      <c r="Q474" s="2" t="n">
        <v>58</v>
      </c>
      <c r="R474" s="2" t="n">
        <v>9</v>
      </c>
      <c r="S474" s="2" t="n">
        <v>16</v>
      </c>
      <c r="T474" s="2" t="s">
        <v>51</v>
      </c>
      <c r="U474" s="4" t="n">
        <f aca="false">(M474+N474+O474+P474)/L474</f>
        <v>0.114544151889665</v>
      </c>
      <c r="V474" s="2" t="str">
        <f aca="false">IF(S474&lt;=5,"Late night (0-5)",IF(S474&lt;=11,"Morning (6-11)",IF(S474&lt;=17,"Afternoon (12-17)","Evening (18-23)")))</f>
        <v>Afternoon (12-17)</v>
      </c>
    </row>
    <row r="475" customFormat="false" ht="15" hidden="false" customHeight="false" outlineLevel="0" collapsed="false">
      <c r="A475" s="2" t="s">
        <v>974</v>
      </c>
      <c r="B475" s="2" t="s">
        <v>114</v>
      </c>
      <c r="C475" s="2" t="s">
        <v>84</v>
      </c>
      <c r="D475" s="3" t="n">
        <v>45890</v>
      </c>
      <c r="E475" s="2" t="s">
        <v>975</v>
      </c>
      <c r="F475" s="2" t="s">
        <v>32</v>
      </c>
      <c r="G475" s="2" t="n">
        <v>64307</v>
      </c>
      <c r="H475" s="2" t="n">
        <v>20</v>
      </c>
      <c r="I475" s="2" t="n">
        <v>194</v>
      </c>
      <c r="J475" s="2" t="n">
        <v>0</v>
      </c>
      <c r="K475" s="2" t="n">
        <v>314459</v>
      </c>
      <c r="L475" s="2" t="n">
        <v>195040</v>
      </c>
      <c r="M475" s="2" t="n">
        <v>15216</v>
      </c>
      <c r="N475" s="2" t="n">
        <v>488</v>
      </c>
      <c r="O475" s="2" t="n">
        <v>902</v>
      </c>
      <c r="P475" s="2" t="n">
        <v>2166</v>
      </c>
      <c r="Q475" s="2" t="n">
        <v>1277</v>
      </c>
      <c r="R475" s="2" t="n">
        <v>189</v>
      </c>
      <c r="S475" s="2" t="n">
        <v>17</v>
      </c>
      <c r="T475" s="2" t="s">
        <v>79</v>
      </c>
      <c r="U475" s="4" t="n">
        <f aca="false">(M475+N475+O475+P475)/L475</f>
        <v>0.0962469237079573</v>
      </c>
      <c r="V475" s="2" t="str">
        <f aca="false">IF(S475&lt;=5,"Late night (0-5)",IF(S475&lt;=11,"Morning (6-11)",IF(S475&lt;=17,"Afternoon (12-17)","Evening (18-23)")))</f>
        <v>Afternoon (12-17)</v>
      </c>
    </row>
    <row r="476" customFormat="false" ht="15" hidden="false" customHeight="false" outlineLevel="0" collapsed="false">
      <c r="A476" s="2" t="s">
        <v>976</v>
      </c>
      <c r="B476" s="2" t="s">
        <v>374</v>
      </c>
      <c r="C476" s="2" t="s">
        <v>24</v>
      </c>
      <c r="D476" s="3" t="n">
        <v>45993</v>
      </c>
      <c r="E476" s="2" t="s">
        <v>977</v>
      </c>
      <c r="F476" s="2" t="s">
        <v>32</v>
      </c>
      <c r="G476" s="2" t="n">
        <v>9509</v>
      </c>
      <c r="H476" s="2" t="n">
        <v>10</v>
      </c>
      <c r="I476" s="2" t="n">
        <v>58</v>
      </c>
      <c r="J476" s="2" t="n">
        <v>0</v>
      </c>
      <c r="K476" s="2" t="n">
        <v>17197</v>
      </c>
      <c r="L476" s="2" t="n">
        <v>10432</v>
      </c>
      <c r="M476" s="2" t="n">
        <v>906</v>
      </c>
      <c r="N476" s="2" t="n">
        <v>58</v>
      </c>
      <c r="O476" s="2" t="n">
        <v>97</v>
      </c>
      <c r="P476" s="2" t="n">
        <v>134</v>
      </c>
      <c r="Q476" s="2" t="n">
        <v>83</v>
      </c>
      <c r="R476" s="2" t="n">
        <v>9</v>
      </c>
      <c r="S476" s="2" t="n">
        <v>5</v>
      </c>
      <c r="T476" s="2" t="s">
        <v>51</v>
      </c>
      <c r="U476" s="4" t="n">
        <f aca="false">(M476+N476+O476+P476)/L476</f>
        <v>0.114551380368098</v>
      </c>
      <c r="V476" s="2" t="str">
        <f aca="false">IF(S476&lt;=5,"Late night (0-5)",IF(S476&lt;=11,"Morning (6-11)",IF(S476&lt;=17,"Afternoon (12-17)","Evening (18-23)")))</f>
        <v>Late night (0-5)</v>
      </c>
    </row>
    <row r="477" customFormat="false" ht="15" hidden="false" customHeight="false" outlineLevel="0" collapsed="false">
      <c r="A477" s="2" t="s">
        <v>978</v>
      </c>
      <c r="B477" s="2" t="s">
        <v>29</v>
      </c>
      <c r="C477" s="2" t="s">
        <v>30</v>
      </c>
      <c r="D477" s="3" t="n">
        <v>45689</v>
      </c>
      <c r="E477" s="2" t="s">
        <v>979</v>
      </c>
      <c r="F477" s="2" t="s">
        <v>26</v>
      </c>
      <c r="G477" s="2" t="n">
        <v>11612</v>
      </c>
      <c r="H477" s="2" t="n">
        <v>13</v>
      </c>
      <c r="I477" s="2" t="n">
        <v>288</v>
      </c>
      <c r="J477" s="2" t="n">
        <v>1</v>
      </c>
      <c r="K477" s="2" t="n">
        <v>17755</v>
      </c>
      <c r="L477" s="2" t="n">
        <v>11614</v>
      </c>
      <c r="M477" s="2" t="n">
        <v>709</v>
      </c>
      <c r="N477" s="2" t="n">
        <v>35</v>
      </c>
      <c r="O477" s="2" t="n">
        <v>39</v>
      </c>
      <c r="P477" s="2" t="n">
        <v>173</v>
      </c>
      <c r="Q477" s="2" t="n">
        <v>75</v>
      </c>
      <c r="R477" s="2" t="n">
        <v>21</v>
      </c>
      <c r="S477" s="2" t="n">
        <v>9</v>
      </c>
      <c r="T477" s="2" t="s">
        <v>62</v>
      </c>
      <c r="U477" s="4" t="n">
        <f aca="false">(M477+N477+O477+P477)/L477</f>
        <v>0.0823144480799036</v>
      </c>
      <c r="V477" s="2" t="str">
        <f aca="false">IF(S477&lt;=5,"Late night (0-5)",IF(S477&lt;=11,"Morning (6-11)",IF(S477&lt;=17,"Afternoon (12-17)","Evening (18-23)")))</f>
        <v>Morning (6-11)</v>
      </c>
    </row>
    <row r="478" customFormat="false" ht="15" hidden="false" customHeight="false" outlineLevel="0" collapsed="false">
      <c r="A478" s="2" t="s">
        <v>980</v>
      </c>
      <c r="B478" s="2" t="s">
        <v>132</v>
      </c>
      <c r="C478" s="2" t="s">
        <v>36</v>
      </c>
      <c r="D478" s="3" t="n">
        <v>45942</v>
      </c>
      <c r="E478" s="2" t="s">
        <v>981</v>
      </c>
      <c r="F478" s="2" t="s">
        <v>38</v>
      </c>
      <c r="G478" s="2" t="n">
        <v>83053</v>
      </c>
      <c r="H478" s="2" t="n">
        <v>2</v>
      </c>
      <c r="I478" s="2" t="n">
        <v>124</v>
      </c>
      <c r="J478" s="2" t="n">
        <v>0</v>
      </c>
      <c r="K478" s="2" t="n">
        <v>45102</v>
      </c>
      <c r="L478" s="2" t="n">
        <v>40725</v>
      </c>
      <c r="M478" s="2" t="n">
        <v>2520</v>
      </c>
      <c r="N478" s="2" t="n">
        <v>180</v>
      </c>
      <c r="O478" s="2" t="n">
        <v>190</v>
      </c>
      <c r="P478" s="2" t="n">
        <v>251</v>
      </c>
      <c r="Q478" s="2" t="n">
        <v>650</v>
      </c>
      <c r="R478" s="2" t="n">
        <v>177</v>
      </c>
      <c r="S478" s="2" t="n">
        <v>12</v>
      </c>
      <c r="T478" s="2" t="s">
        <v>27</v>
      </c>
      <c r="U478" s="4" t="n">
        <f aca="false">(M478+N478+O478+P478)/L478</f>
        <v>0.0771270718232044</v>
      </c>
      <c r="V478" s="2" t="str">
        <f aca="false">IF(S478&lt;=5,"Late night (0-5)",IF(S478&lt;=11,"Morning (6-11)",IF(S478&lt;=17,"Afternoon (12-17)","Evening (18-23)")))</f>
        <v>Afternoon (12-17)</v>
      </c>
    </row>
    <row r="479" customFormat="false" ht="15" hidden="false" customHeight="false" outlineLevel="0" collapsed="false">
      <c r="A479" s="2" t="s">
        <v>982</v>
      </c>
      <c r="B479" s="2" t="s">
        <v>188</v>
      </c>
      <c r="C479" s="2" t="s">
        <v>30</v>
      </c>
      <c r="D479" s="3" t="n">
        <v>45864</v>
      </c>
      <c r="E479" s="2" t="s">
        <v>983</v>
      </c>
      <c r="F479" s="2" t="s">
        <v>50</v>
      </c>
      <c r="G479" s="2" t="n">
        <v>38900</v>
      </c>
      <c r="H479" s="2" t="n">
        <v>9</v>
      </c>
      <c r="I479" s="2" t="n">
        <v>37</v>
      </c>
      <c r="J479" s="2" t="n">
        <v>1</v>
      </c>
      <c r="K479" s="2" t="n">
        <v>78531</v>
      </c>
      <c r="L479" s="2" t="n">
        <v>63914</v>
      </c>
      <c r="M479" s="2" t="n">
        <v>4218</v>
      </c>
      <c r="N479" s="2" t="n">
        <v>144</v>
      </c>
      <c r="O479" s="2" t="n">
        <v>514</v>
      </c>
      <c r="P479" s="2" t="n">
        <v>843</v>
      </c>
      <c r="Q479" s="2" t="n">
        <v>1307</v>
      </c>
      <c r="R479" s="2" t="n">
        <v>288</v>
      </c>
      <c r="S479" s="2" t="n">
        <v>22</v>
      </c>
      <c r="T479" s="2" t="s">
        <v>62</v>
      </c>
      <c r="U479" s="4" t="n">
        <f aca="false">(M479+N479+O479+P479)/L479</f>
        <v>0.0894796132302782</v>
      </c>
      <c r="V479" s="2" t="str">
        <f aca="false">IF(S479&lt;=5,"Late night (0-5)",IF(S479&lt;=11,"Morning (6-11)",IF(S479&lt;=17,"Afternoon (12-17)","Evening (18-23)")))</f>
        <v>Evening (18-23)</v>
      </c>
    </row>
    <row r="480" customFormat="false" ht="15" hidden="false" customHeight="false" outlineLevel="0" collapsed="false">
      <c r="A480" s="2" t="s">
        <v>984</v>
      </c>
      <c r="B480" s="2" t="s">
        <v>57</v>
      </c>
      <c r="C480" s="2" t="s">
        <v>24</v>
      </c>
      <c r="D480" s="3" t="n">
        <v>45984</v>
      </c>
      <c r="E480" s="2" t="s">
        <v>518</v>
      </c>
      <c r="F480" s="2" t="s">
        <v>38</v>
      </c>
      <c r="G480" s="2" t="n">
        <v>31021</v>
      </c>
      <c r="H480" s="2" t="n">
        <v>15</v>
      </c>
      <c r="I480" s="2" t="n">
        <v>189</v>
      </c>
      <c r="J480" s="2" t="n">
        <v>0</v>
      </c>
      <c r="K480" s="2" t="n">
        <v>8714</v>
      </c>
      <c r="L480" s="2" t="n">
        <v>6880</v>
      </c>
      <c r="M480" s="2" t="n">
        <v>243</v>
      </c>
      <c r="N480" s="2" t="n">
        <v>5</v>
      </c>
      <c r="O480" s="2" t="n">
        <v>34</v>
      </c>
      <c r="P480" s="2" t="n">
        <v>21</v>
      </c>
      <c r="Q480" s="2" t="n">
        <v>206</v>
      </c>
      <c r="R480" s="2" t="n">
        <v>59</v>
      </c>
      <c r="S480" s="2" t="n">
        <v>10</v>
      </c>
      <c r="T480" s="2" t="s">
        <v>27</v>
      </c>
      <c r="U480" s="4" t="n">
        <f aca="false">(M480+N480+O480+P480)/L480</f>
        <v>0.0440406976744186</v>
      </c>
      <c r="V480" s="2" t="str">
        <f aca="false">IF(S480&lt;=5,"Late night (0-5)",IF(S480&lt;=11,"Morning (6-11)",IF(S480&lt;=17,"Afternoon (12-17)","Evening (18-23)")))</f>
        <v>Morning (6-11)</v>
      </c>
    </row>
    <row r="481" customFormat="false" ht="15" hidden="false" customHeight="false" outlineLevel="0" collapsed="false">
      <c r="A481" s="2" t="s">
        <v>985</v>
      </c>
      <c r="B481" s="2" t="s">
        <v>98</v>
      </c>
      <c r="C481" s="2" t="s">
        <v>54</v>
      </c>
      <c r="D481" s="3" t="n">
        <v>45884</v>
      </c>
      <c r="E481" s="2" t="s">
        <v>986</v>
      </c>
      <c r="F481" s="2" t="s">
        <v>38</v>
      </c>
      <c r="G481" s="2" t="n">
        <v>18366</v>
      </c>
      <c r="H481" s="2" t="n">
        <v>15</v>
      </c>
      <c r="I481" s="2" t="n">
        <v>93</v>
      </c>
      <c r="J481" s="2" t="n">
        <v>1</v>
      </c>
      <c r="K481" s="2" t="n">
        <v>20616</v>
      </c>
      <c r="L481" s="2" t="n">
        <v>15348</v>
      </c>
      <c r="M481" s="2" t="n">
        <v>555</v>
      </c>
      <c r="N481" s="2" t="n">
        <v>21</v>
      </c>
      <c r="O481" s="2" t="n">
        <v>92</v>
      </c>
      <c r="P481" s="2" t="n">
        <v>96</v>
      </c>
      <c r="Q481" s="2" t="n">
        <v>142</v>
      </c>
      <c r="R481" s="2" t="n">
        <v>18</v>
      </c>
      <c r="S481" s="2" t="n">
        <v>23</v>
      </c>
      <c r="T481" s="2" t="s">
        <v>96</v>
      </c>
      <c r="U481" s="4" t="n">
        <f aca="false">(M481+N481+O481+P481)/L481</f>
        <v>0.0497784727651811</v>
      </c>
      <c r="V481" s="2" t="str">
        <f aca="false">IF(S481&lt;=5,"Late night (0-5)",IF(S481&lt;=11,"Morning (6-11)",IF(S481&lt;=17,"Afternoon (12-17)","Evening (18-23)")))</f>
        <v>Evening (18-23)</v>
      </c>
    </row>
    <row r="482" customFormat="false" ht="15" hidden="false" customHeight="false" outlineLevel="0" collapsed="false">
      <c r="A482" s="2" t="s">
        <v>987</v>
      </c>
      <c r="B482" s="2" t="s">
        <v>98</v>
      </c>
      <c r="C482" s="2" t="s">
        <v>54</v>
      </c>
      <c r="D482" s="3" t="n">
        <v>45938</v>
      </c>
      <c r="E482" s="2" t="s">
        <v>988</v>
      </c>
      <c r="F482" s="2" t="s">
        <v>38</v>
      </c>
      <c r="G482" s="2" t="n">
        <v>18366</v>
      </c>
      <c r="H482" s="2" t="n">
        <v>9</v>
      </c>
      <c r="I482" s="2" t="n">
        <v>188</v>
      </c>
      <c r="J482" s="2" t="n">
        <v>0</v>
      </c>
      <c r="K482" s="2" t="n">
        <v>17901</v>
      </c>
      <c r="L482" s="2" t="n">
        <v>15378</v>
      </c>
      <c r="M482" s="2" t="n">
        <v>1340</v>
      </c>
      <c r="N482" s="2" t="n">
        <v>63</v>
      </c>
      <c r="O482" s="2" t="n">
        <v>243</v>
      </c>
      <c r="P482" s="2" t="n">
        <v>286</v>
      </c>
      <c r="Q482" s="2" t="n">
        <v>117</v>
      </c>
      <c r="R482" s="2" t="n">
        <v>18</v>
      </c>
      <c r="S482" s="2" t="n">
        <v>15</v>
      </c>
      <c r="T482" s="2" t="s">
        <v>66</v>
      </c>
      <c r="U482" s="4" t="n">
        <f aca="false">(M482+N482+O482+P482)/L482</f>
        <v>0.125634022629731</v>
      </c>
      <c r="V482" s="2" t="str">
        <f aca="false">IF(S482&lt;=5,"Late night (0-5)",IF(S482&lt;=11,"Morning (6-11)",IF(S482&lt;=17,"Afternoon (12-17)","Evening (18-23)")))</f>
        <v>Afternoon (12-17)</v>
      </c>
    </row>
    <row r="483" customFormat="false" ht="15" hidden="false" customHeight="false" outlineLevel="0" collapsed="false">
      <c r="A483" s="2" t="s">
        <v>989</v>
      </c>
      <c r="B483" s="2" t="s">
        <v>374</v>
      </c>
      <c r="C483" s="2" t="s">
        <v>24</v>
      </c>
      <c r="D483" s="3" t="n">
        <v>46009</v>
      </c>
      <c r="E483" s="2" t="s">
        <v>950</v>
      </c>
      <c r="F483" s="2" t="s">
        <v>38</v>
      </c>
      <c r="G483" s="2" t="n">
        <v>9509</v>
      </c>
      <c r="H483" s="2" t="n">
        <v>15</v>
      </c>
      <c r="I483" s="2" t="n">
        <v>281</v>
      </c>
      <c r="J483" s="2" t="n">
        <v>0</v>
      </c>
      <c r="K483" s="2" t="n">
        <v>8900</v>
      </c>
      <c r="L483" s="2" t="n">
        <v>7976</v>
      </c>
      <c r="M483" s="2" t="n">
        <v>533</v>
      </c>
      <c r="N483" s="2" t="n">
        <v>37</v>
      </c>
      <c r="O483" s="2" t="n">
        <v>56</v>
      </c>
      <c r="P483" s="2" t="n">
        <v>48</v>
      </c>
      <c r="Q483" s="2" t="n">
        <v>97</v>
      </c>
      <c r="R483" s="2" t="n">
        <v>17</v>
      </c>
      <c r="S483" s="2" t="n">
        <v>8</v>
      </c>
      <c r="T483" s="2" t="s">
        <v>79</v>
      </c>
      <c r="U483" s="4" t="n">
        <f aca="false">(M483+N483+O483+P483)/L483</f>
        <v>0.0845035105315948</v>
      </c>
      <c r="V483" s="2" t="str">
        <f aca="false">IF(S483&lt;=5,"Late night (0-5)",IF(S483&lt;=11,"Morning (6-11)",IF(S483&lt;=17,"Afternoon (12-17)","Evening (18-23)")))</f>
        <v>Morning (6-11)</v>
      </c>
    </row>
    <row r="484" customFormat="false" ht="15" hidden="false" customHeight="false" outlineLevel="0" collapsed="false">
      <c r="A484" s="2" t="s">
        <v>990</v>
      </c>
      <c r="B484" s="2" t="s">
        <v>141</v>
      </c>
      <c r="C484" s="2" t="s">
        <v>48</v>
      </c>
      <c r="D484" s="3" t="n">
        <v>45867</v>
      </c>
      <c r="E484" s="2" t="s">
        <v>708</v>
      </c>
      <c r="F484" s="2" t="s">
        <v>32</v>
      </c>
      <c r="G484" s="2" t="n">
        <v>16119</v>
      </c>
      <c r="H484" s="2" t="n">
        <v>11</v>
      </c>
      <c r="I484" s="2" t="n">
        <v>184</v>
      </c>
      <c r="J484" s="2" t="n">
        <v>1</v>
      </c>
      <c r="K484" s="2" t="n">
        <v>28894</v>
      </c>
      <c r="L484" s="2" t="n">
        <v>20157</v>
      </c>
      <c r="M484" s="2" t="n">
        <v>1359</v>
      </c>
      <c r="N484" s="2" t="n">
        <v>43</v>
      </c>
      <c r="O484" s="2" t="n">
        <v>242</v>
      </c>
      <c r="P484" s="2" t="n">
        <v>344</v>
      </c>
      <c r="Q484" s="2" t="n">
        <v>247</v>
      </c>
      <c r="R484" s="2" t="n">
        <v>31</v>
      </c>
      <c r="S484" s="2" t="n">
        <v>14</v>
      </c>
      <c r="T484" s="2" t="s">
        <v>51</v>
      </c>
      <c r="U484" s="4" t="n">
        <f aca="false">(M484+N484+O484+P484)/L484</f>
        <v>0.0986257875675944</v>
      </c>
      <c r="V484" s="2" t="str">
        <f aca="false">IF(S484&lt;=5,"Late night (0-5)",IF(S484&lt;=11,"Morning (6-11)",IF(S484&lt;=17,"Afternoon (12-17)","Evening (18-23)")))</f>
        <v>Afternoon (12-17)</v>
      </c>
    </row>
    <row r="485" customFormat="false" ht="15" hidden="false" customHeight="false" outlineLevel="0" collapsed="false">
      <c r="A485" s="2" t="s">
        <v>991</v>
      </c>
      <c r="B485" s="2" t="s">
        <v>310</v>
      </c>
      <c r="C485" s="2" t="s">
        <v>91</v>
      </c>
      <c r="D485" s="3" t="n">
        <v>45692</v>
      </c>
      <c r="E485" s="2" t="s">
        <v>992</v>
      </c>
      <c r="F485" s="2" t="s">
        <v>50</v>
      </c>
      <c r="G485" s="2" t="n">
        <v>56571</v>
      </c>
      <c r="H485" s="2" t="n">
        <v>7</v>
      </c>
      <c r="I485" s="2" t="n">
        <v>214</v>
      </c>
      <c r="J485" s="2" t="n">
        <v>1</v>
      </c>
      <c r="K485" s="2" t="n">
        <v>28351</v>
      </c>
      <c r="L485" s="2" t="n">
        <v>23386</v>
      </c>
      <c r="M485" s="2" t="n">
        <v>1810</v>
      </c>
      <c r="N485" s="2" t="n">
        <v>96</v>
      </c>
      <c r="O485" s="2" t="n">
        <v>170</v>
      </c>
      <c r="P485" s="2" t="n">
        <v>156</v>
      </c>
      <c r="Q485" s="2" t="n">
        <v>700</v>
      </c>
      <c r="R485" s="2" t="n">
        <v>143</v>
      </c>
      <c r="S485" s="2" t="n">
        <v>16</v>
      </c>
      <c r="T485" s="2" t="s">
        <v>51</v>
      </c>
      <c r="U485" s="4" t="n">
        <f aca="false">(M485+N485+O485+P485)/L485</f>
        <v>0.0954417172667408</v>
      </c>
      <c r="V485" s="2" t="str">
        <f aca="false">IF(S485&lt;=5,"Late night (0-5)",IF(S485&lt;=11,"Morning (6-11)",IF(S485&lt;=17,"Afternoon (12-17)","Evening (18-23)")))</f>
        <v>Afternoon (12-17)</v>
      </c>
    </row>
    <row r="486" customFormat="false" ht="15" hidden="false" customHeight="false" outlineLevel="0" collapsed="false">
      <c r="A486" s="2" t="s">
        <v>993</v>
      </c>
      <c r="B486" s="2" t="s">
        <v>111</v>
      </c>
      <c r="C486" s="2" t="s">
        <v>48</v>
      </c>
      <c r="D486" s="3" t="n">
        <v>45724</v>
      </c>
      <c r="E486" s="2" t="s">
        <v>186</v>
      </c>
      <c r="F486" s="2" t="s">
        <v>38</v>
      </c>
      <c r="G486" s="2" t="n">
        <v>16824</v>
      </c>
      <c r="H486" s="2" t="n">
        <v>15</v>
      </c>
      <c r="I486" s="2" t="n">
        <v>137</v>
      </c>
      <c r="J486" s="2" t="n">
        <v>0</v>
      </c>
      <c r="K486" s="2" t="n">
        <v>21231</v>
      </c>
      <c r="L486" s="2" t="n">
        <v>13138</v>
      </c>
      <c r="M486" s="2" t="n">
        <v>425</v>
      </c>
      <c r="N486" s="2" t="n">
        <v>31</v>
      </c>
      <c r="O486" s="2" t="n">
        <v>60</v>
      </c>
      <c r="P486" s="2" t="n">
        <v>69</v>
      </c>
      <c r="Q486" s="2" t="n">
        <v>165</v>
      </c>
      <c r="R486" s="2" t="n">
        <v>21</v>
      </c>
      <c r="S486" s="2" t="n">
        <v>13</v>
      </c>
      <c r="T486" s="2" t="s">
        <v>62</v>
      </c>
      <c r="U486" s="4" t="n">
        <f aca="false">(M486+N486+O486+P486)/L486</f>
        <v>0.0445273253158776</v>
      </c>
      <c r="V486" s="2" t="str">
        <f aca="false">IF(S486&lt;=5,"Late night (0-5)",IF(S486&lt;=11,"Morning (6-11)",IF(S486&lt;=17,"Afternoon (12-17)","Evening (18-23)")))</f>
        <v>Afternoon (12-17)</v>
      </c>
    </row>
    <row r="487" customFormat="false" ht="15" hidden="false" customHeight="false" outlineLevel="0" collapsed="false">
      <c r="A487" s="2" t="s">
        <v>994</v>
      </c>
      <c r="B487" s="2" t="s">
        <v>227</v>
      </c>
      <c r="C487" s="2" t="s">
        <v>54</v>
      </c>
      <c r="D487" s="3" t="n">
        <v>45693</v>
      </c>
      <c r="E487" s="2" t="s">
        <v>995</v>
      </c>
      <c r="F487" s="2" t="s">
        <v>26</v>
      </c>
      <c r="G487" s="2" t="n">
        <v>11796</v>
      </c>
      <c r="H487" s="2" t="n">
        <v>3</v>
      </c>
      <c r="I487" s="2" t="n">
        <v>20</v>
      </c>
      <c r="J487" s="2" t="n">
        <v>1</v>
      </c>
      <c r="K487" s="2" t="n">
        <v>12168</v>
      </c>
      <c r="L487" s="2" t="n">
        <v>7908</v>
      </c>
      <c r="M487" s="2" t="n">
        <v>591</v>
      </c>
      <c r="N487" s="2" t="n">
        <v>43</v>
      </c>
      <c r="O487" s="2" t="n">
        <v>45</v>
      </c>
      <c r="P487" s="2" t="n">
        <v>64</v>
      </c>
      <c r="Q487" s="2" t="n">
        <v>228</v>
      </c>
      <c r="R487" s="2" t="n">
        <v>20</v>
      </c>
      <c r="S487" s="2" t="n">
        <v>4</v>
      </c>
      <c r="T487" s="2" t="s">
        <v>66</v>
      </c>
      <c r="U487" s="4" t="n">
        <f aca="false">(M487+N487+O487+P487)/L487</f>
        <v>0.093955488113303</v>
      </c>
      <c r="V487" s="2" t="str">
        <f aca="false">IF(S487&lt;=5,"Late night (0-5)",IF(S487&lt;=11,"Morning (6-11)",IF(S487&lt;=17,"Afternoon (12-17)","Evening (18-23)")))</f>
        <v>Late night (0-5)</v>
      </c>
    </row>
    <row r="488" customFormat="false" ht="15" hidden="false" customHeight="false" outlineLevel="0" collapsed="false">
      <c r="A488" s="2" t="s">
        <v>996</v>
      </c>
      <c r="B488" s="2" t="s">
        <v>154</v>
      </c>
      <c r="C488" s="2" t="s">
        <v>41</v>
      </c>
      <c r="D488" s="3" t="n">
        <v>45848</v>
      </c>
      <c r="E488" s="2" t="s">
        <v>997</v>
      </c>
      <c r="F488" s="2" t="s">
        <v>38</v>
      </c>
      <c r="G488" s="2" t="n">
        <v>33644</v>
      </c>
      <c r="H488" s="2" t="n">
        <v>6</v>
      </c>
      <c r="I488" s="2" t="n">
        <v>91</v>
      </c>
      <c r="J488" s="2" t="n">
        <v>0</v>
      </c>
      <c r="K488" s="2" t="n">
        <v>27277</v>
      </c>
      <c r="L488" s="2" t="n">
        <v>15620</v>
      </c>
      <c r="M488" s="2" t="n">
        <v>1296</v>
      </c>
      <c r="N488" s="2" t="n">
        <v>66</v>
      </c>
      <c r="O488" s="2" t="n">
        <v>160</v>
      </c>
      <c r="P488" s="2" t="n">
        <v>133</v>
      </c>
      <c r="Q488" s="2" t="n">
        <v>398</v>
      </c>
      <c r="R488" s="2" t="n">
        <v>69</v>
      </c>
      <c r="S488" s="2" t="n">
        <v>1</v>
      </c>
      <c r="T488" s="2" t="s">
        <v>79</v>
      </c>
      <c r="U488" s="4" t="n">
        <f aca="false">(M488+N488+O488+P488)/L488</f>
        <v>0.10595390524968</v>
      </c>
      <c r="V488" s="2" t="str">
        <f aca="false">IF(S488&lt;=5,"Late night (0-5)",IF(S488&lt;=11,"Morning (6-11)",IF(S488&lt;=17,"Afternoon (12-17)","Evening (18-23)")))</f>
        <v>Late night (0-5)</v>
      </c>
    </row>
    <row r="489" customFormat="false" ht="15" hidden="false" customHeight="false" outlineLevel="0" collapsed="false">
      <c r="A489" s="2" t="s">
        <v>998</v>
      </c>
      <c r="B489" s="2" t="s">
        <v>243</v>
      </c>
      <c r="C489" s="2" t="s">
        <v>91</v>
      </c>
      <c r="D489" s="3" t="n">
        <v>46005</v>
      </c>
      <c r="E489" s="2" t="s">
        <v>999</v>
      </c>
      <c r="F489" s="2" t="s">
        <v>38</v>
      </c>
      <c r="G489" s="2" t="n">
        <v>42046</v>
      </c>
      <c r="H489" s="2" t="n">
        <v>9</v>
      </c>
      <c r="I489" s="2" t="n">
        <v>139</v>
      </c>
      <c r="J489" s="2" t="n">
        <v>0</v>
      </c>
      <c r="K489" s="2" t="n">
        <v>19537</v>
      </c>
      <c r="L489" s="2" t="n">
        <v>14195</v>
      </c>
      <c r="M489" s="2" t="n">
        <v>537</v>
      </c>
      <c r="N489" s="2" t="n">
        <v>38</v>
      </c>
      <c r="O489" s="2" t="n">
        <v>92</v>
      </c>
      <c r="P489" s="2" t="n">
        <v>65</v>
      </c>
      <c r="Q489" s="2" t="n">
        <v>288</v>
      </c>
      <c r="R489" s="2" t="n">
        <v>40</v>
      </c>
      <c r="S489" s="2" t="n">
        <v>22</v>
      </c>
      <c r="T489" s="2" t="s">
        <v>27</v>
      </c>
      <c r="U489" s="4" t="n">
        <f aca="false">(M489+N489+O489+P489)/L489</f>
        <v>0.0515674533286368</v>
      </c>
      <c r="V489" s="2" t="str">
        <f aca="false">IF(S489&lt;=5,"Late night (0-5)",IF(S489&lt;=11,"Morning (6-11)",IF(S489&lt;=17,"Afternoon (12-17)","Evening (18-23)")))</f>
        <v>Evening (18-23)</v>
      </c>
    </row>
    <row r="490" customFormat="false" ht="15" hidden="false" customHeight="false" outlineLevel="0" collapsed="false">
      <c r="A490" s="2" t="s">
        <v>1000</v>
      </c>
      <c r="B490" s="2" t="s">
        <v>243</v>
      </c>
      <c r="C490" s="2" t="s">
        <v>91</v>
      </c>
      <c r="D490" s="3" t="n">
        <v>45973</v>
      </c>
      <c r="E490" s="2" t="s">
        <v>1001</v>
      </c>
      <c r="F490" s="2" t="s">
        <v>38</v>
      </c>
      <c r="G490" s="2" t="n">
        <v>42046</v>
      </c>
      <c r="H490" s="2" t="n">
        <v>15</v>
      </c>
      <c r="I490" s="2" t="n">
        <v>233</v>
      </c>
      <c r="J490" s="2" t="n">
        <v>1</v>
      </c>
      <c r="K490" s="2" t="n">
        <v>51476</v>
      </c>
      <c r="L490" s="2" t="n">
        <v>44368</v>
      </c>
      <c r="M490" s="2" t="n">
        <v>2331</v>
      </c>
      <c r="N490" s="2" t="n">
        <v>65</v>
      </c>
      <c r="O490" s="2" t="n">
        <v>258</v>
      </c>
      <c r="P490" s="2" t="n">
        <v>199</v>
      </c>
      <c r="Q490" s="2" t="n">
        <v>342</v>
      </c>
      <c r="R490" s="2" t="n">
        <v>76</v>
      </c>
      <c r="S490" s="2" t="n">
        <v>22</v>
      </c>
      <c r="T490" s="2" t="s">
        <v>66</v>
      </c>
      <c r="U490" s="4" t="n">
        <f aca="false">(M490+N490+O490+P490)/L490</f>
        <v>0.064303101334295</v>
      </c>
      <c r="V490" s="2" t="str">
        <f aca="false">IF(S490&lt;=5,"Late night (0-5)",IF(S490&lt;=11,"Morning (6-11)",IF(S490&lt;=17,"Afternoon (12-17)","Evening (18-23)")))</f>
        <v>Evening (18-23)</v>
      </c>
    </row>
    <row r="491" customFormat="false" ht="15" hidden="false" customHeight="false" outlineLevel="0" collapsed="false">
      <c r="A491" s="2" t="s">
        <v>1002</v>
      </c>
      <c r="B491" s="2" t="s">
        <v>360</v>
      </c>
      <c r="C491" s="2" t="s">
        <v>48</v>
      </c>
      <c r="D491" s="3" t="n">
        <v>45712</v>
      </c>
      <c r="E491" s="2" t="s">
        <v>1003</v>
      </c>
      <c r="F491" s="2" t="s">
        <v>32</v>
      </c>
      <c r="G491" s="2" t="n">
        <v>19542</v>
      </c>
      <c r="H491" s="2" t="n">
        <v>16</v>
      </c>
      <c r="I491" s="2" t="n">
        <v>112</v>
      </c>
      <c r="J491" s="2" t="n">
        <v>0</v>
      </c>
      <c r="K491" s="2" t="n">
        <v>8820</v>
      </c>
      <c r="L491" s="2" t="n">
        <v>7608</v>
      </c>
      <c r="M491" s="2" t="n">
        <v>500</v>
      </c>
      <c r="N491" s="2" t="n">
        <v>33</v>
      </c>
      <c r="O491" s="2" t="n">
        <v>130</v>
      </c>
      <c r="P491" s="2" t="n">
        <v>116</v>
      </c>
      <c r="Q491" s="2" t="n">
        <v>144</v>
      </c>
      <c r="R491" s="2" t="n">
        <v>33</v>
      </c>
      <c r="S491" s="2" t="n">
        <v>2</v>
      </c>
      <c r="T491" s="2" t="s">
        <v>33</v>
      </c>
      <c r="U491" s="4" t="n">
        <f aca="false">(M491+N491+O491+P491)/L491</f>
        <v>0.10239221871714</v>
      </c>
      <c r="V491" s="2" t="str">
        <f aca="false">IF(S491&lt;=5,"Late night (0-5)",IF(S491&lt;=11,"Morning (6-11)",IF(S491&lt;=17,"Afternoon (12-17)","Evening (18-23)")))</f>
        <v>Late night (0-5)</v>
      </c>
    </row>
    <row r="492" customFormat="false" ht="15" hidden="false" customHeight="false" outlineLevel="0" collapsed="false">
      <c r="A492" s="2" t="s">
        <v>1004</v>
      </c>
      <c r="B492" s="2" t="s">
        <v>40</v>
      </c>
      <c r="C492" s="2" t="s">
        <v>41</v>
      </c>
      <c r="D492" s="3" t="n">
        <v>45939</v>
      </c>
      <c r="E492" s="2" t="s">
        <v>228</v>
      </c>
      <c r="F492" s="2" t="s">
        <v>38</v>
      </c>
      <c r="G492" s="2" t="n">
        <v>23051</v>
      </c>
      <c r="H492" s="2" t="n">
        <v>3</v>
      </c>
      <c r="I492" s="2" t="n">
        <v>159</v>
      </c>
      <c r="J492" s="2" t="n">
        <v>0</v>
      </c>
      <c r="K492" s="2" t="n">
        <v>24729</v>
      </c>
      <c r="L492" s="2" t="n">
        <v>16822</v>
      </c>
      <c r="M492" s="2" t="n">
        <v>591</v>
      </c>
      <c r="N492" s="2" t="n">
        <v>42</v>
      </c>
      <c r="O492" s="2" t="n">
        <v>110</v>
      </c>
      <c r="P492" s="2" t="n">
        <v>150</v>
      </c>
      <c r="Q492" s="2" t="n">
        <v>320</v>
      </c>
      <c r="R492" s="2" t="n">
        <v>60</v>
      </c>
      <c r="S492" s="2" t="n">
        <v>18</v>
      </c>
      <c r="T492" s="2" t="s">
        <v>79</v>
      </c>
      <c r="U492" s="4" t="n">
        <f aca="false">(M492+N492+O492+P492)/L492</f>
        <v>0.0530852455118298</v>
      </c>
      <c r="V492" s="2" t="str">
        <f aca="false">IF(S492&lt;=5,"Late night (0-5)",IF(S492&lt;=11,"Morning (6-11)",IF(S492&lt;=17,"Afternoon (12-17)","Evening (18-23)")))</f>
        <v>Evening (18-23)</v>
      </c>
    </row>
    <row r="493" customFormat="false" ht="15" hidden="false" customHeight="false" outlineLevel="0" collapsed="false">
      <c r="A493" s="2" t="s">
        <v>1005</v>
      </c>
      <c r="B493" s="2" t="s">
        <v>345</v>
      </c>
      <c r="C493" s="2" t="s">
        <v>30</v>
      </c>
      <c r="D493" s="3" t="n">
        <v>45718</v>
      </c>
      <c r="E493" s="2" t="s">
        <v>1006</v>
      </c>
      <c r="F493" s="2" t="s">
        <v>26</v>
      </c>
      <c r="G493" s="2" t="n">
        <v>8662</v>
      </c>
      <c r="H493" s="2" t="n">
        <v>17</v>
      </c>
      <c r="I493" s="2" t="n">
        <v>257</v>
      </c>
      <c r="J493" s="2" t="n">
        <v>0</v>
      </c>
      <c r="K493" s="2" t="n">
        <v>24506</v>
      </c>
      <c r="L493" s="2" t="n">
        <v>16184</v>
      </c>
      <c r="M493" s="2" t="n">
        <v>1353</v>
      </c>
      <c r="N493" s="2" t="n">
        <v>64</v>
      </c>
      <c r="O493" s="2" t="n">
        <v>254</v>
      </c>
      <c r="P493" s="2" t="n">
        <v>281</v>
      </c>
      <c r="Q493" s="2" t="n">
        <v>212</v>
      </c>
      <c r="R493" s="2" t="n">
        <v>26</v>
      </c>
      <c r="S493" s="2" t="n">
        <v>8</v>
      </c>
      <c r="T493" s="2" t="s">
        <v>27</v>
      </c>
      <c r="U493" s="4" t="n">
        <f aca="false">(M493+N493+O493+P493)/L493</f>
        <v>0.120612951062778</v>
      </c>
      <c r="V493" s="2" t="str">
        <f aca="false">IF(S493&lt;=5,"Late night (0-5)",IF(S493&lt;=11,"Morning (6-11)",IF(S493&lt;=17,"Afternoon (12-17)","Evening (18-23)")))</f>
        <v>Morning (6-11)</v>
      </c>
    </row>
    <row r="494" customFormat="false" ht="15" hidden="false" customHeight="false" outlineLevel="0" collapsed="false">
      <c r="A494" s="2" t="s">
        <v>1007</v>
      </c>
      <c r="B494" s="2" t="s">
        <v>459</v>
      </c>
      <c r="C494" s="2" t="s">
        <v>84</v>
      </c>
      <c r="D494" s="3" t="n">
        <v>45758</v>
      </c>
      <c r="E494" s="2" t="s">
        <v>1008</v>
      </c>
      <c r="F494" s="2" t="s">
        <v>26</v>
      </c>
      <c r="G494" s="2" t="n">
        <v>19744</v>
      </c>
      <c r="H494" s="2" t="n">
        <v>1</v>
      </c>
      <c r="I494" s="2" t="n">
        <v>259</v>
      </c>
      <c r="J494" s="2" t="n">
        <v>0</v>
      </c>
      <c r="K494" s="2" t="n">
        <v>30945</v>
      </c>
      <c r="L494" s="2" t="n">
        <v>17585</v>
      </c>
      <c r="M494" s="2" t="n">
        <v>1452</v>
      </c>
      <c r="N494" s="2" t="n">
        <v>65</v>
      </c>
      <c r="O494" s="2" t="n">
        <v>133</v>
      </c>
      <c r="P494" s="2" t="n">
        <v>445</v>
      </c>
      <c r="Q494" s="2" t="n">
        <v>419</v>
      </c>
      <c r="R494" s="2" t="n">
        <v>40</v>
      </c>
      <c r="S494" s="2" t="n">
        <v>7</v>
      </c>
      <c r="T494" s="2" t="s">
        <v>96</v>
      </c>
      <c r="U494" s="4" t="n">
        <f aca="false">(M494+N494+O494+P494)/L494</f>
        <v>0.119135626954791</v>
      </c>
      <c r="V494" s="2" t="str">
        <f aca="false">IF(S494&lt;=5,"Late night (0-5)",IF(S494&lt;=11,"Morning (6-11)",IF(S494&lt;=17,"Afternoon (12-17)","Evening (18-23)")))</f>
        <v>Morning (6-11)</v>
      </c>
    </row>
    <row r="495" customFormat="false" ht="15" hidden="false" customHeight="false" outlineLevel="0" collapsed="false">
      <c r="A495" s="2" t="s">
        <v>1009</v>
      </c>
      <c r="B495" s="2" t="s">
        <v>227</v>
      </c>
      <c r="C495" s="2" t="s">
        <v>54</v>
      </c>
      <c r="D495" s="3" t="n">
        <v>45924</v>
      </c>
      <c r="E495" s="2" t="s">
        <v>1010</v>
      </c>
      <c r="F495" s="2" t="s">
        <v>32</v>
      </c>
      <c r="G495" s="2" t="n">
        <v>11796</v>
      </c>
      <c r="H495" s="2" t="n">
        <v>6</v>
      </c>
      <c r="I495" s="2" t="n">
        <v>238</v>
      </c>
      <c r="J495" s="2" t="n">
        <v>0</v>
      </c>
      <c r="K495" s="2" t="n">
        <v>10622</v>
      </c>
      <c r="L495" s="2" t="n">
        <v>9028</v>
      </c>
      <c r="M495" s="2" t="n">
        <v>585</v>
      </c>
      <c r="N495" s="2" t="n">
        <v>37</v>
      </c>
      <c r="O495" s="2" t="n">
        <v>50</v>
      </c>
      <c r="P495" s="2" t="n">
        <v>112</v>
      </c>
      <c r="Q495" s="2" t="n">
        <v>196</v>
      </c>
      <c r="R495" s="2" t="n">
        <v>27</v>
      </c>
      <c r="S495" s="2" t="n">
        <v>8</v>
      </c>
      <c r="T495" s="2" t="s">
        <v>66</v>
      </c>
      <c r="U495" s="4" t="n">
        <f aca="false">(M495+N495+O495+P495)/L495</f>
        <v>0.0868409392999557</v>
      </c>
      <c r="V495" s="2" t="str">
        <f aca="false">IF(S495&lt;=5,"Late night (0-5)",IF(S495&lt;=11,"Morning (6-11)",IF(S495&lt;=17,"Afternoon (12-17)","Evening (18-23)")))</f>
        <v>Morning (6-11)</v>
      </c>
    </row>
    <row r="496" customFormat="false" ht="15" hidden="false" customHeight="false" outlineLevel="0" collapsed="false">
      <c r="A496" s="2" t="s">
        <v>1011</v>
      </c>
      <c r="B496" s="2" t="s">
        <v>35</v>
      </c>
      <c r="C496" s="2" t="s">
        <v>36</v>
      </c>
      <c r="D496" s="3" t="n">
        <v>45752</v>
      </c>
      <c r="E496" s="2" t="s">
        <v>1012</v>
      </c>
      <c r="F496" s="2" t="s">
        <v>38</v>
      </c>
      <c r="G496" s="2" t="n">
        <v>33933</v>
      </c>
      <c r="H496" s="2" t="n">
        <v>1</v>
      </c>
      <c r="I496" s="2" t="n">
        <v>134</v>
      </c>
      <c r="J496" s="2" t="n">
        <v>0</v>
      </c>
      <c r="K496" s="2" t="n">
        <v>16512</v>
      </c>
      <c r="L496" s="2" t="n">
        <v>9237</v>
      </c>
      <c r="M496" s="2" t="n">
        <v>662</v>
      </c>
      <c r="N496" s="2" t="n">
        <v>16</v>
      </c>
      <c r="O496" s="2" t="n">
        <v>28</v>
      </c>
      <c r="P496" s="2" t="n">
        <v>168</v>
      </c>
      <c r="Q496" s="2" t="n">
        <v>129</v>
      </c>
      <c r="R496" s="2" t="n">
        <v>36</v>
      </c>
      <c r="S496" s="2" t="n">
        <v>16</v>
      </c>
      <c r="T496" s="2" t="s">
        <v>62</v>
      </c>
      <c r="U496" s="4" t="n">
        <f aca="false">(M496+N496+O496+P496)/L496</f>
        <v>0.0946194651943272</v>
      </c>
      <c r="V496" s="2" t="str">
        <f aca="false">IF(S496&lt;=5,"Late night (0-5)",IF(S496&lt;=11,"Morning (6-11)",IF(S496&lt;=17,"Afternoon (12-17)","Evening (18-23)")))</f>
        <v>Afternoon (12-17)</v>
      </c>
    </row>
    <row r="497" customFormat="false" ht="15" hidden="false" customHeight="false" outlineLevel="0" collapsed="false">
      <c r="A497" s="2" t="s">
        <v>1013</v>
      </c>
      <c r="B497" s="2" t="s">
        <v>193</v>
      </c>
      <c r="C497" s="2" t="s">
        <v>36</v>
      </c>
      <c r="D497" s="3" t="n">
        <v>46022</v>
      </c>
      <c r="E497" s="2" t="s">
        <v>1014</v>
      </c>
      <c r="F497" s="2" t="s">
        <v>38</v>
      </c>
      <c r="G497" s="2" t="n">
        <v>26454</v>
      </c>
      <c r="H497" s="2" t="n">
        <v>11</v>
      </c>
      <c r="I497" s="2" t="n">
        <v>302</v>
      </c>
      <c r="J497" s="2" t="n">
        <v>0</v>
      </c>
      <c r="K497" s="2" t="n">
        <v>13575</v>
      </c>
      <c r="L497" s="2" t="n">
        <v>10318</v>
      </c>
      <c r="M497" s="2" t="n">
        <v>310</v>
      </c>
      <c r="N497" s="2" t="n">
        <v>24</v>
      </c>
      <c r="O497" s="2" t="n">
        <v>31</v>
      </c>
      <c r="P497" s="2" t="n">
        <v>48</v>
      </c>
      <c r="Q497" s="2" t="n">
        <v>235</v>
      </c>
      <c r="R497" s="2" t="n">
        <v>47</v>
      </c>
      <c r="S497" s="2" t="n">
        <v>2</v>
      </c>
      <c r="T497" s="2" t="s">
        <v>66</v>
      </c>
      <c r="U497" s="4" t="n">
        <f aca="false">(M497+N497+O497+P497)/L497</f>
        <v>0.0400271370420624</v>
      </c>
      <c r="V497" s="2" t="str">
        <f aca="false">IF(S497&lt;=5,"Late night (0-5)",IF(S497&lt;=11,"Morning (6-11)",IF(S497&lt;=17,"Afternoon (12-17)","Evening (18-23)")))</f>
        <v>Late night (0-5)</v>
      </c>
    </row>
    <row r="498" customFormat="false" ht="15" hidden="false" customHeight="false" outlineLevel="0" collapsed="false">
      <c r="A498" s="2" t="s">
        <v>1015</v>
      </c>
      <c r="B498" s="2" t="s">
        <v>164</v>
      </c>
      <c r="C498" s="2" t="s">
        <v>36</v>
      </c>
      <c r="D498" s="3" t="n">
        <v>45985</v>
      </c>
      <c r="E498" s="2" t="s">
        <v>1016</v>
      </c>
      <c r="F498" s="2" t="s">
        <v>50</v>
      </c>
      <c r="G498" s="2" t="n">
        <v>44230</v>
      </c>
      <c r="H498" s="2" t="n">
        <v>3</v>
      </c>
      <c r="I498" s="2" t="n">
        <v>82</v>
      </c>
      <c r="J498" s="2" t="n">
        <v>1</v>
      </c>
      <c r="K498" s="2" t="n">
        <v>26786</v>
      </c>
      <c r="L498" s="2" t="n">
        <v>22384</v>
      </c>
      <c r="M498" s="2" t="n">
        <v>1471</v>
      </c>
      <c r="N498" s="2" t="n">
        <v>99</v>
      </c>
      <c r="O498" s="2" t="n">
        <v>281</v>
      </c>
      <c r="P498" s="2" t="n">
        <v>138</v>
      </c>
      <c r="Q498" s="2" t="n">
        <v>266</v>
      </c>
      <c r="R498" s="2" t="n">
        <v>16</v>
      </c>
      <c r="S498" s="2" t="n">
        <v>9</v>
      </c>
      <c r="T498" s="2" t="s">
        <v>33</v>
      </c>
      <c r="U498" s="4" t="n">
        <f aca="false">(M498+N498+O498+P498)/L498</f>
        <v>0.0888581129378127</v>
      </c>
      <c r="V498" s="2" t="str">
        <f aca="false">IF(S498&lt;=5,"Late night (0-5)",IF(S498&lt;=11,"Morning (6-11)",IF(S498&lt;=17,"Afternoon (12-17)","Evening (18-23)")))</f>
        <v>Morning (6-11)</v>
      </c>
    </row>
    <row r="499" customFormat="false" ht="15" hidden="false" customHeight="false" outlineLevel="0" collapsed="false">
      <c r="A499" s="2" t="s">
        <v>1017</v>
      </c>
      <c r="B499" s="2" t="s">
        <v>71</v>
      </c>
      <c r="C499" s="2" t="s">
        <v>48</v>
      </c>
      <c r="D499" s="3" t="n">
        <v>45921</v>
      </c>
      <c r="E499" s="2" t="s">
        <v>1018</v>
      </c>
      <c r="F499" s="2" t="s">
        <v>38</v>
      </c>
      <c r="G499" s="2" t="n">
        <v>7316</v>
      </c>
      <c r="H499" s="2" t="n">
        <v>7</v>
      </c>
      <c r="I499" s="2" t="n">
        <v>249</v>
      </c>
      <c r="J499" s="2" t="n">
        <v>0</v>
      </c>
      <c r="K499" s="2" t="n">
        <v>5191</v>
      </c>
      <c r="L499" s="2" t="n">
        <v>2985</v>
      </c>
      <c r="M499" s="2" t="n">
        <v>114</v>
      </c>
      <c r="N499" s="2" t="n">
        <v>6</v>
      </c>
      <c r="O499" s="2" t="n">
        <v>19</v>
      </c>
      <c r="P499" s="2" t="n">
        <v>12</v>
      </c>
      <c r="Q499" s="2" t="n">
        <v>35</v>
      </c>
      <c r="R499" s="2" t="n">
        <v>10</v>
      </c>
      <c r="S499" s="2" t="n">
        <v>9</v>
      </c>
      <c r="T499" s="2" t="s">
        <v>27</v>
      </c>
      <c r="U499" s="4" t="n">
        <f aca="false">(M499+N499+O499+P499)/L499</f>
        <v>0.0505862646566164</v>
      </c>
      <c r="V499" s="2" t="str">
        <f aca="false">IF(S499&lt;=5,"Late night (0-5)",IF(S499&lt;=11,"Morning (6-11)",IF(S499&lt;=17,"Afternoon (12-17)","Evening (18-23)")))</f>
        <v>Morning (6-11)</v>
      </c>
    </row>
    <row r="500" customFormat="false" ht="15" hidden="false" customHeight="false" outlineLevel="0" collapsed="false">
      <c r="A500" s="2" t="s">
        <v>1019</v>
      </c>
      <c r="B500" s="2" t="s">
        <v>452</v>
      </c>
      <c r="C500" s="2" t="s">
        <v>91</v>
      </c>
      <c r="D500" s="3" t="n">
        <v>45951</v>
      </c>
      <c r="E500" s="2" t="s">
        <v>571</v>
      </c>
      <c r="F500" s="2" t="s">
        <v>26</v>
      </c>
      <c r="G500" s="2" t="n">
        <v>14201</v>
      </c>
      <c r="H500" s="2" t="n">
        <v>15</v>
      </c>
      <c r="I500" s="2" t="n">
        <v>133</v>
      </c>
      <c r="J500" s="2" t="n">
        <v>0</v>
      </c>
      <c r="K500" s="2" t="n">
        <v>16888</v>
      </c>
      <c r="L500" s="2" t="n">
        <v>11602</v>
      </c>
      <c r="M500" s="2" t="n">
        <v>948</v>
      </c>
      <c r="N500" s="2" t="n">
        <v>44</v>
      </c>
      <c r="O500" s="2" t="n">
        <v>162</v>
      </c>
      <c r="P500" s="2" t="n">
        <v>214</v>
      </c>
      <c r="Q500" s="2" t="n">
        <v>185</v>
      </c>
      <c r="R500" s="2" t="n">
        <v>16</v>
      </c>
      <c r="S500" s="2" t="n">
        <v>0</v>
      </c>
      <c r="T500" s="2" t="s">
        <v>51</v>
      </c>
      <c r="U500" s="4" t="n">
        <f aca="false">(M500+N500+O500+P500)/L500</f>
        <v>0.117910705050853</v>
      </c>
      <c r="V500" s="2" t="str">
        <f aca="false">IF(S500&lt;=5,"Late night (0-5)",IF(S500&lt;=11,"Morning (6-11)",IF(S500&lt;=17,"Afternoon (12-17)","Evening (18-23)")))</f>
        <v>Late night (0-5)</v>
      </c>
    </row>
    <row r="501" customFormat="false" ht="15" hidden="false" customHeight="false" outlineLevel="0" collapsed="false">
      <c r="A501" s="2" t="s">
        <v>1020</v>
      </c>
      <c r="B501" s="2" t="s">
        <v>129</v>
      </c>
      <c r="C501" s="2" t="s">
        <v>54</v>
      </c>
      <c r="D501" s="3" t="n">
        <v>45697</v>
      </c>
      <c r="E501" s="2" t="s">
        <v>1021</v>
      </c>
      <c r="F501" s="2" t="s">
        <v>32</v>
      </c>
      <c r="G501" s="2" t="n">
        <v>10312</v>
      </c>
      <c r="H501" s="2" t="n">
        <v>12</v>
      </c>
      <c r="I501" s="2" t="n">
        <v>76</v>
      </c>
      <c r="J501" s="2" t="n">
        <v>1</v>
      </c>
      <c r="K501" s="2" t="n">
        <v>6272</v>
      </c>
      <c r="L501" s="2" t="n">
        <v>3788</v>
      </c>
      <c r="M501" s="2" t="n">
        <v>278</v>
      </c>
      <c r="N501" s="2" t="n">
        <v>7</v>
      </c>
      <c r="O501" s="2" t="n">
        <v>31</v>
      </c>
      <c r="P501" s="2" t="n">
        <v>36</v>
      </c>
      <c r="Q501" s="2" t="n">
        <v>49</v>
      </c>
      <c r="R501" s="2" t="n">
        <v>13</v>
      </c>
      <c r="S501" s="2" t="n">
        <v>3</v>
      </c>
      <c r="T501" s="2" t="s">
        <v>27</v>
      </c>
      <c r="U501" s="4" t="n">
        <f aca="false">(M501+N501+O501+P501)/L501</f>
        <v>0.0929250263991552</v>
      </c>
      <c r="V501" s="2" t="str">
        <f aca="false">IF(S501&lt;=5,"Late night (0-5)",IF(S501&lt;=11,"Morning (6-11)",IF(S501&lt;=17,"Afternoon (12-17)","Evening (18-23)")))</f>
        <v>Late night (0-5)</v>
      </c>
    </row>
    <row r="502" customFormat="false" ht="15" hidden="false" customHeight="false" outlineLevel="0" collapsed="false">
      <c r="A502" s="2" t="s">
        <v>1022</v>
      </c>
      <c r="B502" s="2" t="s">
        <v>360</v>
      </c>
      <c r="C502" s="2" t="s">
        <v>48</v>
      </c>
      <c r="D502" s="3" t="n">
        <v>45713</v>
      </c>
      <c r="E502" s="2" t="s">
        <v>732</v>
      </c>
      <c r="F502" s="2" t="s">
        <v>32</v>
      </c>
      <c r="G502" s="2" t="n">
        <v>19542</v>
      </c>
      <c r="H502" s="2" t="n">
        <v>5</v>
      </c>
      <c r="I502" s="2" t="n">
        <v>173</v>
      </c>
      <c r="J502" s="2" t="n">
        <v>1</v>
      </c>
      <c r="K502" s="2" t="n">
        <v>36947</v>
      </c>
      <c r="L502" s="2" t="n">
        <v>29967</v>
      </c>
      <c r="M502" s="2" t="n">
        <v>1387</v>
      </c>
      <c r="N502" s="2" t="n">
        <v>46</v>
      </c>
      <c r="O502" s="2" t="n">
        <v>372</v>
      </c>
      <c r="P502" s="2" t="n">
        <v>305</v>
      </c>
      <c r="Q502" s="2" t="n">
        <v>539</v>
      </c>
      <c r="R502" s="2" t="n">
        <v>67</v>
      </c>
      <c r="S502" s="2" t="n">
        <v>21</v>
      </c>
      <c r="T502" s="2" t="s">
        <v>51</v>
      </c>
      <c r="U502" s="4" t="n">
        <f aca="false">(M502+N502+O502+P502)/L502</f>
        <v>0.0704107851970501</v>
      </c>
      <c r="V502" s="2" t="str">
        <f aca="false">IF(S502&lt;=5,"Late night (0-5)",IF(S502&lt;=11,"Morning (6-11)",IF(S502&lt;=17,"Afternoon (12-17)","Evening (18-23)")))</f>
        <v>Evening (18-23)</v>
      </c>
    </row>
    <row r="503" customFormat="false" ht="15" hidden="false" customHeight="false" outlineLevel="0" collapsed="false">
      <c r="A503" s="2" t="s">
        <v>1023</v>
      </c>
      <c r="B503" s="2" t="s">
        <v>151</v>
      </c>
      <c r="C503" s="2" t="s">
        <v>36</v>
      </c>
      <c r="D503" s="3" t="n">
        <v>45942</v>
      </c>
      <c r="E503" s="2" t="s">
        <v>1024</v>
      </c>
      <c r="F503" s="2" t="s">
        <v>32</v>
      </c>
      <c r="G503" s="2" t="n">
        <v>19247</v>
      </c>
      <c r="H503" s="2" t="n">
        <v>20</v>
      </c>
      <c r="I503" s="2" t="n">
        <v>254</v>
      </c>
      <c r="J503" s="2" t="n">
        <v>0</v>
      </c>
      <c r="K503" s="2" t="n">
        <v>20311</v>
      </c>
      <c r="L503" s="2" t="n">
        <v>13501</v>
      </c>
      <c r="M503" s="2" t="n">
        <v>1326</v>
      </c>
      <c r="N503" s="2" t="n">
        <v>68</v>
      </c>
      <c r="O503" s="2" t="n">
        <v>314</v>
      </c>
      <c r="P503" s="2" t="n">
        <v>314</v>
      </c>
      <c r="Q503" s="2" t="n">
        <v>334</v>
      </c>
      <c r="R503" s="2" t="n">
        <v>84</v>
      </c>
      <c r="S503" s="2" t="n">
        <v>0</v>
      </c>
      <c r="T503" s="2" t="s">
        <v>27</v>
      </c>
      <c r="U503" s="4" t="n">
        <f aca="false">(M503+N503+O503+P503)/L503</f>
        <v>0.149766683949337</v>
      </c>
      <c r="V503" s="2" t="str">
        <f aca="false">IF(S503&lt;=5,"Late night (0-5)",IF(S503&lt;=11,"Morning (6-11)",IF(S503&lt;=17,"Afternoon (12-17)","Evening (18-23)")))</f>
        <v>Late night (0-5)</v>
      </c>
    </row>
    <row r="504" customFormat="false" ht="15" hidden="false" customHeight="false" outlineLevel="0" collapsed="false">
      <c r="A504" s="2" t="s">
        <v>1025</v>
      </c>
      <c r="B504" s="2" t="s">
        <v>114</v>
      </c>
      <c r="C504" s="2" t="s">
        <v>84</v>
      </c>
      <c r="D504" s="3" t="n">
        <v>45884</v>
      </c>
      <c r="E504" s="2" t="s">
        <v>950</v>
      </c>
      <c r="F504" s="2" t="s">
        <v>32</v>
      </c>
      <c r="G504" s="2" t="n">
        <v>64307</v>
      </c>
      <c r="H504" s="2" t="n">
        <v>14</v>
      </c>
      <c r="I504" s="2" t="n">
        <v>247</v>
      </c>
      <c r="J504" s="2" t="n">
        <v>0</v>
      </c>
      <c r="K504" s="2" t="n">
        <v>124623</v>
      </c>
      <c r="L504" s="2" t="n">
        <v>80712</v>
      </c>
      <c r="M504" s="2" t="n">
        <v>5789</v>
      </c>
      <c r="N504" s="2" t="n">
        <v>448</v>
      </c>
      <c r="O504" s="2" t="n">
        <v>383</v>
      </c>
      <c r="P504" s="2" t="n">
        <v>1433</v>
      </c>
      <c r="Q504" s="2" t="n">
        <v>966</v>
      </c>
      <c r="R504" s="2" t="n">
        <v>243</v>
      </c>
      <c r="S504" s="2" t="n">
        <v>8</v>
      </c>
      <c r="T504" s="2" t="s">
        <v>96</v>
      </c>
      <c r="U504" s="4" t="n">
        <f aca="false">(M504+N504+O504+P504)/L504</f>
        <v>0.0997745068886907</v>
      </c>
      <c r="V504" s="2" t="str">
        <f aca="false">IF(S504&lt;=5,"Late night (0-5)",IF(S504&lt;=11,"Morning (6-11)",IF(S504&lt;=17,"Afternoon (12-17)","Evening (18-23)")))</f>
        <v>Morning (6-11)</v>
      </c>
    </row>
    <row r="505" customFormat="false" ht="15" hidden="false" customHeight="false" outlineLevel="0" collapsed="false">
      <c r="A505" s="2" t="s">
        <v>1026</v>
      </c>
      <c r="B505" s="2" t="s">
        <v>135</v>
      </c>
      <c r="C505" s="2" t="s">
        <v>36</v>
      </c>
      <c r="D505" s="3" t="n">
        <v>45806</v>
      </c>
      <c r="E505" s="2" t="s">
        <v>1027</v>
      </c>
      <c r="F505" s="2" t="s">
        <v>32</v>
      </c>
      <c r="G505" s="2" t="n">
        <v>45812</v>
      </c>
      <c r="H505" s="2" t="n">
        <v>7</v>
      </c>
      <c r="I505" s="2" t="n">
        <v>214</v>
      </c>
      <c r="J505" s="2" t="n">
        <v>0</v>
      </c>
      <c r="K505" s="2" t="n">
        <v>142762</v>
      </c>
      <c r="L505" s="2" t="n">
        <v>83275</v>
      </c>
      <c r="M505" s="2" t="n">
        <v>5764</v>
      </c>
      <c r="N505" s="2" t="n">
        <v>148</v>
      </c>
      <c r="O505" s="2" t="n">
        <v>414</v>
      </c>
      <c r="P505" s="2" t="n">
        <v>573</v>
      </c>
      <c r="Q505" s="2" t="n">
        <v>1005</v>
      </c>
      <c r="R505" s="2" t="n">
        <v>174</v>
      </c>
      <c r="S505" s="2" t="n">
        <v>10</v>
      </c>
      <c r="T505" s="2" t="s">
        <v>79</v>
      </c>
      <c r="U505" s="4" t="n">
        <f aca="false">(M505+N505+O505+P505)/L505</f>
        <v>0.0828459921945362</v>
      </c>
      <c r="V505" s="2" t="str">
        <f aca="false">IF(S505&lt;=5,"Late night (0-5)",IF(S505&lt;=11,"Morning (6-11)",IF(S505&lt;=17,"Afternoon (12-17)","Evening (18-23)")))</f>
        <v>Morning (6-11)</v>
      </c>
    </row>
    <row r="506" customFormat="false" ht="15" hidden="false" customHeight="false" outlineLevel="0" collapsed="false">
      <c r="A506" s="2" t="s">
        <v>1028</v>
      </c>
      <c r="B506" s="2" t="s">
        <v>390</v>
      </c>
      <c r="C506" s="2" t="s">
        <v>36</v>
      </c>
      <c r="D506" s="3" t="n">
        <v>45935</v>
      </c>
      <c r="E506" s="2" t="s">
        <v>1029</v>
      </c>
      <c r="F506" s="2" t="s">
        <v>26</v>
      </c>
      <c r="G506" s="2" t="n">
        <v>30232</v>
      </c>
      <c r="H506" s="2" t="n">
        <v>8</v>
      </c>
      <c r="I506" s="2" t="n">
        <v>129</v>
      </c>
      <c r="J506" s="2" t="n">
        <v>1</v>
      </c>
      <c r="K506" s="2" t="n">
        <v>21276</v>
      </c>
      <c r="L506" s="2" t="n">
        <v>14257</v>
      </c>
      <c r="M506" s="2" t="n">
        <v>1235</v>
      </c>
      <c r="N506" s="2" t="n">
        <v>28</v>
      </c>
      <c r="O506" s="2" t="n">
        <v>131</v>
      </c>
      <c r="P506" s="2" t="n">
        <v>242</v>
      </c>
      <c r="Q506" s="2" t="n">
        <v>109</v>
      </c>
      <c r="R506" s="2" t="n">
        <v>31</v>
      </c>
      <c r="S506" s="2" t="n">
        <v>6</v>
      </c>
      <c r="T506" s="2" t="s">
        <v>27</v>
      </c>
      <c r="U506" s="4" t="n">
        <f aca="false">(M506+N506+O506+P506)/L506</f>
        <v>0.114750648804096</v>
      </c>
      <c r="V506" s="2" t="str">
        <f aca="false">IF(S506&lt;=5,"Late night (0-5)",IF(S506&lt;=11,"Morning (6-11)",IF(S506&lt;=17,"Afternoon (12-17)","Evening (18-23)")))</f>
        <v>Morning (6-11)</v>
      </c>
    </row>
    <row r="507" customFormat="false" ht="15" hidden="false" customHeight="false" outlineLevel="0" collapsed="false">
      <c r="A507" s="2" t="s">
        <v>1030</v>
      </c>
      <c r="B507" s="2" t="s">
        <v>327</v>
      </c>
      <c r="C507" s="2" t="s">
        <v>91</v>
      </c>
      <c r="D507" s="3" t="n">
        <v>45721</v>
      </c>
      <c r="E507" s="2" t="s">
        <v>1031</v>
      </c>
      <c r="F507" s="2" t="s">
        <v>38</v>
      </c>
      <c r="G507" s="2" t="n">
        <v>16943</v>
      </c>
      <c r="H507" s="2" t="n">
        <v>17</v>
      </c>
      <c r="I507" s="2" t="n">
        <v>127</v>
      </c>
      <c r="J507" s="2" t="n">
        <v>0</v>
      </c>
      <c r="K507" s="2" t="n">
        <v>7394</v>
      </c>
      <c r="L507" s="2" t="n">
        <v>5134</v>
      </c>
      <c r="M507" s="2" t="n">
        <v>298</v>
      </c>
      <c r="N507" s="2" t="n">
        <v>14</v>
      </c>
      <c r="O507" s="2" t="n">
        <v>10</v>
      </c>
      <c r="P507" s="2" t="n">
        <v>35</v>
      </c>
      <c r="Q507" s="2" t="n">
        <v>32</v>
      </c>
      <c r="R507" s="2" t="n">
        <v>4</v>
      </c>
      <c r="S507" s="2" t="n">
        <v>2</v>
      </c>
      <c r="T507" s="2" t="s">
        <v>66</v>
      </c>
      <c r="U507" s="4" t="n">
        <f aca="false">(M507+N507+O507+P507)/L507</f>
        <v>0.0695364238410596</v>
      </c>
      <c r="V507" s="2" t="str">
        <f aca="false">IF(S507&lt;=5,"Late night (0-5)",IF(S507&lt;=11,"Morning (6-11)",IF(S507&lt;=17,"Afternoon (12-17)","Evening (18-23)")))</f>
        <v>Late night (0-5)</v>
      </c>
    </row>
    <row r="508" customFormat="false" ht="15" hidden="false" customHeight="false" outlineLevel="0" collapsed="false">
      <c r="A508" s="2" t="s">
        <v>1032</v>
      </c>
      <c r="B508" s="2" t="s">
        <v>114</v>
      </c>
      <c r="C508" s="2" t="s">
        <v>84</v>
      </c>
      <c r="D508" s="3" t="n">
        <v>45710</v>
      </c>
      <c r="E508" s="2" t="s">
        <v>1033</v>
      </c>
      <c r="F508" s="2" t="s">
        <v>38</v>
      </c>
      <c r="G508" s="2" t="n">
        <v>64307</v>
      </c>
      <c r="H508" s="2" t="n">
        <v>7</v>
      </c>
      <c r="I508" s="2" t="n">
        <v>107</v>
      </c>
      <c r="J508" s="2" t="n">
        <v>0</v>
      </c>
      <c r="K508" s="2" t="n">
        <v>98509</v>
      </c>
      <c r="L508" s="2" t="n">
        <v>62149</v>
      </c>
      <c r="M508" s="2" t="n">
        <v>5546</v>
      </c>
      <c r="N508" s="2" t="n">
        <v>161</v>
      </c>
      <c r="O508" s="2" t="n">
        <v>249</v>
      </c>
      <c r="P508" s="2" t="n">
        <v>1212</v>
      </c>
      <c r="Q508" s="2" t="n">
        <v>838</v>
      </c>
      <c r="R508" s="2" t="n">
        <v>56</v>
      </c>
      <c r="S508" s="2" t="n">
        <v>18</v>
      </c>
      <c r="T508" s="2" t="s">
        <v>62</v>
      </c>
      <c r="U508" s="4" t="n">
        <f aca="false">(M508+N508+O508+P508)/L508</f>
        <v>0.115335725434038</v>
      </c>
      <c r="V508" s="2" t="str">
        <f aca="false">IF(S508&lt;=5,"Late night (0-5)",IF(S508&lt;=11,"Morning (6-11)",IF(S508&lt;=17,"Afternoon (12-17)","Evening (18-23)")))</f>
        <v>Evening (18-23)</v>
      </c>
    </row>
    <row r="509" customFormat="false" ht="15" hidden="false" customHeight="false" outlineLevel="0" collapsed="false">
      <c r="A509" s="2" t="s">
        <v>1034</v>
      </c>
      <c r="B509" s="2" t="s">
        <v>360</v>
      </c>
      <c r="C509" s="2" t="s">
        <v>48</v>
      </c>
      <c r="D509" s="3" t="n">
        <v>45692</v>
      </c>
      <c r="E509" s="2" t="s">
        <v>1035</v>
      </c>
      <c r="F509" s="2" t="s">
        <v>26</v>
      </c>
      <c r="G509" s="2" t="n">
        <v>19542</v>
      </c>
      <c r="H509" s="2" t="n">
        <v>19</v>
      </c>
      <c r="I509" s="2" t="n">
        <v>245</v>
      </c>
      <c r="J509" s="2" t="n">
        <v>0</v>
      </c>
      <c r="K509" s="2" t="n">
        <v>48022</v>
      </c>
      <c r="L509" s="2" t="n">
        <v>37847</v>
      </c>
      <c r="M509" s="2" t="n">
        <v>1175</v>
      </c>
      <c r="N509" s="2" t="n">
        <v>83</v>
      </c>
      <c r="O509" s="2" t="n">
        <v>100</v>
      </c>
      <c r="P509" s="2" t="n">
        <v>224</v>
      </c>
      <c r="Q509" s="2" t="n">
        <v>339</v>
      </c>
      <c r="R509" s="2" t="n">
        <v>75</v>
      </c>
      <c r="S509" s="2" t="n">
        <v>8</v>
      </c>
      <c r="T509" s="2" t="s">
        <v>51</v>
      </c>
      <c r="U509" s="4" t="n">
        <f aca="false">(M509+N509+O509+P509)/L509</f>
        <v>0.041799878458002</v>
      </c>
      <c r="V509" s="2" t="str">
        <f aca="false">IF(S509&lt;=5,"Late night (0-5)",IF(S509&lt;=11,"Morning (6-11)",IF(S509&lt;=17,"Afternoon (12-17)","Evening (18-23)")))</f>
        <v>Morning (6-11)</v>
      </c>
    </row>
    <row r="510" customFormat="false" ht="15" hidden="false" customHeight="false" outlineLevel="0" collapsed="false">
      <c r="A510" s="2" t="s">
        <v>1036</v>
      </c>
      <c r="B510" s="2" t="s">
        <v>188</v>
      </c>
      <c r="C510" s="2" t="s">
        <v>30</v>
      </c>
      <c r="D510" s="3" t="n">
        <v>45965</v>
      </c>
      <c r="E510" s="2" t="s">
        <v>1037</v>
      </c>
      <c r="F510" s="2" t="s">
        <v>32</v>
      </c>
      <c r="G510" s="2" t="n">
        <v>38900</v>
      </c>
      <c r="H510" s="2" t="n">
        <v>9</v>
      </c>
      <c r="I510" s="2" t="n">
        <v>99</v>
      </c>
      <c r="J510" s="2" t="n">
        <v>0</v>
      </c>
      <c r="K510" s="2" t="n">
        <v>31386</v>
      </c>
      <c r="L510" s="2" t="n">
        <v>19944</v>
      </c>
      <c r="M510" s="2" t="n">
        <v>1358</v>
      </c>
      <c r="N510" s="2" t="n">
        <v>76</v>
      </c>
      <c r="O510" s="2" t="n">
        <v>348</v>
      </c>
      <c r="P510" s="2" t="n">
        <v>242</v>
      </c>
      <c r="Q510" s="2" t="n">
        <v>336</v>
      </c>
      <c r="R510" s="2" t="n">
        <v>39</v>
      </c>
      <c r="S510" s="2" t="n">
        <v>21</v>
      </c>
      <c r="T510" s="2" t="s">
        <v>51</v>
      </c>
      <c r="U510" s="4" t="n">
        <f aca="false">(M510+N510+O510+P510)/L510</f>
        <v>0.10148415563578</v>
      </c>
      <c r="V510" s="2" t="str">
        <f aca="false">IF(S510&lt;=5,"Late night (0-5)",IF(S510&lt;=11,"Morning (6-11)",IF(S510&lt;=17,"Afternoon (12-17)","Evening (18-23)")))</f>
        <v>Evening (18-23)</v>
      </c>
    </row>
    <row r="511" customFormat="false" ht="15" hidden="false" customHeight="false" outlineLevel="0" collapsed="false">
      <c r="A511" s="2" t="s">
        <v>1038</v>
      </c>
      <c r="B511" s="2" t="s">
        <v>154</v>
      </c>
      <c r="C511" s="2" t="s">
        <v>41</v>
      </c>
      <c r="D511" s="3" t="n">
        <v>45966</v>
      </c>
      <c r="E511" s="2" t="s">
        <v>1039</v>
      </c>
      <c r="F511" s="2" t="s">
        <v>26</v>
      </c>
      <c r="G511" s="2" t="n">
        <v>33644</v>
      </c>
      <c r="H511" s="2" t="n">
        <v>0</v>
      </c>
      <c r="I511" s="2" t="n">
        <v>205</v>
      </c>
      <c r="J511" s="2" t="n">
        <v>0</v>
      </c>
      <c r="K511" s="2" t="n">
        <v>24626</v>
      </c>
      <c r="L511" s="2" t="n">
        <v>13963</v>
      </c>
      <c r="M511" s="2" t="n">
        <v>609</v>
      </c>
      <c r="N511" s="2" t="n">
        <v>12</v>
      </c>
      <c r="O511" s="2" t="n">
        <v>77</v>
      </c>
      <c r="P511" s="2" t="n">
        <v>85</v>
      </c>
      <c r="Q511" s="2" t="n">
        <v>289</v>
      </c>
      <c r="R511" s="2" t="n">
        <v>31</v>
      </c>
      <c r="S511" s="2" t="n">
        <v>17</v>
      </c>
      <c r="T511" s="2" t="s">
        <v>66</v>
      </c>
      <c r="U511" s="4" t="n">
        <f aca="false">(M511+N511+O511+P511)/L511</f>
        <v>0.0560767743321636</v>
      </c>
      <c r="V511" s="2" t="str">
        <f aca="false">IF(S511&lt;=5,"Late night (0-5)",IF(S511&lt;=11,"Morning (6-11)",IF(S511&lt;=17,"Afternoon (12-17)","Evening (18-23)")))</f>
        <v>Afternoon (12-17)</v>
      </c>
    </row>
    <row r="512" customFormat="false" ht="15" hidden="false" customHeight="false" outlineLevel="0" collapsed="false">
      <c r="A512" s="2" t="s">
        <v>1040</v>
      </c>
      <c r="B512" s="2" t="s">
        <v>220</v>
      </c>
      <c r="C512" s="2" t="s">
        <v>48</v>
      </c>
      <c r="D512" s="3" t="n">
        <v>45897</v>
      </c>
      <c r="E512" s="2" t="s">
        <v>1041</v>
      </c>
      <c r="F512" s="2" t="s">
        <v>32</v>
      </c>
      <c r="G512" s="2" t="n">
        <v>18917</v>
      </c>
      <c r="H512" s="2" t="n">
        <v>10</v>
      </c>
      <c r="I512" s="2" t="n">
        <v>211</v>
      </c>
      <c r="J512" s="2" t="n">
        <v>0</v>
      </c>
      <c r="K512" s="2" t="n">
        <v>141736</v>
      </c>
      <c r="L512" s="2" t="n">
        <v>84599</v>
      </c>
      <c r="M512" s="2" t="n">
        <v>3315</v>
      </c>
      <c r="N512" s="2" t="n">
        <v>67</v>
      </c>
      <c r="O512" s="2" t="n">
        <v>166</v>
      </c>
      <c r="P512" s="2" t="n">
        <v>540</v>
      </c>
      <c r="Q512" s="2" t="n">
        <v>1741</v>
      </c>
      <c r="R512" s="2" t="n">
        <v>296</v>
      </c>
      <c r="S512" s="2" t="n">
        <v>22</v>
      </c>
      <c r="T512" s="2" t="s">
        <v>79</v>
      </c>
      <c r="U512" s="4" t="n">
        <f aca="false">(M512+N512+O512+P512)/L512</f>
        <v>0.0483220841853923</v>
      </c>
      <c r="V512" s="2" t="str">
        <f aca="false">IF(S512&lt;=5,"Late night (0-5)",IF(S512&lt;=11,"Morning (6-11)",IF(S512&lt;=17,"Afternoon (12-17)","Evening (18-23)")))</f>
        <v>Evening (18-23)</v>
      </c>
    </row>
    <row r="513" customFormat="false" ht="15" hidden="false" customHeight="false" outlineLevel="0" collapsed="false">
      <c r="A513" s="2" t="s">
        <v>1042</v>
      </c>
      <c r="B513" s="2" t="s">
        <v>71</v>
      </c>
      <c r="C513" s="2" t="s">
        <v>48</v>
      </c>
      <c r="D513" s="3" t="n">
        <v>45731</v>
      </c>
      <c r="E513" s="2" t="s">
        <v>1043</v>
      </c>
      <c r="F513" s="2" t="s">
        <v>26</v>
      </c>
      <c r="G513" s="2" t="n">
        <v>7316</v>
      </c>
      <c r="H513" s="2" t="n">
        <v>6</v>
      </c>
      <c r="I513" s="2" t="n">
        <v>169</v>
      </c>
      <c r="J513" s="2" t="n">
        <v>0</v>
      </c>
      <c r="K513" s="2" t="n">
        <v>3235</v>
      </c>
      <c r="L513" s="2" t="n">
        <v>1829</v>
      </c>
      <c r="M513" s="2" t="n">
        <v>89</v>
      </c>
      <c r="N513" s="2" t="n">
        <v>1</v>
      </c>
      <c r="O513" s="2" t="n">
        <v>16</v>
      </c>
      <c r="P513" s="2" t="n">
        <v>24</v>
      </c>
      <c r="Q513" s="2" t="n">
        <v>42</v>
      </c>
      <c r="R513" s="2" t="n">
        <v>3</v>
      </c>
      <c r="S513" s="2" t="n">
        <v>17</v>
      </c>
      <c r="T513" s="2" t="s">
        <v>62</v>
      </c>
      <c r="U513" s="4" t="n">
        <f aca="false">(M513+N513+O513+P513)/L513</f>
        <v>0.071077091306725</v>
      </c>
      <c r="V513" s="2" t="str">
        <f aca="false">IF(S513&lt;=5,"Late night (0-5)",IF(S513&lt;=11,"Morning (6-11)",IF(S513&lt;=17,"Afternoon (12-17)","Evening (18-23)")))</f>
        <v>Afternoon (12-17)</v>
      </c>
    </row>
    <row r="514" customFormat="false" ht="15" hidden="false" customHeight="false" outlineLevel="0" collapsed="false">
      <c r="A514" s="2" t="s">
        <v>1044</v>
      </c>
      <c r="B514" s="2" t="s">
        <v>64</v>
      </c>
      <c r="C514" s="2" t="s">
        <v>36</v>
      </c>
      <c r="D514" s="3" t="n">
        <v>45757</v>
      </c>
      <c r="E514" s="2" t="s">
        <v>856</v>
      </c>
      <c r="F514" s="2" t="s">
        <v>32</v>
      </c>
      <c r="G514" s="2" t="n">
        <v>43781</v>
      </c>
      <c r="H514" s="2" t="n">
        <v>12</v>
      </c>
      <c r="I514" s="2" t="n">
        <v>10</v>
      </c>
      <c r="J514" s="2" t="n">
        <v>0</v>
      </c>
      <c r="K514" s="2" t="n">
        <v>76465</v>
      </c>
      <c r="L514" s="2" t="n">
        <v>48026</v>
      </c>
      <c r="M514" s="2" t="n">
        <v>3180</v>
      </c>
      <c r="N514" s="2" t="n">
        <v>80</v>
      </c>
      <c r="O514" s="2" t="n">
        <v>834</v>
      </c>
      <c r="P514" s="2" t="n">
        <v>496</v>
      </c>
      <c r="Q514" s="2" t="n">
        <v>1026</v>
      </c>
      <c r="R514" s="2" t="n">
        <v>289</v>
      </c>
      <c r="S514" s="2" t="n">
        <v>17</v>
      </c>
      <c r="T514" s="2" t="s">
        <v>79</v>
      </c>
      <c r="U514" s="4" t="n">
        <f aca="false">(M514+N514+O514+P514)/L514</f>
        <v>0.0955732311664515</v>
      </c>
      <c r="V514" s="2" t="str">
        <f aca="false">IF(S514&lt;=5,"Late night (0-5)",IF(S514&lt;=11,"Morning (6-11)",IF(S514&lt;=17,"Afternoon (12-17)","Evening (18-23)")))</f>
        <v>Afternoon (12-17)</v>
      </c>
    </row>
    <row r="515" customFormat="false" ht="15" hidden="false" customHeight="false" outlineLevel="0" collapsed="false">
      <c r="A515" s="2" t="s">
        <v>1045</v>
      </c>
      <c r="B515" s="2" t="s">
        <v>193</v>
      </c>
      <c r="C515" s="2" t="s">
        <v>36</v>
      </c>
      <c r="D515" s="3" t="n">
        <v>45928</v>
      </c>
      <c r="E515" s="2" t="s">
        <v>1046</v>
      </c>
      <c r="F515" s="2" t="s">
        <v>50</v>
      </c>
      <c r="G515" s="2" t="n">
        <v>26454</v>
      </c>
      <c r="H515" s="2" t="n">
        <v>5</v>
      </c>
      <c r="I515" s="2" t="n">
        <v>205</v>
      </c>
      <c r="J515" s="2" t="n">
        <v>1</v>
      </c>
      <c r="K515" s="2" t="n">
        <v>9843</v>
      </c>
      <c r="L515" s="2" t="n">
        <v>7013</v>
      </c>
      <c r="M515" s="2" t="n">
        <v>498</v>
      </c>
      <c r="N515" s="2" t="n">
        <v>20</v>
      </c>
      <c r="O515" s="2" t="n">
        <v>62</v>
      </c>
      <c r="P515" s="2" t="n">
        <v>25</v>
      </c>
      <c r="Q515" s="2" t="n">
        <v>102</v>
      </c>
      <c r="R515" s="2" t="n">
        <v>29</v>
      </c>
      <c r="S515" s="2" t="n">
        <v>16</v>
      </c>
      <c r="T515" s="2" t="s">
        <v>27</v>
      </c>
      <c r="U515" s="4" t="n">
        <f aca="false">(M515+N515+O515+P515)/L515</f>
        <v>0.0862683587622986</v>
      </c>
      <c r="V515" s="2" t="str">
        <f aca="false">IF(S515&lt;=5,"Late night (0-5)",IF(S515&lt;=11,"Morning (6-11)",IF(S515&lt;=17,"Afternoon (12-17)","Evening (18-23)")))</f>
        <v>Afternoon (12-17)</v>
      </c>
    </row>
    <row r="516" customFormat="false" ht="15" hidden="false" customHeight="false" outlineLevel="0" collapsed="false">
      <c r="A516" s="2" t="s">
        <v>1047</v>
      </c>
      <c r="B516" s="2" t="s">
        <v>193</v>
      </c>
      <c r="C516" s="2" t="s">
        <v>36</v>
      </c>
      <c r="D516" s="3" t="n">
        <v>45966</v>
      </c>
      <c r="E516" s="2" t="s">
        <v>1048</v>
      </c>
      <c r="F516" s="2" t="s">
        <v>26</v>
      </c>
      <c r="G516" s="2" t="n">
        <v>26454</v>
      </c>
      <c r="H516" s="2" t="n">
        <v>10</v>
      </c>
      <c r="I516" s="2" t="n">
        <v>123</v>
      </c>
      <c r="J516" s="2" t="n">
        <v>0</v>
      </c>
      <c r="K516" s="2" t="n">
        <v>10036</v>
      </c>
      <c r="L516" s="2" t="n">
        <v>8934</v>
      </c>
      <c r="M516" s="2" t="n">
        <v>291</v>
      </c>
      <c r="N516" s="2" t="n">
        <v>10</v>
      </c>
      <c r="O516" s="2" t="n">
        <v>12</v>
      </c>
      <c r="P516" s="2" t="n">
        <v>75</v>
      </c>
      <c r="Q516" s="2" t="n">
        <v>72</v>
      </c>
      <c r="R516" s="2" t="n">
        <v>15</v>
      </c>
      <c r="S516" s="2" t="n">
        <v>10</v>
      </c>
      <c r="T516" s="2" t="s">
        <v>66</v>
      </c>
      <c r="U516" s="4" t="n">
        <f aca="false">(M516+N516+O516+P516)/L516</f>
        <v>0.0434295948063577</v>
      </c>
      <c r="V516" s="2" t="str">
        <f aca="false">IF(S516&lt;=5,"Late night (0-5)",IF(S516&lt;=11,"Morning (6-11)",IF(S516&lt;=17,"Afternoon (12-17)","Evening (18-23)")))</f>
        <v>Morning (6-11)</v>
      </c>
    </row>
    <row r="517" customFormat="false" ht="15" hidden="false" customHeight="false" outlineLevel="0" collapsed="false">
      <c r="A517" s="2" t="s">
        <v>1049</v>
      </c>
      <c r="B517" s="2" t="s">
        <v>64</v>
      </c>
      <c r="C517" s="2" t="s">
        <v>36</v>
      </c>
      <c r="D517" s="3" t="n">
        <v>45781</v>
      </c>
      <c r="E517" s="2" t="s">
        <v>1050</v>
      </c>
      <c r="F517" s="2" t="s">
        <v>32</v>
      </c>
      <c r="G517" s="2" t="n">
        <v>43781</v>
      </c>
      <c r="H517" s="2" t="n">
        <v>7</v>
      </c>
      <c r="I517" s="2" t="n">
        <v>242</v>
      </c>
      <c r="J517" s="2" t="n">
        <v>0</v>
      </c>
      <c r="K517" s="2" t="n">
        <v>56895</v>
      </c>
      <c r="L517" s="2" t="n">
        <v>46313</v>
      </c>
      <c r="M517" s="2" t="n">
        <v>4168</v>
      </c>
      <c r="N517" s="2" t="n">
        <v>184</v>
      </c>
      <c r="O517" s="2" t="n">
        <v>215</v>
      </c>
      <c r="P517" s="2" t="n">
        <v>1212</v>
      </c>
      <c r="Q517" s="2" t="n">
        <v>406</v>
      </c>
      <c r="R517" s="2" t="n">
        <v>72</v>
      </c>
      <c r="S517" s="2" t="n">
        <v>12</v>
      </c>
      <c r="T517" s="2" t="s">
        <v>27</v>
      </c>
      <c r="U517" s="4" t="n">
        <f aca="false">(M517+N517+O517+P517)/L517</f>
        <v>0.124781378878501</v>
      </c>
      <c r="V517" s="2" t="str">
        <f aca="false">IF(S517&lt;=5,"Late night (0-5)",IF(S517&lt;=11,"Morning (6-11)",IF(S517&lt;=17,"Afternoon (12-17)","Evening (18-23)")))</f>
        <v>Afternoon (12-17)</v>
      </c>
    </row>
    <row r="518" customFormat="false" ht="15" hidden="false" customHeight="false" outlineLevel="0" collapsed="false">
      <c r="A518" s="2" t="s">
        <v>1051</v>
      </c>
      <c r="B518" s="2" t="s">
        <v>462</v>
      </c>
      <c r="C518" s="2" t="s">
        <v>84</v>
      </c>
      <c r="D518" s="3" t="n">
        <v>45994</v>
      </c>
      <c r="E518" s="2" t="s">
        <v>1052</v>
      </c>
      <c r="F518" s="2" t="s">
        <v>32</v>
      </c>
      <c r="G518" s="2" t="n">
        <v>43510</v>
      </c>
      <c r="H518" s="2" t="n">
        <v>17</v>
      </c>
      <c r="I518" s="2" t="n">
        <v>424</v>
      </c>
      <c r="J518" s="2" t="n">
        <v>0</v>
      </c>
      <c r="K518" s="2" t="n">
        <v>60963</v>
      </c>
      <c r="L518" s="2" t="n">
        <v>38841</v>
      </c>
      <c r="M518" s="2" t="n">
        <v>1531</v>
      </c>
      <c r="N518" s="2" t="n">
        <v>107</v>
      </c>
      <c r="O518" s="2" t="n">
        <v>252</v>
      </c>
      <c r="P518" s="2" t="n">
        <v>114</v>
      </c>
      <c r="Q518" s="2" t="n">
        <v>486</v>
      </c>
      <c r="R518" s="2" t="n">
        <v>85</v>
      </c>
      <c r="S518" s="2" t="n">
        <v>1</v>
      </c>
      <c r="T518" s="2" t="s">
        <v>66</v>
      </c>
      <c r="U518" s="4" t="n">
        <f aca="false">(M518+N518+O518+P518)/L518</f>
        <v>0.0515949640843439</v>
      </c>
      <c r="V518" s="2" t="str">
        <f aca="false">IF(S518&lt;=5,"Late night (0-5)",IF(S518&lt;=11,"Morning (6-11)",IF(S518&lt;=17,"Afternoon (12-17)","Evening (18-23)")))</f>
        <v>Late night (0-5)</v>
      </c>
    </row>
    <row r="519" customFormat="false" ht="15" hidden="false" customHeight="false" outlineLevel="0" collapsed="false">
      <c r="A519" s="2" t="s">
        <v>1053</v>
      </c>
      <c r="B519" s="2" t="s">
        <v>90</v>
      </c>
      <c r="C519" s="2" t="s">
        <v>91</v>
      </c>
      <c r="D519" s="3" t="n">
        <v>45841</v>
      </c>
      <c r="E519" s="2" t="s">
        <v>606</v>
      </c>
      <c r="F519" s="2" t="s">
        <v>38</v>
      </c>
      <c r="G519" s="2" t="n">
        <v>54788</v>
      </c>
      <c r="H519" s="2" t="n">
        <v>13</v>
      </c>
      <c r="I519" s="2" t="n">
        <v>167</v>
      </c>
      <c r="J519" s="2" t="n">
        <v>1</v>
      </c>
      <c r="K519" s="2" t="n">
        <v>17391</v>
      </c>
      <c r="L519" s="2" t="n">
        <v>12006</v>
      </c>
      <c r="M519" s="2" t="n">
        <v>1034</v>
      </c>
      <c r="N519" s="2" t="n">
        <v>75</v>
      </c>
      <c r="O519" s="2" t="n">
        <v>118</v>
      </c>
      <c r="P519" s="2" t="n">
        <v>141</v>
      </c>
      <c r="Q519" s="2" t="n">
        <v>243</v>
      </c>
      <c r="R519" s="2" t="n">
        <v>49</v>
      </c>
      <c r="S519" s="2" t="n">
        <v>13</v>
      </c>
      <c r="T519" s="2" t="s">
        <v>79</v>
      </c>
      <c r="U519" s="4" t="n">
        <f aca="false">(M519+N519+O519+P519)/L519</f>
        <v>0.113943028485757</v>
      </c>
      <c r="V519" s="2" t="str">
        <f aca="false">IF(S519&lt;=5,"Late night (0-5)",IF(S519&lt;=11,"Morning (6-11)",IF(S519&lt;=17,"Afternoon (12-17)","Evening (18-23)")))</f>
        <v>Afternoon (12-17)</v>
      </c>
    </row>
    <row r="520" customFormat="false" ht="15" hidden="false" customHeight="false" outlineLevel="0" collapsed="false">
      <c r="A520" s="2" t="s">
        <v>1054</v>
      </c>
      <c r="B520" s="2" t="s">
        <v>459</v>
      </c>
      <c r="C520" s="2" t="s">
        <v>84</v>
      </c>
      <c r="D520" s="3" t="n">
        <v>45733</v>
      </c>
      <c r="E520" s="2" t="s">
        <v>1055</v>
      </c>
      <c r="F520" s="2" t="s">
        <v>26</v>
      </c>
      <c r="G520" s="2" t="n">
        <v>19744</v>
      </c>
      <c r="H520" s="2" t="n">
        <v>10</v>
      </c>
      <c r="I520" s="2" t="n">
        <v>180</v>
      </c>
      <c r="J520" s="2" t="n">
        <v>0</v>
      </c>
      <c r="K520" s="2" t="n">
        <v>66791</v>
      </c>
      <c r="L520" s="2" t="n">
        <v>44428</v>
      </c>
      <c r="M520" s="2" t="n">
        <v>3362</v>
      </c>
      <c r="N520" s="2" t="n">
        <v>170</v>
      </c>
      <c r="O520" s="2" t="n">
        <v>470</v>
      </c>
      <c r="P520" s="2" t="n">
        <v>1317</v>
      </c>
      <c r="Q520" s="2" t="n">
        <v>255</v>
      </c>
      <c r="R520" s="2" t="n">
        <v>35</v>
      </c>
      <c r="S520" s="2" t="n">
        <v>19</v>
      </c>
      <c r="T520" s="2" t="s">
        <v>33</v>
      </c>
      <c r="U520" s="4" t="n">
        <f aca="false">(M520+N520+O520+P520)/L520</f>
        <v>0.119721797064914</v>
      </c>
      <c r="V520" s="2" t="str">
        <f aca="false">IF(S520&lt;=5,"Late night (0-5)",IF(S520&lt;=11,"Morning (6-11)",IF(S520&lt;=17,"Afternoon (12-17)","Evening (18-23)")))</f>
        <v>Evening (18-23)</v>
      </c>
    </row>
    <row r="521" customFormat="false" ht="15" hidden="false" customHeight="false" outlineLevel="0" collapsed="false">
      <c r="A521" s="2" t="s">
        <v>1056</v>
      </c>
      <c r="B521" s="2" t="s">
        <v>452</v>
      </c>
      <c r="C521" s="2" t="s">
        <v>91</v>
      </c>
      <c r="D521" s="3" t="n">
        <v>45727</v>
      </c>
      <c r="E521" s="2" t="s">
        <v>813</v>
      </c>
      <c r="F521" s="2" t="s">
        <v>38</v>
      </c>
      <c r="G521" s="2" t="n">
        <v>14201</v>
      </c>
      <c r="H521" s="2" t="n">
        <v>10</v>
      </c>
      <c r="I521" s="2" t="n">
        <v>170</v>
      </c>
      <c r="J521" s="2" t="n">
        <v>0</v>
      </c>
      <c r="K521" s="2" t="n">
        <v>5271</v>
      </c>
      <c r="L521" s="2" t="n">
        <v>3279</v>
      </c>
      <c r="M521" s="2" t="n">
        <v>283</v>
      </c>
      <c r="N521" s="2" t="n">
        <v>20</v>
      </c>
      <c r="O521" s="2" t="n">
        <v>46</v>
      </c>
      <c r="P521" s="2" t="n">
        <v>34</v>
      </c>
      <c r="Q521" s="2" t="n">
        <v>20</v>
      </c>
      <c r="R521" s="2" t="n">
        <v>3</v>
      </c>
      <c r="S521" s="2" t="n">
        <v>6</v>
      </c>
      <c r="T521" s="2" t="s">
        <v>51</v>
      </c>
      <c r="U521" s="4" t="n">
        <f aca="false">(M521+N521+O521+P521)/L521</f>
        <v>0.116803903629155</v>
      </c>
      <c r="V521" s="2" t="str">
        <f aca="false">IF(S521&lt;=5,"Late night (0-5)",IF(S521&lt;=11,"Morning (6-11)",IF(S521&lt;=17,"Afternoon (12-17)","Evening (18-23)")))</f>
        <v>Morning (6-11)</v>
      </c>
    </row>
    <row r="522" customFormat="false" ht="15" hidden="false" customHeight="false" outlineLevel="0" collapsed="false">
      <c r="A522" s="2" t="s">
        <v>1057</v>
      </c>
      <c r="B522" s="2" t="s">
        <v>374</v>
      </c>
      <c r="C522" s="2" t="s">
        <v>24</v>
      </c>
      <c r="D522" s="3" t="n">
        <v>46001</v>
      </c>
      <c r="E522" s="2" t="s">
        <v>656</v>
      </c>
      <c r="F522" s="2" t="s">
        <v>26</v>
      </c>
      <c r="G522" s="2" t="n">
        <v>9509</v>
      </c>
      <c r="H522" s="2" t="n">
        <v>12</v>
      </c>
      <c r="I522" s="2" t="n">
        <v>10</v>
      </c>
      <c r="J522" s="2" t="n">
        <v>0</v>
      </c>
      <c r="K522" s="2" t="n">
        <v>6945</v>
      </c>
      <c r="L522" s="2" t="n">
        <v>4037</v>
      </c>
      <c r="M522" s="2" t="n">
        <v>147</v>
      </c>
      <c r="N522" s="2" t="n">
        <v>7</v>
      </c>
      <c r="O522" s="2" t="n">
        <v>10</v>
      </c>
      <c r="P522" s="2" t="n">
        <v>12</v>
      </c>
      <c r="Q522" s="2" t="n">
        <v>118</v>
      </c>
      <c r="R522" s="2" t="n">
        <v>27</v>
      </c>
      <c r="S522" s="2" t="n">
        <v>2</v>
      </c>
      <c r="T522" s="2" t="s">
        <v>66</v>
      </c>
      <c r="U522" s="4" t="n">
        <f aca="false">(M522+N522+O522+P522)/L522</f>
        <v>0.0435967302452316</v>
      </c>
      <c r="V522" s="2" t="str">
        <f aca="false">IF(S522&lt;=5,"Late night (0-5)",IF(S522&lt;=11,"Morning (6-11)",IF(S522&lt;=17,"Afternoon (12-17)","Evening (18-23)")))</f>
        <v>Late night (0-5)</v>
      </c>
    </row>
    <row r="523" customFormat="false" ht="15" hidden="false" customHeight="false" outlineLevel="0" collapsed="false">
      <c r="A523" s="2" t="s">
        <v>1058</v>
      </c>
      <c r="B523" s="2" t="s">
        <v>371</v>
      </c>
      <c r="C523" s="2" t="s">
        <v>48</v>
      </c>
      <c r="D523" s="3" t="n">
        <v>45976</v>
      </c>
      <c r="E523" s="2" t="s">
        <v>124</v>
      </c>
      <c r="F523" s="2" t="s">
        <v>38</v>
      </c>
      <c r="G523" s="2" t="n">
        <v>42479</v>
      </c>
      <c r="H523" s="2" t="n">
        <v>9</v>
      </c>
      <c r="I523" s="2" t="n">
        <v>107</v>
      </c>
      <c r="J523" s="2" t="n">
        <v>0</v>
      </c>
      <c r="K523" s="2" t="n">
        <v>13322</v>
      </c>
      <c r="L523" s="2" t="n">
        <v>10630</v>
      </c>
      <c r="M523" s="2" t="n">
        <v>824</v>
      </c>
      <c r="N523" s="2" t="n">
        <v>37</v>
      </c>
      <c r="O523" s="2" t="n">
        <v>94</v>
      </c>
      <c r="P523" s="2" t="n">
        <v>244</v>
      </c>
      <c r="Q523" s="2" t="n">
        <v>115</v>
      </c>
      <c r="R523" s="2" t="n">
        <v>6</v>
      </c>
      <c r="S523" s="2" t="n">
        <v>12</v>
      </c>
      <c r="T523" s="2" t="s">
        <v>62</v>
      </c>
      <c r="U523" s="4" t="n">
        <f aca="false">(M523+N523+O523+P523)/L523</f>
        <v>0.112793979303857</v>
      </c>
      <c r="V523" s="2" t="str">
        <f aca="false">IF(S523&lt;=5,"Late night (0-5)",IF(S523&lt;=11,"Morning (6-11)",IF(S523&lt;=17,"Afternoon (12-17)","Evening (18-23)")))</f>
        <v>Afternoon (12-17)</v>
      </c>
    </row>
    <row r="524" customFormat="false" ht="15" hidden="false" customHeight="false" outlineLevel="0" collapsed="false">
      <c r="A524" s="2" t="s">
        <v>1059</v>
      </c>
      <c r="B524" s="2" t="s">
        <v>68</v>
      </c>
      <c r="C524" s="2" t="s">
        <v>54</v>
      </c>
      <c r="D524" s="3" t="n">
        <v>45962</v>
      </c>
      <c r="E524" s="2" t="s">
        <v>901</v>
      </c>
      <c r="F524" s="2" t="s">
        <v>32</v>
      </c>
      <c r="G524" s="2" t="n">
        <v>35922</v>
      </c>
      <c r="H524" s="2" t="n">
        <v>12</v>
      </c>
      <c r="I524" s="2" t="n">
        <v>130</v>
      </c>
      <c r="J524" s="2" t="n">
        <v>1</v>
      </c>
      <c r="K524" s="2" t="n">
        <v>131638</v>
      </c>
      <c r="L524" s="2" t="n">
        <v>101739</v>
      </c>
      <c r="M524" s="2" t="n">
        <v>4959</v>
      </c>
      <c r="N524" s="2" t="n">
        <v>312</v>
      </c>
      <c r="O524" s="2" t="n">
        <v>253</v>
      </c>
      <c r="P524" s="2" t="n">
        <v>1393</v>
      </c>
      <c r="Q524" s="2" t="n">
        <v>2435</v>
      </c>
      <c r="R524" s="2" t="n">
        <v>367</v>
      </c>
      <c r="S524" s="2" t="n">
        <v>20</v>
      </c>
      <c r="T524" s="2" t="s">
        <v>62</v>
      </c>
      <c r="U524" s="4" t="n">
        <f aca="false">(M524+N524+O524+P524)/L524</f>
        <v>0.0679876940013171</v>
      </c>
      <c r="V524" s="2" t="str">
        <f aca="false">IF(S524&lt;=5,"Late night (0-5)",IF(S524&lt;=11,"Morning (6-11)",IF(S524&lt;=17,"Afternoon (12-17)","Evening (18-23)")))</f>
        <v>Evening (18-23)</v>
      </c>
    </row>
    <row r="525" customFormat="false" ht="15" hidden="false" customHeight="false" outlineLevel="0" collapsed="false">
      <c r="A525" s="2" t="s">
        <v>1060</v>
      </c>
      <c r="B525" s="2" t="s">
        <v>132</v>
      </c>
      <c r="C525" s="2" t="s">
        <v>36</v>
      </c>
      <c r="D525" s="3" t="n">
        <v>45852</v>
      </c>
      <c r="E525" s="2" t="s">
        <v>1061</v>
      </c>
      <c r="F525" s="2" t="s">
        <v>26</v>
      </c>
      <c r="G525" s="2" t="n">
        <v>83053</v>
      </c>
      <c r="H525" s="2" t="n">
        <v>2</v>
      </c>
      <c r="I525" s="2" t="n">
        <v>182</v>
      </c>
      <c r="J525" s="2" t="n">
        <v>0</v>
      </c>
      <c r="K525" s="2" t="n">
        <v>47481</v>
      </c>
      <c r="L525" s="2" t="n">
        <v>32731</v>
      </c>
      <c r="M525" s="2" t="n">
        <v>2522</v>
      </c>
      <c r="N525" s="2" t="n">
        <v>141</v>
      </c>
      <c r="O525" s="2" t="n">
        <v>148</v>
      </c>
      <c r="P525" s="2" t="n">
        <v>722</v>
      </c>
      <c r="Q525" s="2" t="n">
        <v>783</v>
      </c>
      <c r="R525" s="2" t="n">
        <v>206</v>
      </c>
      <c r="S525" s="2" t="n">
        <v>23</v>
      </c>
      <c r="T525" s="2" t="s">
        <v>33</v>
      </c>
      <c r="U525" s="4" t="n">
        <f aca="false">(M525+N525+O525+P525)/L525</f>
        <v>0.107940484555926</v>
      </c>
      <c r="V525" s="2" t="str">
        <f aca="false">IF(S525&lt;=5,"Late night (0-5)",IF(S525&lt;=11,"Morning (6-11)",IF(S525&lt;=17,"Afternoon (12-17)","Evening (18-23)")))</f>
        <v>Evening (18-23)</v>
      </c>
    </row>
    <row r="526" customFormat="false" ht="15" hidden="false" customHeight="false" outlineLevel="0" collapsed="false">
      <c r="A526" s="2" t="s">
        <v>1062</v>
      </c>
      <c r="B526" s="2" t="s">
        <v>426</v>
      </c>
      <c r="C526" s="2" t="s">
        <v>30</v>
      </c>
      <c r="D526" s="3" t="n">
        <v>45892</v>
      </c>
      <c r="E526" s="2" t="s">
        <v>1050</v>
      </c>
      <c r="F526" s="2" t="s">
        <v>32</v>
      </c>
      <c r="G526" s="2" t="n">
        <v>40649</v>
      </c>
      <c r="H526" s="2" t="n">
        <v>20</v>
      </c>
      <c r="I526" s="2" t="n">
        <v>281</v>
      </c>
      <c r="J526" s="2" t="n">
        <v>0</v>
      </c>
      <c r="K526" s="2" t="n">
        <v>80478</v>
      </c>
      <c r="L526" s="2" t="n">
        <v>44842</v>
      </c>
      <c r="M526" s="2" t="n">
        <v>2414</v>
      </c>
      <c r="N526" s="2" t="n">
        <v>93</v>
      </c>
      <c r="O526" s="2" t="n">
        <v>262</v>
      </c>
      <c r="P526" s="2" t="n">
        <v>282</v>
      </c>
      <c r="Q526" s="2" t="n">
        <v>843</v>
      </c>
      <c r="R526" s="2" t="n">
        <v>92</v>
      </c>
      <c r="S526" s="2" t="n">
        <v>12</v>
      </c>
      <c r="T526" s="2" t="s">
        <v>62</v>
      </c>
      <c r="U526" s="4" t="n">
        <f aca="false">(M526+N526+O526+P526)/L526</f>
        <v>0.0680388921100754</v>
      </c>
      <c r="V526" s="2" t="str">
        <f aca="false">IF(S526&lt;=5,"Late night (0-5)",IF(S526&lt;=11,"Morning (6-11)",IF(S526&lt;=17,"Afternoon (12-17)","Evening (18-23)")))</f>
        <v>Afternoon (12-17)</v>
      </c>
    </row>
    <row r="527" customFormat="false" ht="15" hidden="false" customHeight="false" outlineLevel="0" collapsed="false">
      <c r="A527" s="2" t="s">
        <v>1063</v>
      </c>
      <c r="B527" s="2" t="s">
        <v>135</v>
      </c>
      <c r="C527" s="2" t="s">
        <v>36</v>
      </c>
      <c r="D527" s="3" t="n">
        <v>45932</v>
      </c>
      <c r="E527" s="2" t="s">
        <v>1064</v>
      </c>
      <c r="F527" s="2" t="s">
        <v>38</v>
      </c>
      <c r="G527" s="2" t="n">
        <v>45812</v>
      </c>
      <c r="H527" s="2" t="n">
        <v>5</v>
      </c>
      <c r="I527" s="2" t="n">
        <v>211</v>
      </c>
      <c r="J527" s="2" t="n">
        <v>0</v>
      </c>
      <c r="K527" s="2" t="n">
        <v>31230</v>
      </c>
      <c r="L527" s="2" t="n">
        <v>20589</v>
      </c>
      <c r="M527" s="2" t="n">
        <v>1407</v>
      </c>
      <c r="N527" s="2" t="n">
        <v>108</v>
      </c>
      <c r="O527" s="2" t="n">
        <v>123</v>
      </c>
      <c r="P527" s="2" t="n">
        <v>169</v>
      </c>
      <c r="Q527" s="2" t="n">
        <v>296</v>
      </c>
      <c r="R527" s="2" t="n">
        <v>74</v>
      </c>
      <c r="S527" s="2" t="n">
        <v>8</v>
      </c>
      <c r="T527" s="2" t="s">
        <v>79</v>
      </c>
      <c r="U527" s="4" t="n">
        <f aca="false">(M527+N527+O527+P527)/L527</f>
        <v>0.0877653115741415</v>
      </c>
      <c r="V527" s="2" t="str">
        <f aca="false">IF(S527&lt;=5,"Late night (0-5)",IF(S527&lt;=11,"Morning (6-11)",IF(S527&lt;=17,"Afternoon (12-17)","Evening (18-23)")))</f>
        <v>Morning (6-11)</v>
      </c>
    </row>
    <row r="528" customFormat="false" ht="15" hidden="false" customHeight="false" outlineLevel="0" collapsed="false">
      <c r="A528" s="2" t="s">
        <v>1065</v>
      </c>
      <c r="B528" s="2" t="s">
        <v>60</v>
      </c>
      <c r="C528" s="2" t="s">
        <v>41</v>
      </c>
      <c r="D528" s="3" t="n">
        <v>46008</v>
      </c>
      <c r="E528" s="2" t="s">
        <v>1066</v>
      </c>
      <c r="F528" s="2" t="s">
        <v>26</v>
      </c>
      <c r="G528" s="2" t="n">
        <v>7512</v>
      </c>
      <c r="H528" s="2" t="n">
        <v>23</v>
      </c>
      <c r="I528" s="2" t="n">
        <v>35</v>
      </c>
      <c r="J528" s="2" t="n">
        <v>0</v>
      </c>
      <c r="K528" s="2" t="n">
        <v>1765</v>
      </c>
      <c r="L528" s="2" t="n">
        <v>1243</v>
      </c>
      <c r="M528" s="2" t="n">
        <v>62</v>
      </c>
      <c r="N528" s="2" t="n">
        <v>2</v>
      </c>
      <c r="O528" s="2" t="n">
        <v>5</v>
      </c>
      <c r="P528" s="2" t="n">
        <v>5</v>
      </c>
      <c r="Q528" s="2" t="n">
        <v>7</v>
      </c>
      <c r="R528" s="2" t="n">
        <v>1</v>
      </c>
      <c r="S528" s="2" t="n">
        <v>3</v>
      </c>
      <c r="T528" s="2" t="s">
        <v>66</v>
      </c>
      <c r="U528" s="4" t="n">
        <f aca="false">(M528+N528+O528+P528)/L528</f>
        <v>0.0595333869670153</v>
      </c>
      <c r="V528" s="2" t="str">
        <f aca="false">IF(S528&lt;=5,"Late night (0-5)",IF(S528&lt;=11,"Morning (6-11)",IF(S528&lt;=17,"Afternoon (12-17)","Evening (18-23)")))</f>
        <v>Late night (0-5)</v>
      </c>
    </row>
    <row r="529" customFormat="false" ht="15" hidden="false" customHeight="false" outlineLevel="0" collapsed="false">
      <c r="A529" s="2" t="s">
        <v>1067</v>
      </c>
      <c r="B529" s="2" t="s">
        <v>360</v>
      </c>
      <c r="C529" s="2" t="s">
        <v>48</v>
      </c>
      <c r="D529" s="3" t="n">
        <v>45977</v>
      </c>
      <c r="E529" s="2" t="s">
        <v>1068</v>
      </c>
      <c r="F529" s="2" t="s">
        <v>38</v>
      </c>
      <c r="G529" s="2" t="n">
        <v>19542</v>
      </c>
      <c r="H529" s="2" t="n">
        <v>6</v>
      </c>
      <c r="I529" s="2" t="n">
        <v>139</v>
      </c>
      <c r="J529" s="2" t="n">
        <v>0</v>
      </c>
      <c r="K529" s="2" t="n">
        <v>10927</v>
      </c>
      <c r="L529" s="2" t="n">
        <v>6525</v>
      </c>
      <c r="M529" s="2" t="n">
        <v>355</v>
      </c>
      <c r="N529" s="2" t="n">
        <v>20</v>
      </c>
      <c r="O529" s="2" t="n">
        <v>42</v>
      </c>
      <c r="P529" s="2" t="n">
        <v>44</v>
      </c>
      <c r="Q529" s="2" t="n">
        <v>103</v>
      </c>
      <c r="R529" s="2" t="n">
        <v>26</v>
      </c>
      <c r="S529" s="2" t="n">
        <v>3</v>
      </c>
      <c r="T529" s="2" t="s">
        <v>27</v>
      </c>
      <c r="U529" s="4" t="n">
        <f aca="false">(M529+N529+O529+P529)/L529</f>
        <v>0.0706513409961686</v>
      </c>
      <c r="V529" s="2" t="str">
        <f aca="false">IF(S529&lt;=5,"Late night (0-5)",IF(S529&lt;=11,"Morning (6-11)",IF(S529&lt;=17,"Afternoon (12-17)","Evening (18-23)")))</f>
        <v>Late night (0-5)</v>
      </c>
    </row>
    <row r="530" customFormat="false" ht="15" hidden="false" customHeight="false" outlineLevel="0" collapsed="false">
      <c r="A530" s="2" t="s">
        <v>1069</v>
      </c>
      <c r="B530" s="2" t="s">
        <v>60</v>
      </c>
      <c r="C530" s="2" t="s">
        <v>41</v>
      </c>
      <c r="D530" s="3" t="n">
        <v>46004</v>
      </c>
      <c r="E530" s="2" t="s">
        <v>1070</v>
      </c>
      <c r="F530" s="2" t="s">
        <v>32</v>
      </c>
      <c r="G530" s="2" t="n">
        <v>7512</v>
      </c>
      <c r="H530" s="2" t="n">
        <v>17</v>
      </c>
      <c r="I530" s="2" t="n">
        <v>249</v>
      </c>
      <c r="J530" s="2" t="n">
        <v>1</v>
      </c>
      <c r="K530" s="2" t="n">
        <v>24222</v>
      </c>
      <c r="L530" s="2" t="n">
        <v>15640</v>
      </c>
      <c r="M530" s="2" t="n">
        <v>1177</v>
      </c>
      <c r="N530" s="2" t="n">
        <v>28</v>
      </c>
      <c r="O530" s="2" t="n">
        <v>253</v>
      </c>
      <c r="P530" s="2" t="n">
        <v>149</v>
      </c>
      <c r="Q530" s="2" t="n">
        <v>83</v>
      </c>
      <c r="R530" s="2" t="n">
        <v>7</v>
      </c>
      <c r="S530" s="2" t="n">
        <v>7</v>
      </c>
      <c r="T530" s="2" t="s">
        <v>62</v>
      </c>
      <c r="U530" s="4" t="n">
        <f aca="false">(M530+N530+O530+P530)/L530</f>
        <v>0.102749360613811</v>
      </c>
      <c r="V530" s="2" t="str">
        <f aca="false">IF(S530&lt;=5,"Late night (0-5)",IF(S530&lt;=11,"Morning (6-11)",IF(S530&lt;=17,"Afternoon (12-17)","Evening (18-23)")))</f>
        <v>Morning (6-11)</v>
      </c>
    </row>
    <row r="531" customFormat="false" ht="15" hidden="false" customHeight="false" outlineLevel="0" collapsed="false">
      <c r="A531" s="2" t="s">
        <v>1071</v>
      </c>
      <c r="B531" s="2" t="s">
        <v>47</v>
      </c>
      <c r="C531" s="2" t="s">
        <v>48</v>
      </c>
      <c r="D531" s="3" t="n">
        <v>46007</v>
      </c>
      <c r="E531" s="2" t="s">
        <v>391</v>
      </c>
      <c r="F531" s="2" t="s">
        <v>32</v>
      </c>
      <c r="G531" s="2" t="n">
        <v>19609</v>
      </c>
      <c r="H531" s="2" t="n">
        <v>19</v>
      </c>
      <c r="I531" s="2" t="n">
        <v>237</v>
      </c>
      <c r="J531" s="2" t="n">
        <v>0</v>
      </c>
      <c r="K531" s="2" t="n">
        <v>64805</v>
      </c>
      <c r="L531" s="2" t="n">
        <v>54929</v>
      </c>
      <c r="M531" s="2" t="n">
        <v>5654</v>
      </c>
      <c r="N531" s="2" t="n">
        <v>434</v>
      </c>
      <c r="O531" s="2" t="n">
        <v>708</v>
      </c>
      <c r="P531" s="2" t="n">
        <v>784</v>
      </c>
      <c r="Q531" s="2" t="n">
        <v>895</v>
      </c>
      <c r="R531" s="2" t="n">
        <v>137</v>
      </c>
      <c r="S531" s="2" t="n">
        <v>20</v>
      </c>
      <c r="T531" s="2" t="s">
        <v>51</v>
      </c>
      <c r="U531" s="4" t="n">
        <f aca="false">(M531+N531+O531+P531)/L531</f>
        <v>0.137996322525442</v>
      </c>
      <c r="V531" s="2" t="str">
        <f aca="false">IF(S531&lt;=5,"Late night (0-5)",IF(S531&lt;=11,"Morning (6-11)",IF(S531&lt;=17,"Afternoon (12-17)","Evening (18-23)")))</f>
        <v>Evening (18-23)</v>
      </c>
    </row>
    <row r="532" customFormat="false" ht="15" hidden="false" customHeight="false" outlineLevel="0" collapsed="false">
      <c r="A532" s="2" t="s">
        <v>1072</v>
      </c>
      <c r="B532" s="2" t="s">
        <v>35</v>
      </c>
      <c r="C532" s="2" t="s">
        <v>36</v>
      </c>
      <c r="D532" s="3" t="n">
        <v>45756</v>
      </c>
      <c r="E532" s="2" t="s">
        <v>592</v>
      </c>
      <c r="F532" s="2" t="s">
        <v>38</v>
      </c>
      <c r="G532" s="2" t="n">
        <v>33933</v>
      </c>
      <c r="H532" s="2" t="n">
        <v>13</v>
      </c>
      <c r="I532" s="2" t="n">
        <v>220</v>
      </c>
      <c r="J532" s="2" t="n">
        <v>1</v>
      </c>
      <c r="K532" s="2" t="n">
        <v>17798</v>
      </c>
      <c r="L532" s="2" t="n">
        <v>11219</v>
      </c>
      <c r="M532" s="2" t="n">
        <v>581</v>
      </c>
      <c r="N532" s="2" t="n">
        <v>12</v>
      </c>
      <c r="O532" s="2" t="n">
        <v>115</v>
      </c>
      <c r="P532" s="2" t="n">
        <v>106</v>
      </c>
      <c r="Q532" s="2" t="n">
        <v>166</v>
      </c>
      <c r="R532" s="2" t="n">
        <v>29</v>
      </c>
      <c r="S532" s="2" t="n">
        <v>2</v>
      </c>
      <c r="T532" s="2" t="s">
        <v>66</v>
      </c>
      <c r="U532" s="4" t="n">
        <f aca="false">(M532+N532+O532+P532)/L532</f>
        <v>0.0725554862287191</v>
      </c>
      <c r="V532" s="2" t="str">
        <f aca="false">IF(S532&lt;=5,"Late night (0-5)",IF(S532&lt;=11,"Morning (6-11)",IF(S532&lt;=17,"Afternoon (12-17)","Evening (18-23)")))</f>
        <v>Late night (0-5)</v>
      </c>
    </row>
    <row r="533" customFormat="false" ht="15" hidden="false" customHeight="false" outlineLevel="0" collapsed="false">
      <c r="A533" s="2" t="s">
        <v>1073</v>
      </c>
      <c r="B533" s="2" t="s">
        <v>360</v>
      </c>
      <c r="C533" s="2" t="s">
        <v>48</v>
      </c>
      <c r="D533" s="3" t="n">
        <v>45974</v>
      </c>
      <c r="E533" s="2" t="s">
        <v>619</v>
      </c>
      <c r="F533" s="2" t="s">
        <v>38</v>
      </c>
      <c r="G533" s="2" t="n">
        <v>19542</v>
      </c>
      <c r="H533" s="2" t="n">
        <v>14</v>
      </c>
      <c r="I533" s="2" t="n">
        <v>196</v>
      </c>
      <c r="J533" s="2" t="n">
        <v>0</v>
      </c>
      <c r="K533" s="2" t="n">
        <v>5137</v>
      </c>
      <c r="L533" s="2" t="n">
        <v>4061</v>
      </c>
      <c r="M533" s="2" t="n">
        <v>124</v>
      </c>
      <c r="N533" s="2" t="n">
        <v>5</v>
      </c>
      <c r="O533" s="2" t="n">
        <v>10</v>
      </c>
      <c r="P533" s="2" t="n">
        <v>7</v>
      </c>
      <c r="Q533" s="2" t="n">
        <v>83</v>
      </c>
      <c r="R533" s="2" t="n">
        <v>17</v>
      </c>
      <c r="S533" s="2" t="n">
        <v>17</v>
      </c>
      <c r="T533" s="2" t="s">
        <v>79</v>
      </c>
      <c r="U533" s="4" t="n">
        <f aca="false">(M533+N533+O533+P533)/L533</f>
        <v>0.0359517360256095</v>
      </c>
      <c r="V533" s="2" t="str">
        <f aca="false">IF(S533&lt;=5,"Late night (0-5)",IF(S533&lt;=11,"Morning (6-11)",IF(S533&lt;=17,"Afternoon (12-17)","Evening (18-23)")))</f>
        <v>Afternoon (12-17)</v>
      </c>
    </row>
    <row r="534" customFormat="false" ht="15" hidden="false" customHeight="false" outlineLevel="0" collapsed="false">
      <c r="A534" s="2" t="s">
        <v>1074</v>
      </c>
      <c r="B534" s="2" t="s">
        <v>227</v>
      </c>
      <c r="C534" s="2" t="s">
        <v>54</v>
      </c>
      <c r="D534" s="3" t="n">
        <v>45927</v>
      </c>
      <c r="E534" s="2" t="s">
        <v>1075</v>
      </c>
      <c r="F534" s="2" t="s">
        <v>38</v>
      </c>
      <c r="G534" s="2" t="n">
        <v>11796</v>
      </c>
      <c r="H534" s="2" t="n">
        <v>12</v>
      </c>
      <c r="I534" s="2" t="n">
        <v>295</v>
      </c>
      <c r="J534" s="2" t="n">
        <v>0</v>
      </c>
      <c r="K534" s="2" t="n">
        <v>15232</v>
      </c>
      <c r="L534" s="2" t="n">
        <v>8537</v>
      </c>
      <c r="M534" s="2" t="n">
        <v>483</v>
      </c>
      <c r="N534" s="2" t="n">
        <v>19</v>
      </c>
      <c r="O534" s="2" t="n">
        <v>45</v>
      </c>
      <c r="P534" s="2" t="n">
        <v>40</v>
      </c>
      <c r="Q534" s="2" t="n">
        <v>106</v>
      </c>
      <c r="R534" s="2" t="n">
        <v>7</v>
      </c>
      <c r="S534" s="2" t="n">
        <v>11</v>
      </c>
      <c r="T534" s="2" t="s">
        <v>62</v>
      </c>
      <c r="U534" s="4" t="n">
        <f aca="false">(M534+N534+O534+P534)/L534</f>
        <v>0.0687595173948694</v>
      </c>
      <c r="V534" s="2" t="str">
        <f aca="false">IF(S534&lt;=5,"Late night (0-5)",IF(S534&lt;=11,"Morning (6-11)",IF(S534&lt;=17,"Afternoon (12-17)","Evening (18-23)")))</f>
        <v>Morning (6-11)</v>
      </c>
    </row>
    <row r="535" customFormat="false" ht="15" hidden="false" customHeight="false" outlineLevel="0" collapsed="false">
      <c r="A535" s="2" t="s">
        <v>1076</v>
      </c>
      <c r="B535" s="2" t="s">
        <v>57</v>
      </c>
      <c r="C535" s="2" t="s">
        <v>24</v>
      </c>
      <c r="D535" s="3" t="n">
        <v>45931</v>
      </c>
      <c r="E535" s="2" t="s">
        <v>947</v>
      </c>
      <c r="F535" s="2" t="s">
        <v>38</v>
      </c>
      <c r="G535" s="2" t="n">
        <v>31021</v>
      </c>
      <c r="H535" s="2" t="n">
        <v>20</v>
      </c>
      <c r="I535" s="2" t="n">
        <v>203</v>
      </c>
      <c r="J535" s="2" t="n">
        <v>0</v>
      </c>
      <c r="K535" s="2" t="n">
        <v>17555</v>
      </c>
      <c r="L535" s="2" t="n">
        <v>11749</v>
      </c>
      <c r="M535" s="2" t="n">
        <v>877</v>
      </c>
      <c r="N535" s="2" t="n">
        <v>59</v>
      </c>
      <c r="O535" s="2" t="n">
        <v>71</v>
      </c>
      <c r="P535" s="2" t="n">
        <v>246</v>
      </c>
      <c r="Q535" s="2" t="n">
        <v>162</v>
      </c>
      <c r="R535" s="2" t="n">
        <v>19</v>
      </c>
      <c r="S535" s="2" t="n">
        <v>14</v>
      </c>
      <c r="T535" s="2" t="s">
        <v>66</v>
      </c>
      <c r="U535" s="4" t="n">
        <f aca="false">(M535+N535+O535+P535)/L535</f>
        <v>0.106647374244617</v>
      </c>
      <c r="V535" s="2" t="str">
        <f aca="false">IF(S535&lt;=5,"Late night (0-5)",IF(S535&lt;=11,"Morning (6-11)",IF(S535&lt;=17,"Afternoon (12-17)","Evening (18-23)")))</f>
        <v>Afternoon (12-17)</v>
      </c>
    </row>
    <row r="536" customFormat="false" ht="15" hidden="false" customHeight="false" outlineLevel="0" collapsed="false">
      <c r="A536" s="2" t="s">
        <v>1077</v>
      </c>
      <c r="B536" s="2" t="s">
        <v>83</v>
      </c>
      <c r="C536" s="2" t="s">
        <v>84</v>
      </c>
      <c r="D536" s="3" t="n">
        <v>45857</v>
      </c>
      <c r="E536" s="2" t="s">
        <v>1078</v>
      </c>
      <c r="F536" s="2" t="s">
        <v>26</v>
      </c>
      <c r="G536" s="2" t="n">
        <v>17918</v>
      </c>
      <c r="H536" s="2" t="n">
        <v>15</v>
      </c>
      <c r="I536" s="2" t="n">
        <v>317</v>
      </c>
      <c r="J536" s="2" t="n">
        <v>0</v>
      </c>
      <c r="K536" s="2" t="n">
        <v>38845</v>
      </c>
      <c r="L536" s="2" t="n">
        <v>27160</v>
      </c>
      <c r="M536" s="2" t="n">
        <v>1338</v>
      </c>
      <c r="N536" s="2" t="n">
        <v>33</v>
      </c>
      <c r="O536" s="2" t="n">
        <v>95</v>
      </c>
      <c r="P536" s="2" t="n">
        <v>98</v>
      </c>
      <c r="Q536" s="2" t="n">
        <v>805</v>
      </c>
      <c r="R536" s="2" t="n">
        <v>85</v>
      </c>
      <c r="S536" s="2" t="n">
        <v>13</v>
      </c>
      <c r="T536" s="2" t="s">
        <v>62</v>
      </c>
      <c r="U536" s="4" t="n">
        <f aca="false">(M536+N536+O536+P536)/L536</f>
        <v>0.0575846833578792</v>
      </c>
      <c r="V536" s="2" t="str">
        <f aca="false">IF(S536&lt;=5,"Late night (0-5)",IF(S536&lt;=11,"Morning (6-11)",IF(S536&lt;=17,"Afternoon (12-17)","Evening (18-23)")))</f>
        <v>Afternoon (12-17)</v>
      </c>
    </row>
    <row r="537" customFormat="false" ht="15" hidden="false" customHeight="false" outlineLevel="0" collapsed="false">
      <c r="A537" s="2" t="s">
        <v>1079</v>
      </c>
      <c r="B537" s="2" t="s">
        <v>141</v>
      </c>
      <c r="C537" s="2" t="s">
        <v>48</v>
      </c>
      <c r="D537" s="3" t="n">
        <v>45745</v>
      </c>
      <c r="E537" s="2" t="s">
        <v>636</v>
      </c>
      <c r="F537" s="2" t="s">
        <v>26</v>
      </c>
      <c r="G537" s="2" t="n">
        <v>16119</v>
      </c>
      <c r="H537" s="2" t="n">
        <v>11</v>
      </c>
      <c r="I537" s="2" t="n">
        <v>102</v>
      </c>
      <c r="J537" s="2" t="n">
        <v>1</v>
      </c>
      <c r="K537" s="2" t="n">
        <v>12123</v>
      </c>
      <c r="L537" s="2" t="n">
        <v>8682</v>
      </c>
      <c r="M537" s="2" t="n">
        <v>571</v>
      </c>
      <c r="N537" s="2" t="n">
        <v>18</v>
      </c>
      <c r="O537" s="2" t="n">
        <v>58</v>
      </c>
      <c r="P537" s="2" t="n">
        <v>203</v>
      </c>
      <c r="Q537" s="2" t="n">
        <v>244</v>
      </c>
      <c r="R537" s="2" t="n">
        <v>69</v>
      </c>
      <c r="S537" s="2" t="n">
        <v>16</v>
      </c>
      <c r="T537" s="2" t="s">
        <v>62</v>
      </c>
      <c r="U537" s="4" t="n">
        <f aca="false">(M537+N537+O537+P537)/L537</f>
        <v>0.0979037088228519</v>
      </c>
      <c r="V537" s="2" t="str">
        <f aca="false">IF(S537&lt;=5,"Late night (0-5)",IF(S537&lt;=11,"Morning (6-11)",IF(S537&lt;=17,"Afternoon (12-17)","Evening (18-23)")))</f>
        <v>Afternoon (12-17)</v>
      </c>
    </row>
    <row r="538" customFormat="false" ht="15" hidden="false" customHeight="false" outlineLevel="0" collapsed="false">
      <c r="A538" s="2" t="s">
        <v>1080</v>
      </c>
      <c r="B538" s="2" t="s">
        <v>44</v>
      </c>
      <c r="C538" s="2" t="s">
        <v>36</v>
      </c>
      <c r="D538" s="3" t="n">
        <v>45713</v>
      </c>
      <c r="E538" s="2" t="s">
        <v>563</v>
      </c>
      <c r="F538" s="2" t="s">
        <v>32</v>
      </c>
      <c r="G538" s="2" t="n">
        <v>6265</v>
      </c>
      <c r="H538" s="2" t="n">
        <v>19</v>
      </c>
      <c r="I538" s="2" t="n">
        <v>96</v>
      </c>
      <c r="J538" s="2" t="n">
        <v>1</v>
      </c>
      <c r="K538" s="2" t="n">
        <v>23992</v>
      </c>
      <c r="L538" s="2" t="n">
        <v>14679</v>
      </c>
      <c r="M538" s="2" t="n">
        <v>1047</v>
      </c>
      <c r="N538" s="2" t="n">
        <v>36</v>
      </c>
      <c r="O538" s="2" t="n">
        <v>124</v>
      </c>
      <c r="P538" s="2" t="n">
        <v>212</v>
      </c>
      <c r="Q538" s="2" t="n">
        <v>163</v>
      </c>
      <c r="R538" s="2" t="n">
        <v>21</v>
      </c>
      <c r="S538" s="2" t="n">
        <v>7</v>
      </c>
      <c r="T538" s="2" t="s">
        <v>51</v>
      </c>
      <c r="U538" s="4" t="n">
        <f aca="false">(M538+N538+O538+P538)/L538</f>
        <v>0.096668710402616</v>
      </c>
      <c r="V538" s="2" t="str">
        <f aca="false">IF(S538&lt;=5,"Late night (0-5)",IF(S538&lt;=11,"Morning (6-11)",IF(S538&lt;=17,"Afternoon (12-17)","Evening (18-23)")))</f>
        <v>Morning (6-11)</v>
      </c>
    </row>
    <row r="539" customFormat="false" ht="15" hidden="false" customHeight="false" outlineLevel="0" collapsed="false">
      <c r="A539" s="2" t="s">
        <v>1081</v>
      </c>
      <c r="B539" s="2" t="s">
        <v>77</v>
      </c>
      <c r="C539" s="2" t="s">
        <v>30</v>
      </c>
      <c r="D539" s="3" t="n">
        <v>45846</v>
      </c>
      <c r="E539" s="2" t="s">
        <v>969</v>
      </c>
      <c r="F539" s="2" t="s">
        <v>50</v>
      </c>
      <c r="G539" s="2" t="n">
        <v>17548</v>
      </c>
      <c r="H539" s="2" t="n">
        <v>3</v>
      </c>
      <c r="I539" s="2" t="n">
        <v>202</v>
      </c>
      <c r="J539" s="2" t="n">
        <v>1</v>
      </c>
      <c r="K539" s="2" t="n">
        <v>13073</v>
      </c>
      <c r="L539" s="2" t="n">
        <v>8155</v>
      </c>
      <c r="M539" s="2" t="n">
        <v>555</v>
      </c>
      <c r="N539" s="2" t="n">
        <v>33</v>
      </c>
      <c r="O539" s="2" t="n">
        <v>89</v>
      </c>
      <c r="P539" s="2" t="n">
        <v>159</v>
      </c>
      <c r="Q539" s="2" t="n">
        <v>153</v>
      </c>
      <c r="R539" s="2" t="n">
        <v>42</v>
      </c>
      <c r="S539" s="2" t="n">
        <v>22</v>
      </c>
      <c r="T539" s="2" t="s">
        <v>51</v>
      </c>
      <c r="U539" s="4" t="n">
        <f aca="false">(M539+N539+O539+P539)/L539</f>
        <v>0.102513795217658</v>
      </c>
      <c r="V539" s="2" t="str">
        <f aca="false">IF(S539&lt;=5,"Late night (0-5)",IF(S539&lt;=11,"Morning (6-11)",IF(S539&lt;=17,"Afternoon (12-17)","Evening (18-23)")))</f>
        <v>Evening (18-23)</v>
      </c>
    </row>
    <row r="540" customFormat="false" ht="15" hidden="false" customHeight="false" outlineLevel="0" collapsed="false">
      <c r="A540" s="2" t="s">
        <v>1082</v>
      </c>
      <c r="B540" s="2" t="s">
        <v>409</v>
      </c>
      <c r="C540" s="2" t="s">
        <v>48</v>
      </c>
      <c r="D540" s="3" t="n">
        <v>45803</v>
      </c>
      <c r="E540" s="2" t="s">
        <v>81</v>
      </c>
      <c r="F540" s="2" t="s">
        <v>32</v>
      </c>
      <c r="G540" s="2" t="n">
        <v>31525</v>
      </c>
      <c r="H540" s="2" t="n">
        <v>14</v>
      </c>
      <c r="I540" s="2" t="n">
        <v>99</v>
      </c>
      <c r="J540" s="2" t="n">
        <v>0</v>
      </c>
      <c r="K540" s="2" t="n">
        <v>119994</v>
      </c>
      <c r="L540" s="2" t="n">
        <v>83813</v>
      </c>
      <c r="M540" s="2" t="n">
        <v>7781</v>
      </c>
      <c r="N540" s="2" t="n">
        <v>373</v>
      </c>
      <c r="O540" s="2" t="n">
        <v>2068</v>
      </c>
      <c r="P540" s="2" t="n">
        <v>1652</v>
      </c>
      <c r="Q540" s="2" t="n">
        <v>2381</v>
      </c>
      <c r="R540" s="2" t="n">
        <v>712</v>
      </c>
      <c r="S540" s="2" t="n">
        <v>21</v>
      </c>
      <c r="T540" s="2" t="s">
        <v>33</v>
      </c>
      <c r="U540" s="4" t="n">
        <f aca="false">(M540+N540+O540+P540)/L540</f>
        <v>0.141672532900624</v>
      </c>
      <c r="V540" s="2" t="str">
        <f aca="false">IF(S540&lt;=5,"Late night (0-5)",IF(S540&lt;=11,"Morning (6-11)",IF(S540&lt;=17,"Afternoon (12-17)","Evening (18-23)")))</f>
        <v>Evening (18-23)</v>
      </c>
    </row>
    <row r="541" customFormat="false" ht="15" hidden="false" customHeight="false" outlineLevel="0" collapsed="false">
      <c r="A541" s="2" t="s">
        <v>1083</v>
      </c>
      <c r="B541" s="2" t="s">
        <v>374</v>
      </c>
      <c r="C541" s="2" t="s">
        <v>24</v>
      </c>
      <c r="D541" s="3" t="n">
        <v>45987</v>
      </c>
      <c r="E541" s="2" t="s">
        <v>42</v>
      </c>
      <c r="F541" s="2" t="s">
        <v>38</v>
      </c>
      <c r="G541" s="2" t="n">
        <v>9509</v>
      </c>
      <c r="H541" s="2" t="n">
        <v>13</v>
      </c>
      <c r="I541" s="2" t="n">
        <v>228</v>
      </c>
      <c r="J541" s="2" t="n">
        <v>1</v>
      </c>
      <c r="K541" s="2" t="n">
        <v>7226</v>
      </c>
      <c r="L541" s="2" t="n">
        <v>4377</v>
      </c>
      <c r="M541" s="2" t="n">
        <v>216</v>
      </c>
      <c r="N541" s="2" t="n">
        <v>14</v>
      </c>
      <c r="O541" s="2" t="n">
        <v>30</v>
      </c>
      <c r="P541" s="2" t="n">
        <v>48</v>
      </c>
      <c r="Q541" s="2" t="n">
        <v>53</v>
      </c>
      <c r="R541" s="2" t="n">
        <v>8</v>
      </c>
      <c r="S541" s="2" t="n">
        <v>12</v>
      </c>
      <c r="T541" s="2" t="s">
        <v>66</v>
      </c>
      <c r="U541" s="4" t="n">
        <f aca="false">(M541+N541+O541+P541)/L541</f>
        <v>0.0703678318482979</v>
      </c>
      <c r="V541" s="2" t="str">
        <f aca="false">IF(S541&lt;=5,"Late night (0-5)",IF(S541&lt;=11,"Morning (6-11)",IF(S541&lt;=17,"Afternoon (12-17)","Evening (18-23)")))</f>
        <v>Afternoon (12-17)</v>
      </c>
    </row>
    <row r="542" customFormat="false" ht="15" hidden="false" customHeight="false" outlineLevel="0" collapsed="false">
      <c r="A542" s="2" t="s">
        <v>1084</v>
      </c>
      <c r="B542" s="2" t="s">
        <v>98</v>
      </c>
      <c r="C542" s="2" t="s">
        <v>54</v>
      </c>
      <c r="D542" s="3" t="n">
        <v>45773</v>
      </c>
      <c r="E542" s="2" t="s">
        <v>325</v>
      </c>
      <c r="F542" s="2" t="s">
        <v>50</v>
      </c>
      <c r="G542" s="2" t="n">
        <v>18366</v>
      </c>
      <c r="H542" s="2" t="n">
        <v>16</v>
      </c>
      <c r="I542" s="2" t="n">
        <v>35</v>
      </c>
      <c r="J542" s="2" t="n">
        <v>0</v>
      </c>
      <c r="K542" s="2" t="n">
        <v>18916</v>
      </c>
      <c r="L542" s="2" t="n">
        <v>16475</v>
      </c>
      <c r="M542" s="2" t="n">
        <v>1319</v>
      </c>
      <c r="N542" s="2" t="n">
        <v>67</v>
      </c>
      <c r="O542" s="2" t="n">
        <v>242</v>
      </c>
      <c r="P542" s="2" t="n">
        <v>355</v>
      </c>
      <c r="Q542" s="2" t="n">
        <v>417</v>
      </c>
      <c r="R542" s="2" t="n">
        <v>74</v>
      </c>
      <c r="S542" s="2" t="n">
        <v>7</v>
      </c>
      <c r="T542" s="2" t="s">
        <v>62</v>
      </c>
      <c r="U542" s="4" t="n">
        <f aca="false">(M542+N542+O542+P542)/L542</f>
        <v>0.120364188163885</v>
      </c>
      <c r="V542" s="2" t="str">
        <f aca="false">IF(S542&lt;=5,"Late night (0-5)",IF(S542&lt;=11,"Morning (6-11)",IF(S542&lt;=17,"Afternoon (12-17)","Evening (18-23)")))</f>
        <v>Morning (6-11)</v>
      </c>
    </row>
    <row r="543" customFormat="false" ht="15" hidden="false" customHeight="false" outlineLevel="0" collapsed="false">
      <c r="A543" s="2" t="s">
        <v>1085</v>
      </c>
      <c r="B543" s="2" t="s">
        <v>227</v>
      </c>
      <c r="C543" s="2" t="s">
        <v>54</v>
      </c>
      <c r="D543" s="3" t="n">
        <v>45694</v>
      </c>
      <c r="E543" s="2" t="s">
        <v>1086</v>
      </c>
      <c r="F543" s="2" t="s">
        <v>26</v>
      </c>
      <c r="G543" s="2" t="n">
        <v>11796</v>
      </c>
      <c r="H543" s="2" t="n">
        <v>4</v>
      </c>
      <c r="I543" s="2" t="n">
        <v>235</v>
      </c>
      <c r="J543" s="2" t="n">
        <v>0</v>
      </c>
      <c r="K543" s="2" t="n">
        <v>7360</v>
      </c>
      <c r="L543" s="2" t="n">
        <v>5355</v>
      </c>
      <c r="M543" s="2" t="n">
        <v>298</v>
      </c>
      <c r="N543" s="2" t="n">
        <v>13</v>
      </c>
      <c r="O543" s="2" t="n">
        <v>59</v>
      </c>
      <c r="P543" s="2" t="n">
        <v>94</v>
      </c>
      <c r="Q543" s="2" t="n">
        <v>74</v>
      </c>
      <c r="R543" s="2" t="n">
        <v>10</v>
      </c>
      <c r="S543" s="2" t="n">
        <v>4</v>
      </c>
      <c r="T543" s="2" t="s">
        <v>79</v>
      </c>
      <c r="U543" s="4" t="n">
        <f aca="false">(M543+N543+O543+P543)/L543</f>
        <v>0.0866479925303455</v>
      </c>
      <c r="V543" s="2" t="str">
        <f aca="false">IF(S543&lt;=5,"Late night (0-5)",IF(S543&lt;=11,"Morning (6-11)",IF(S543&lt;=17,"Afternoon (12-17)","Evening (18-23)")))</f>
        <v>Late night (0-5)</v>
      </c>
    </row>
    <row r="544" customFormat="false" ht="15" hidden="false" customHeight="false" outlineLevel="0" collapsed="false">
      <c r="A544" s="2" t="s">
        <v>1087</v>
      </c>
      <c r="B544" s="2" t="s">
        <v>426</v>
      </c>
      <c r="C544" s="2" t="s">
        <v>30</v>
      </c>
      <c r="D544" s="3" t="n">
        <v>46009</v>
      </c>
      <c r="E544" s="2" t="s">
        <v>1088</v>
      </c>
      <c r="F544" s="2" t="s">
        <v>32</v>
      </c>
      <c r="G544" s="2" t="n">
        <v>40649</v>
      </c>
      <c r="H544" s="2" t="n">
        <v>11</v>
      </c>
      <c r="I544" s="2" t="n">
        <v>218</v>
      </c>
      <c r="J544" s="2" t="n">
        <v>0</v>
      </c>
      <c r="K544" s="2" t="n">
        <v>60082</v>
      </c>
      <c r="L544" s="2" t="n">
        <v>38718</v>
      </c>
      <c r="M544" s="2" t="n">
        <v>3533</v>
      </c>
      <c r="N544" s="2" t="n">
        <v>86</v>
      </c>
      <c r="O544" s="2" t="n">
        <v>393</v>
      </c>
      <c r="P544" s="2" t="n">
        <v>637</v>
      </c>
      <c r="Q544" s="2" t="n">
        <v>945</v>
      </c>
      <c r="R544" s="2" t="n">
        <v>247</v>
      </c>
      <c r="S544" s="2" t="n">
        <v>7</v>
      </c>
      <c r="T544" s="2" t="s">
        <v>79</v>
      </c>
      <c r="U544" s="4" t="n">
        <f aca="false">(M544+N544+O544+P544)/L544</f>
        <v>0.120073350896224</v>
      </c>
      <c r="V544" s="2" t="str">
        <f aca="false">IF(S544&lt;=5,"Late night (0-5)",IF(S544&lt;=11,"Morning (6-11)",IF(S544&lt;=17,"Afternoon (12-17)","Evening (18-23)")))</f>
        <v>Morning (6-11)</v>
      </c>
    </row>
    <row r="545" customFormat="false" ht="15" hidden="false" customHeight="false" outlineLevel="0" collapsed="false">
      <c r="A545" s="2" t="s">
        <v>1089</v>
      </c>
      <c r="B545" s="2" t="s">
        <v>47</v>
      </c>
      <c r="C545" s="2" t="s">
        <v>48</v>
      </c>
      <c r="D545" s="3" t="n">
        <v>45692</v>
      </c>
      <c r="E545" s="2" t="s">
        <v>463</v>
      </c>
      <c r="F545" s="2" t="s">
        <v>50</v>
      </c>
      <c r="G545" s="2" t="n">
        <v>19609</v>
      </c>
      <c r="H545" s="2" t="n">
        <v>3</v>
      </c>
      <c r="I545" s="2" t="n">
        <v>198</v>
      </c>
      <c r="J545" s="2" t="n">
        <v>0</v>
      </c>
      <c r="K545" s="2" t="n">
        <v>23904</v>
      </c>
      <c r="L545" s="2" t="n">
        <v>20781</v>
      </c>
      <c r="M545" s="2" t="n">
        <v>1266</v>
      </c>
      <c r="N545" s="2" t="n">
        <v>61</v>
      </c>
      <c r="O545" s="2" t="n">
        <v>236</v>
      </c>
      <c r="P545" s="2" t="n">
        <v>219</v>
      </c>
      <c r="Q545" s="2" t="n">
        <v>347</v>
      </c>
      <c r="R545" s="2" t="n">
        <v>100</v>
      </c>
      <c r="S545" s="2" t="n">
        <v>13</v>
      </c>
      <c r="T545" s="2" t="s">
        <v>51</v>
      </c>
      <c r="U545" s="4" t="n">
        <f aca="false">(M545+N545+O545+P545)/L545</f>
        <v>0.0857514075357298</v>
      </c>
      <c r="V545" s="2" t="str">
        <f aca="false">IF(S545&lt;=5,"Late night (0-5)",IF(S545&lt;=11,"Morning (6-11)",IF(S545&lt;=17,"Afternoon (12-17)","Evening (18-23)")))</f>
        <v>Afternoon (12-17)</v>
      </c>
    </row>
    <row r="546" customFormat="false" ht="15" hidden="false" customHeight="false" outlineLevel="0" collapsed="false">
      <c r="A546" s="2" t="s">
        <v>1090</v>
      </c>
      <c r="B546" s="2" t="s">
        <v>181</v>
      </c>
      <c r="C546" s="2" t="s">
        <v>91</v>
      </c>
      <c r="D546" s="3" t="n">
        <v>45750</v>
      </c>
      <c r="E546" s="2" t="s">
        <v>453</v>
      </c>
      <c r="F546" s="2" t="s">
        <v>38</v>
      </c>
      <c r="G546" s="2" t="n">
        <v>31658</v>
      </c>
      <c r="H546" s="2" t="n">
        <v>10</v>
      </c>
      <c r="I546" s="2" t="n">
        <v>184</v>
      </c>
      <c r="J546" s="2" t="n">
        <v>1</v>
      </c>
      <c r="K546" s="2" t="n">
        <v>5701</v>
      </c>
      <c r="L546" s="2" t="n">
        <v>4911</v>
      </c>
      <c r="M546" s="2" t="n">
        <v>262</v>
      </c>
      <c r="N546" s="2" t="n">
        <v>5</v>
      </c>
      <c r="O546" s="2" t="n">
        <v>22</v>
      </c>
      <c r="P546" s="2" t="n">
        <v>76</v>
      </c>
      <c r="Q546" s="2" t="n">
        <v>86</v>
      </c>
      <c r="R546" s="2" t="n">
        <v>21</v>
      </c>
      <c r="S546" s="2" t="n">
        <v>11</v>
      </c>
      <c r="T546" s="2" t="s">
        <v>79</v>
      </c>
      <c r="U546" s="4" t="n">
        <f aca="false">(M546+N546+O546+P546)/L546</f>
        <v>0.0743229484829974</v>
      </c>
      <c r="V546" s="2" t="str">
        <f aca="false">IF(S546&lt;=5,"Late night (0-5)",IF(S546&lt;=11,"Morning (6-11)",IF(S546&lt;=17,"Afternoon (12-17)","Evening (18-23)")))</f>
        <v>Morning (6-11)</v>
      </c>
    </row>
    <row r="547" customFormat="false" ht="15" hidden="false" customHeight="false" outlineLevel="0" collapsed="false">
      <c r="A547" s="2" t="s">
        <v>1091</v>
      </c>
      <c r="B547" s="2" t="s">
        <v>71</v>
      </c>
      <c r="C547" s="2" t="s">
        <v>48</v>
      </c>
      <c r="D547" s="3" t="n">
        <v>45742</v>
      </c>
      <c r="E547" s="2" t="s">
        <v>1092</v>
      </c>
      <c r="F547" s="2" t="s">
        <v>38</v>
      </c>
      <c r="G547" s="2" t="n">
        <v>7316</v>
      </c>
      <c r="H547" s="2" t="n">
        <v>0</v>
      </c>
      <c r="I547" s="2" t="n">
        <v>131</v>
      </c>
      <c r="J547" s="2" t="n">
        <v>1</v>
      </c>
      <c r="K547" s="2" t="n">
        <v>4999</v>
      </c>
      <c r="L547" s="2" t="n">
        <v>3793</v>
      </c>
      <c r="M547" s="2" t="n">
        <v>264</v>
      </c>
      <c r="N547" s="2" t="n">
        <v>20</v>
      </c>
      <c r="O547" s="2" t="n">
        <v>37</v>
      </c>
      <c r="P547" s="2" t="n">
        <v>47</v>
      </c>
      <c r="Q547" s="2" t="n">
        <v>68</v>
      </c>
      <c r="R547" s="2" t="n">
        <v>9</v>
      </c>
      <c r="S547" s="2" t="n">
        <v>21</v>
      </c>
      <c r="T547" s="2" t="s">
        <v>66</v>
      </c>
      <c r="U547" s="4" t="n">
        <f aca="false">(M547+N547+O547+P547)/L547</f>
        <v>0.0970208278407593</v>
      </c>
      <c r="V547" s="2" t="str">
        <f aca="false">IF(S547&lt;=5,"Late night (0-5)",IF(S547&lt;=11,"Morning (6-11)",IF(S547&lt;=17,"Afternoon (12-17)","Evening (18-23)")))</f>
        <v>Evening (18-23)</v>
      </c>
    </row>
    <row r="548" customFormat="false" ht="15" hidden="false" customHeight="false" outlineLevel="0" collapsed="false">
      <c r="A548" s="2" t="s">
        <v>1093</v>
      </c>
      <c r="B548" s="2" t="s">
        <v>103</v>
      </c>
      <c r="C548" s="2" t="s">
        <v>36</v>
      </c>
      <c r="D548" s="3" t="n">
        <v>46004</v>
      </c>
      <c r="E548" s="2" t="s">
        <v>530</v>
      </c>
      <c r="F548" s="2" t="s">
        <v>50</v>
      </c>
      <c r="G548" s="2" t="n">
        <v>56979</v>
      </c>
      <c r="H548" s="2" t="n">
        <v>22</v>
      </c>
      <c r="I548" s="2" t="n">
        <v>106</v>
      </c>
      <c r="J548" s="2" t="n">
        <v>0</v>
      </c>
      <c r="K548" s="2" t="n">
        <v>55489</v>
      </c>
      <c r="L548" s="2" t="n">
        <v>36818</v>
      </c>
      <c r="M548" s="2" t="n">
        <v>1905</v>
      </c>
      <c r="N548" s="2" t="n">
        <v>145</v>
      </c>
      <c r="O548" s="2" t="n">
        <v>139</v>
      </c>
      <c r="P548" s="2" t="n">
        <v>492</v>
      </c>
      <c r="Q548" s="2" t="n">
        <v>1009</v>
      </c>
      <c r="R548" s="2" t="n">
        <v>236</v>
      </c>
      <c r="S548" s="2" t="n">
        <v>15</v>
      </c>
      <c r="T548" s="2" t="s">
        <v>62</v>
      </c>
      <c r="U548" s="4" t="n">
        <f aca="false">(M548+N548+O548+P548)/L548</f>
        <v>0.0728176435439187</v>
      </c>
      <c r="V548" s="2" t="str">
        <f aca="false">IF(S548&lt;=5,"Late night (0-5)",IF(S548&lt;=11,"Morning (6-11)",IF(S548&lt;=17,"Afternoon (12-17)","Evening (18-23)")))</f>
        <v>Afternoon (12-17)</v>
      </c>
    </row>
    <row r="549" customFormat="false" ht="15" hidden="false" customHeight="false" outlineLevel="0" collapsed="false">
      <c r="A549" s="2" t="s">
        <v>1094</v>
      </c>
      <c r="B549" s="2" t="s">
        <v>247</v>
      </c>
      <c r="C549" s="2" t="s">
        <v>24</v>
      </c>
      <c r="D549" s="3" t="n">
        <v>45700</v>
      </c>
      <c r="E549" s="2" t="s">
        <v>1095</v>
      </c>
      <c r="F549" s="2" t="s">
        <v>50</v>
      </c>
      <c r="G549" s="2" t="n">
        <v>70847</v>
      </c>
      <c r="H549" s="2" t="n">
        <v>7</v>
      </c>
      <c r="I549" s="2" t="n">
        <v>114</v>
      </c>
      <c r="J549" s="2" t="n">
        <v>1</v>
      </c>
      <c r="K549" s="2" t="n">
        <v>121476</v>
      </c>
      <c r="L549" s="2" t="n">
        <v>72298</v>
      </c>
      <c r="M549" s="2" t="n">
        <v>4377</v>
      </c>
      <c r="N549" s="2" t="n">
        <v>182</v>
      </c>
      <c r="O549" s="2" t="n">
        <v>864</v>
      </c>
      <c r="P549" s="2" t="n">
        <v>373</v>
      </c>
      <c r="Q549" s="2" t="n">
        <v>1104</v>
      </c>
      <c r="R549" s="2" t="n">
        <v>296</v>
      </c>
      <c r="S549" s="2" t="n">
        <v>17</v>
      </c>
      <c r="T549" s="2" t="s">
        <v>66</v>
      </c>
      <c r="U549" s="4" t="n">
        <f aca="false">(M549+N549+O549+P549)/L549</f>
        <v>0.0801681927577526</v>
      </c>
      <c r="V549" s="2" t="str">
        <f aca="false">IF(S549&lt;=5,"Late night (0-5)",IF(S549&lt;=11,"Morning (6-11)",IF(S549&lt;=17,"Afternoon (12-17)","Evening (18-23)")))</f>
        <v>Afternoon (12-17)</v>
      </c>
    </row>
    <row r="550" customFormat="false" ht="15" hidden="false" customHeight="false" outlineLevel="0" collapsed="false">
      <c r="A550" s="2" t="s">
        <v>1096</v>
      </c>
      <c r="B550" s="2" t="s">
        <v>264</v>
      </c>
      <c r="C550" s="2" t="s">
        <v>36</v>
      </c>
      <c r="D550" s="3" t="n">
        <v>45870</v>
      </c>
      <c r="E550" s="2" t="s">
        <v>1097</v>
      </c>
      <c r="F550" s="2" t="s">
        <v>50</v>
      </c>
      <c r="G550" s="2" t="n">
        <v>22362</v>
      </c>
      <c r="H550" s="2" t="n">
        <v>16</v>
      </c>
      <c r="I550" s="2" t="n">
        <v>256</v>
      </c>
      <c r="J550" s="2" t="n">
        <v>0</v>
      </c>
      <c r="K550" s="2" t="n">
        <v>22576</v>
      </c>
      <c r="L550" s="2" t="n">
        <v>15666</v>
      </c>
      <c r="M550" s="2" t="n">
        <v>616</v>
      </c>
      <c r="N550" s="2" t="n">
        <v>21</v>
      </c>
      <c r="O550" s="2" t="n">
        <v>117</v>
      </c>
      <c r="P550" s="2" t="n">
        <v>55</v>
      </c>
      <c r="Q550" s="2" t="n">
        <v>200</v>
      </c>
      <c r="R550" s="2" t="n">
        <v>17</v>
      </c>
      <c r="S550" s="2" t="n">
        <v>13</v>
      </c>
      <c r="T550" s="2" t="s">
        <v>96</v>
      </c>
      <c r="U550" s="4" t="n">
        <f aca="false">(M550+N550+O550+P550)/L550</f>
        <v>0.0516404953402272</v>
      </c>
      <c r="V550" s="2" t="str">
        <f aca="false">IF(S550&lt;=5,"Late night (0-5)",IF(S550&lt;=11,"Morning (6-11)",IF(S550&lt;=17,"Afternoon (12-17)","Evening (18-23)")))</f>
        <v>Afternoon (12-17)</v>
      </c>
    </row>
    <row r="551" customFormat="false" ht="15" hidden="false" customHeight="false" outlineLevel="0" collapsed="false">
      <c r="A551" s="2" t="s">
        <v>1098</v>
      </c>
      <c r="B551" s="2" t="s">
        <v>94</v>
      </c>
      <c r="C551" s="2" t="s">
        <v>30</v>
      </c>
      <c r="D551" s="3" t="n">
        <v>45820</v>
      </c>
      <c r="E551" s="2" t="s">
        <v>49</v>
      </c>
      <c r="F551" s="2" t="s">
        <v>38</v>
      </c>
      <c r="G551" s="2" t="n">
        <v>58559</v>
      </c>
      <c r="H551" s="2" t="n">
        <v>5</v>
      </c>
      <c r="I551" s="2" t="n">
        <v>281</v>
      </c>
      <c r="J551" s="2" t="n">
        <v>1</v>
      </c>
      <c r="K551" s="2" t="n">
        <v>48850</v>
      </c>
      <c r="L551" s="2" t="n">
        <v>31591</v>
      </c>
      <c r="M551" s="2" t="n">
        <v>1029</v>
      </c>
      <c r="N551" s="2" t="n">
        <v>44</v>
      </c>
      <c r="O551" s="2" t="n">
        <v>76</v>
      </c>
      <c r="P551" s="2" t="n">
        <v>256</v>
      </c>
      <c r="Q551" s="2" t="n">
        <v>336</v>
      </c>
      <c r="R551" s="2" t="n">
        <v>86</v>
      </c>
      <c r="S551" s="2" t="n">
        <v>0</v>
      </c>
      <c r="T551" s="2" t="s">
        <v>79</v>
      </c>
      <c r="U551" s="4" t="n">
        <f aca="false">(M551+N551+O551+P551)/L551</f>
        <v>0.0444746921591593</v>
      </c>
      <c r="V551" s="2" t="str">
        <f aca="false">IF(S551&lt;=5,"Late night (0-5)",IF(S551&lt;=11,"Morning (6-11)",IF(S551&lt;=17,"Afternoon (12-17)","Evening (18-23)")))</f>
        <v>Late night (0-5)</v>
      </c>
    </row>
    <row r="552" customFormat="false" ht="15" hidden="false" customHeight="false" outlineLevel="0" collapsed="false">
      <c r="A552" s="2" t="s">
        <v>1099</v>
      </c>
      <c r="B552" s="2" t="s">
        <v>240</v>
      </c>
      <c r="C552" s="2" t="s">
        <v>41</v>
      </c>
      <c r="D552" s="3" t="n">
        <v>45997</v>
      </c>
      <c r="E552" s="2" t="s">
        <v>142</v>
      </c>
      <c r="F552" s="2" t="s">
        <v>32</v>
      </c>
      <c r="G552" s="2" t="n">
        <v>83197</v>
      </c>
      <c r="H552" s="2" t="n">
        <v>9</v>
      </c>
      <c r="I552" s="2" t="n">
        <v>209</v>
      </c>
      <c r="J552" s="2" t="n">
        <v>0</v>
      </c>
      <c r="K552" s="2" t="n">
        <v>179632</v>
      </c>
      <c r="L552" s="2" t="n">
        <v>103878</v>
      </c>
      <c r="M552" s="2" t="n">
        <v>9302</v>
      </c>
      <c r="N552" s="2" t="n">
        <v>371</v>
      </c>
      <c r="O552" s="2" t="n">
        <v>1609</v>
      </c>
      <c r="P552" s="2" t="n">
        <v>2004</v>
      </c>
      <c r="Q552" s="2" t="n">
        <v>581</v>
      </c>
      <c r="R552" s="2" t="n">
        <v>101</v>
      </c>
      <c r="S552" s="2" t="n">
        <v>22</v>
      </c>
      <c r="T552" s="2" t="s">
        <v>62</v>
      </c>
      <c r="U552" s="4" t="n">
        <f aca="false">(M552+N552+O552+P552)/L552</f>
        <v>0.127900036581374</v>
      </c>
      <c r="V552" s="2" t="str">
        <f aca="false">IF(S552&lt;=5,"Late night (0-5)",IF(S552&lt;=11,"Morning (6-11)",IF(S552&lt;=17,"Afternoon (12-17)","Evening (18-23)")))</f>
        <v>Evening (18-23)</v>
      </c>
    </row>
    <row r="553" customFormat="false" ht="15" hidden="false" customHeight="false" outlineLevel="0" collapsed="false">
      <c r="A553" s="2" t="s">
        <v>1100</v>
      </c>
      <c r="B553" s="2" t="s">
        <v>129</v>
      </c>
      <c r="C553" s="2" t="s">
        <v>54</v>
      </c>
      <c r="D553" s="3" t="n">
        <v>45890</v>
      </c>
      <c r="E553" s="2" t="s">
        <v>1101</v>
      </c>
      <c r="F553" s="2" t="s">
        <v>26</v>
      </c>
      <c r="G553" s="2" t="n">
        <v>10312</v>
      </c>
      <c r="H553" s="2" t="n">
        <v>25</v>
      </c>
      <c r="I553" s="2" t="n">
        <v>82</v>
      </c>
      <c r="J553" s="2" t="n">
        <v>1</v>
      </c>
      <c r="K553" s="2" t="n">
        <v>8364</v>
      </c>
      <c r="L553" s="2" t="n">
        <v>5606</v>
      </c>
      <c r="M553" s="2" t="n">
        <v>417</v>
      </c>
      <c r="N553" s="2" t="n">
        <v>20</v>
      </c>
      <c r="O553" s="2" t="n">
        <v>60</v>
      </c>
      <c r="P553" s="2" t="n">
        <v>100</v>
      </c>
      <c r="Q553" s="2" t="n">
        <v>120</v>
      </c>
      <c r="R553" s="2" t="n">
        <v>26</v>
      </c>
      <c r="S553" s="2" t="n">
        <v>6</v>
      </c>
      <c r="T553" s="2" t="s">
        <v>79</v>
      </c>
      <c r="U553" s="4" t="n">
        <f aca="false">(M553+N553+O553+P553)/L553</f>
        <v>0.106493043168034</v>
      </c>
      <c r="V553" s="2" t="str">
        <f aca="false">IF(S553&lt;=5,"Late night (0-5)",IF(S553&lt;=11,"Morning (6-11)",IF(S553&lt;=17,"Afternoon (12-17)","Evening (18-23)")))</f>
        <v>Morning (6-11)</v>
      </c>
    </row>
    <row r="554" customFormat="false" ht="15" hidden="false" customHeight="false" outlineLevel="0" collapsed="false">
      <c r="A554" s="2" t="s">
        <v>1102</v>
      </c>
      <c r="B554" s="2" t="s">
        <v>74</v>
      </c>
      <c r="C554" s="2" t="s">
        <v>30</v>
      </c>
      <c r="D554" s="3" t="n">
        <v>45926</v>
      </c>
      <c r="E554" s="2" t="s">
        <v>432</v>
      </c>
      <c r="F554" s="2" t="s">
        <v>32</v>
      </c>
      <c r="G554" s="2" t="n">
        <v>20432</v>
      </c>
      <c r="H554" s="2" t="n">
        <v>3</v>
      </c>
      <c r="I554" s="2" t="n">
        <v>161</v>
      </c>
      <c r="J554" s="2" t="n">
        <v>1</v>
      </c>
      <c r="K554" s="2" t="n">
        <v>27109</v>
      </c>
      <c r="L554" s="2" t="n">
        <v>18069</v>
      </c>
      <c r="M554" s="2" t="n">
        <v>731</v>
      </c>
      <c r="N554" s="2" t="n">
        <v>26</v>
      </c>
      <c r="O554" s="2" t="n">
        <v>41</v>
      </c>
      <c r="P554" s="2" t="n">
        <v>153</v>
      </c>
      <c r="Q554" s="2" t="n">
        <v>347</v>
      </c>
      <c r="R554" s="2" t="n">
        <v>46</v>
      </c>
      <c r="S554" s="2" t="n">
        <v>5</v>
      </c>
      <c r="T554" s="2" t="s">
        <v>96</v>
      </c>
      <c r="U554" s="4" t="n">
        <f aca="false">(M554+N554+O554+P554)/L554</f>
        <v>0.0526315789473684</v>
      </c>
      <c r="V554" s="2" t="str">
        <f aca="false">IF(S554&lt;=5,"Late night (0-5)",IF(S554&lt;=11,"Morning (6-11)",IF(S554&lt;=17,"Afternoon (12-17)","Evening (18-23)")))</f>
        <v>Late night (0-5)</v>
      </c>
    </row>
    <row r="555" customFormat="false" ht="15" hidden="false" customHeight="false" outlineLevel="0" collapsed="false">
      <c r="A555" s="2" t="s">
        <v>1103</v>
      </c>
      <c r="B555" s="2" t="s">
        <v>60</v>
      </c>
      <c r="C555" s="2" t="s">
        <v>41</v>
      </c>
      <c r="D555" s="3" t="n">
        <v>45805</v>
      </c>
      <c r="E555" s="2" t="s">
        <v>1104</v>
      </c>
      <c r="F555" s="2" t="s">
        <v>50</v>
      </c>
      <c r="G555" s="2" t="n">
        <v>7512</v>
      </c>
      <c r="H555" s="2" t="n">
        <v>6</v>
      </c>
      <c r="I555" s="2" t="n">
        <v>262</v>
      </c>
      <c r="J555" s="2" t="n">
        <v>0</v>
      </c>
      <c r="K555" s="2" t="n">
        <v>2031</v>
      </c>
      <c r="L555" s="2" t="n">
        <v>1775</v>
      </c>
      <c r="M555" s="2" t="n">
        <v>144</v>
      </c>
      <c r="N555" s="2" t="n">
        <v>8</v>
      </c>
      <c r="O555" s="2" t="n">
        <v>8</v>
      </c>
      <c r="P555" s="2" t="n">
        <v>17</v>
      </c>
      <c r="Q555" s="2" t="n">
        <v>52</v>
      </c>
      <c r="R555" s="2" t="n">
        <v>10</v>
      </c>
      <c r="S555" s="2" t="n">
        <v>11</v>
      </c>
      <c r="T555" s="2" t="s">
        <v>66</v>
      </c>
      <c r="U555" s="4" t="n">
        <f aca="false">(M555+N555+O555+P555)/L555</f>
        <v>0.0997183098591549</v>
      </c>
      <c r="V555" s="2" t="str">
        <f aca="false">IF(S555&lt;=5,"Late night (0-5)",IF(S555&lt;=11,"Morning (6-11)",IF(S555&lt;=17,"Afternoon (12-17)","Evening (18-23)")))</f>
        <v>Morning (6-11)</v>
      </c>
    </row>
    <row r="556" customFormat="false" ht="15" hidden="false" customHeight="false" outlineLevel="0" collapsed="false">
      <c r="A556" s="2" t="s">
        <v>1105</v>
      </c>
      <c r="B556" s="2" t="s">
        <v>71</v>
      </c>
      <c r="C556" s="2" t="s">
        <v>48</v>
      </c>
      <c r="D556" s="3" t="n">
        <v>45781</v>
      </c>
      <c r="E556" s="2" t="s">
        <v>636</v>
      </c>
      <c r="F556" s="2" t="s">
        <v>38</v>
      </c>
      <c r="G556" s="2" t="n">
        <v>7316</v>
      </c>
      <c r="H556" s="2" t="n">
        <v>13</v>
      </c>
      <c r="I556" s="2" t="n">
        <v>138</v>
      </c>
      <c r="J556" s="2" t="n">
        <v>1</v>
      </c>
      <c r="K556" s="2" t="n">
        <v>9566</v>
      </c>
      <c r="L556" s="2" t="n">
        <v>7183</v>
      </c>
      <c r="M556" s="2" t="n">
        <v>242</v>
      </c>
      <c r="N556" s="2" t="n">
        <v>18</v>
      </c>
      <c r="O556" s="2" t="n">
        <v>35</v>
      </c>
      <c r="P556" s="2" t="n">
        <v>44</v>
      </c>
      <c r="Q556" s="2" t="n">
        <v>184</v>
      </c>
      <c r="R556" s="2" t="n">
        <v>28</v>
      </c>
      <c r="S556" s="2" t="n">
        <v>16</v>
      </c>
      <c r="T556" s="2" t="s">
        <v>27</v>
      </c>
      <c r="U556" s="4" t="n">
        <f aca="false">(M556+N556+O556+P556)/L556</f>
        <v>0.0471947654183489</v>
      </c>
      <c r="V556" s="2" t="str">
        <f aca="false">IF(S556&lt;=5,"Late night (0-5)",IF(S556&lt;=11,"Morning (6-11)",IF(S556&lt;=17,"Afternoon (12-17)","Evening (18-23)")))</f>
        <v>Afternoon (12-17)</v>
      </c>
    </row>
    <row r="557" customFormat="false" ht="15" hidden="false" customHeight="false" outlineLevel="0" collapsed="false">
      <c r="A557" s="2" t="s">
        <v>1106</v>
      </c>
      <c r="B557" s="2" t="s">
        <v>74</v>
      </c>
      <c r="C557" s="2" t="s">
        <v>30</v>
      </c>
      <c r="D557" s="3" t="n">
        <v>45878</v>
      </c>
      <c r="E557" s="2" t="s">
        <v>1107</v>
      </c>
      <c r="F557" s="2" t="s">
        <v>32</v>
      </c>
      <c r="G557" s="2" t="n">
        <v>20432</v>
      </c>
      <c r="H557" s="2" t="n">
        <v>16</v>
      </c>
      <c r="I557" s="2" t="n">
        <v>149</v>
      </c>
      <c r="J557" s="2" t="n">
        <v>1</v>
      </c>
      <c r="K557" s="2" t="n">
        <v>25924</v>
      </c>
      <c r="L557" s="2" t="n">
        <v>23396</v>
      </c>
      <c r="M557" s="2" t="n">
        <v>2384</v>
      </c>
      <c r="N557" s="2" t="n">
        <v>94</v>
      </c>
      <c r="O557" s="2" t="n">
        <v>530</v>
      </c>
      <c r="P557" s="2" t="n">
        <v>173</v>
      </c>
      <c r="Q557" s="2" t="n">
        <v>492</v>
      </c>
      <c r="R557" s="2" t="n">
        <v>136</v>
      </c>
      <c r="S557" s="2" t="n">
        <v>5</v>
      </c>
      <c r="T557" s="2" t="s">
        <v>62</v>
      </c>
      <c r="U557" s="4" t="n">
        <f aca="false">(M557+N557+O557+P557)/L557</f>
        <v>0.135963412549154</v>
      </c>
      <c r="V557" s="2" t="str">
        <f aca="false">IF(S557&lt;=5,"Late night (0-5)",IF(S557&lt;=11,"Morning (6-11)",IF(S557&lt;=17,"Afternoon (12-17)","Evening (18-23)")))</f>
        <v>Late night (0-5)</v>
      </c>
    </row>
    <row r="558" customFormat="false" ht="15" hidden="false" customHeight="false" outlineLevel="0" collapsed="false">
      <c r="A558" s="2" t="s">
        <v>1108</v>
      </c>
      <c r="B558" s="2" t="s">
        <v>57</v>
      </c>
      <c r="C558" s="2" t="s">
        <v>24</v>
      </c>
      <c r="D558" s="3" t="n">
        <v>45826</v>
      </c>
      <c r="E558" s="2" t="s">
        <v>1109</v>
      </c>
      <c r="F558" s="2" t="s">
        <v>50</v>
      </c>
      <c r="G558" s="2" t="n">
        <v>31021</v>
      </c>
      <c r="H558" s="2" t="n">
        <v>5</v>
      </c>
      <c r="I558" s="2" t="n">
        <v>56</v>
      </c>
      <c r="J558" s="2" t="n">
        <v>0</v>
      </c>
      <c r="K558" s="2" t="n">
        <v>9505</v>
      </c>
      <c r="L558" s="2" t="n">
        <v>5875</v>
      </c>
      <c r="M558" s="2" t="n">
        <v>440</v>
      </c>
      <c r="N558" s="2" t="n">
        <v>32</v>
      </c>
      <c r="O558" s="2" t="n">
        <v>39</v>
      </c>
      <c r="P558" s="2" t="n">
        <v>93</v>
      </c>
      <c r="Q558" s="2" t="n">
        <v>70</v>
      </c>
      <c r="R558" s="2" t="n">
        <v>13</v>
      </c>
      <c r="S558" s="2" t="n">
        <v>1</v>
      </c>
      <c r="T558" s="2" t="s">
        <v>66</v>
      </c>
      <c r="U558" s="4" t="n">
        <f aca="false">(M558+N558+O558+P558)/L558</f>
        <v>0.102808510638298</v>
      </c>
      <c r="V558" s="2" t="str">
        <f aca="false">IF(S558&lt;=5,"Late night (0-5)",IF(S558&lt;=11,"Morning (6-11)",IF(S558&lt;=17,"Afternoon (12-17)","Evening (18-23)")))</f>
        <v>Late night (0-5)</v>
      </c>
    </row>
    <row r="559" customFormat="false" ht="15" hidden="false" customHeight="false" outlineLevel="0" collapsed="false">
      <c r="A559" s="2" t="s">
        <v>1110</v>
      </c>
      <c r="B559" s="2" t="s">
        <v>129</v>
      </c>
      <c r="C559" s="2" t="s">
        <v>54</v>
      </c>
      <c r="D559" s="3" t="n">
        <v>45714</v>
      </c>
      <c r="E559" s="2" t="s">
        <v>913</v>
      </c>
      <c r="F559" s="2" t="s">
        <v>50</v>
      </c>
      <c r="G559" s="2" t="n">
        <v>10312</v>
      </c>
      <c r="H559" s="2" t="n">
        <v>17</v>
      </c>
      <c r="I559" s="2" t="n">
        <v>152</v>
      </c>
      <c r="J559" s="2" t="n">
        <v>1</v>
      </c>
      <c r="K559" s="2" t="n">
        <v>13167</v>
      </c>
      <c r="L559" s="2" t="n">
        <v>9325</v>
      </c>
      <c r="M559" s="2" t="n">
        <v>808</v>
      </c>
      <c r="N559" s="2" t="n">
        <v>44</v>
      </c>
      <c r="O559" s="2" t="n">
        <v>111</v>
      </c>
      <c r="P559" s="2" t="n">
        <v>42</v>
      </c>
      <c r="Q559" s="2" t="n">
        <v>59</v>
      </c>
      <c r="R559" s="2" t="n">
        <v>3</v>
      </c>
      <c r="S559" s="2" t="n">
        <v>5</v>
      </c>
      <c r="T559" s="2" t="s">
        <v>66</v>
      </c>
      <c r="U559" s="4" t="n">
        <f aca="false">(M559+N559+O559+P559)/L559</f>
        <v>0.107774798927614</v>
      </c>
      <c r="V559" s="2" t="str">
        <f aca="false">IF(S559&lt;=5,"Late night (0-5)",IF(S559&lt;=11,"Morning (6-11)",IF(S559&lt;=17,"Afternoon (12-17)","Evening (18-23)")))</f>
        <v>Late night (0-5)</v>
      </c>
    </row>
    <row r="560" customFormat="false" ht="15" hidden="false" customHeight="false" outlineLevel="0" collapsed="false">
      <c r="A560" s="2" t="s">
        <v>1111</v>
      </c>
      <c r="B560" s="2" t="s">
        <v>188</v>
      </c>
      <c r="C560" s="2" t="s">
        <v>30</v>
      </c>
      <c r="D560" s="3" t="n">
        <v>45991</v>
      </c>
      <c r="E560" s="2" t="s">
        <v>1112</v>
      </c>
      <c r="F560" s="2" t="s">
        <v>32</v>
      </c>
      <c r="G560" s="2" t="n">
        <v>38900</v>
      </c>
      <c r="H560" s="2" t="n">
        <v>14</v>
      </c>
      <c r="I560" s="2" t="n">
        <v>19</v>
      </c>
      <c r="J560" s="2" t="n">
        <v>0</v>
      </c>
      <c r="K560" s="2" t="n">
        <v>104679</v>
      </c>
      <c r="L560" s="2" t="n">
        <v>86369</v>
      </c>
      <c r="M560" s="2" t="n">
        <v>9019</v>
      </c>
      <c r="N560" s="2" t="n">
        <v>447</v>
      </c>
      <c r="O560" s="2" t="n">
        <v>2298</v>
      </c>
      <c r="P560" s="2" t="n">
        <v>916</v>
      </c>
      <c r="Q560" s="2" t="n">
        <v>622</v>
      </c>
      <c r="R560" s="2" t="n">
        <v>152</v>
      </c>
      <c r="S560" s="2" t="n">
        <v>18</v>
      </c>
      <c r="T560" s="2" t="s">
        <v>27</v>
      </c>
      <c r="U560" s="4" t="n">
        <f aca="false">(M560+N560+O560+P560)/L560</f>
        <v>0.146811934837731</v>
      </c>
      <c r="V560" s="2" t="str">
        <f aca="false">IF(S560&lt;=5,"Late night (0-5)",IF(S560&lt;=11,"Morning (6-11)",IF(S560&lt;=17,"Afternoon (12-17)","Evening (18-23)")))</f>
        <v>Evening (18-23)</v>
      </c>
    </row>
    <row r="561" customFormat="false" ht="15" hidden="false" customHeight="false" outlineLevel="0" collapsed="false">
      <c r="A561" s="2" t="s">
        <v>1113</v>
      </c>
      <c r="B561" s="2" t="s">
        <v>60</v>
      </c>
      <c r="C561" s="2" t="s">
        <v>41</v>
      </c>
      <c r="D561" s="3" t="n">
        <v>45833</v>
      </c>
      <c r="E561" s="2" t="s">
        <v>1114</v>
      </c>
      <c r="F561" s="2" t="s">
        <v>38</v>
      </c>
      <c r="G561" s="2" t="n">
        <v>7512</v>
      </c>
      <c r="H561" s="2" t="n">
        <v>15</v>
      </c>
      <c r="I561" s="2" t="n">
        <v>248</v>
      </c>
      <c r="J561" s="2" t="n">
        <v>0</v>
      </c>
      <c r="K561" s="2" t="n">
        <v>3595</v>
      </c>
      <c r="L561" s="2" t="n">
        <v>2784</v>
      </c>
      <c r="M561" s="2" t="n">
        <v>130</v>
      </c>
      <c r="N561" s="2" t="n">
        <v>8</v>
      </c>
      <c r="O561" s="2" t="n">
        <v>11</v>
      </c>
      <c r="P561" s="2" t="n">
        <v>30</v>
      </c>
      <c r="Q561" s="2" t="n">
        <v>80</v>
      </c>
      <c r="R561" s="2" t="n">
        <v>12</v>
      </c>
      <c r="S561" s="2" t="n">
        <v>2</v>
      </c>
      <c r="T561" s="2" t="s">
        <v>66</v>
      </c>
      <c r="U561" s="4" t="n">
        <f aca="false">(M561+N561+O561+P561)/L561</f>
        <v>0.0642959770114943</v>
      </c>
      <c r="V561" s="2" t="str">
        <f aca="false">IF(S561&lt;=5,"Late night (0-5)",IF(S561&lt;=11,"Morning (6-11)",IF(S561&lt;=17,"Afternoon (12-17)","Evening (18-23)")))</f>
        <v>Late night (0-5)</v>
      </c>
    </row>
    <row r="562" customFormat="false" ht="15" hidden="false" customHeight="false" outlineLevel="0" collapsed="false">
      <c r="A562" s="2" t="s">
        <v>1115</v>
      </c>
      <c r="B562" s="2" t="s">
        <v>68</v>
      </c>
      <c r="C562" s="2" t="s">
        <v>54</v>
      </c>
      <c r="D562" s="3" t="n">
        <v>45793</v>
      </c>
      <c r="E562" s="2" t="s">
        <v>1116</v>
      </c>
      <c r="F562" s="2" t="s">
        <v>38</v>
      </c>
      <c r="G562" s="2" t="n">
        <v>35922</v>
      </c>
      <c r="H562" s="2" t="n">
        <v>10</v>
      </c>
      <c r="I562" s="2" t="n">
        <v>120</v>
      </c>
      <c r="J562" s="2" t="n">
        <v>1</v>
      </c>
      <c r="K562" s="2" t="n">
        <v>39561</v>
      </c>
      <c r="L562" s="2" t="n">
        <v>35601</v>
      </c>
      <c r="M562" s="2" t="n">
        <v>2061</v>
      </c>
      <c r="N562" s="2" t="n">
        <v>127</v>
      </c>
      <c r="O562" s="2" t="n">
        <v>78</v>
      </c>
      <c r="P562" s="2" t="n">
        <v>565</v>
      </c>
      <c r="Q562" s="2" t="n">
        <v>499</v>
      </c>
      <c r="R562" s="2" t="n">
        <v>45</v>
      </c>
      <c r="S562" s="2" t="n">
        <v>0</v>
      </c>
      <c r="T562" s="2" t="s">
        <v>96</v>
      </c>
      <c r="U562" s="4" t="n">
        <f aca="false">(M562+N562+O562+P562)/L562</f>
        <v>0.0795202381955563</v>
      </c>
      <c r="V562" s="2" t="str">
        <f aca="false">IF(S562&lt;=5,"Late night (0-5)",IF(S562&lt;=11,"Morning (6-11)",IF(S562&lt;=17,"Afternoon (12-17)","Evening (18-23)")))</f>
        <v>Late night (0-5)</v>
      </c>
    </row>
    <row r="563" customFormat="false" ht="15" hidden="false" customHeight="false" outlineLevel="0" collapsed="false">
      <c r="A563" s="2" t="s">
        <v>1117</v>
      </c>
      <c r="B563" s="2" t="s">
        <v>114</v>
      </c>
      <c r="C563" s="2" t="s">
        <v>84</v>
      </c>
      <c r="D563" s="3" t="n">
        <v>45658</v>
      </c>
      <c r="E563" s="2" t="s">
        <v>1118</v>
      </c>
      <c r="F563" s="2" t="s">
        <v>38</v>
      </c>
      <c r="G563" s="2" t="n">
        <v>64307</v>
      </c>
      <c r="H563" s="2" t="n">
        <v>16</v>
      </c>
      <c r="I563" s="2" t="n">
        <v>183</v>
      </c>
      <c r="J563" s="2" t="n">
        <v>0</v>
      </c>
      <c r="K563" s="2" t="n">
        <v>100870</v>
      </c>
      <c r="L563" s="2" t="n">
        <v>56349</v>
      </c>
      <c r="M563" s="2" t="n">
        <v>2546</v>
      </c>
      <c r="N563" s="2" t="n">
        <v>179</v>
      </c>
      <c r="O563" s="2" t="n">
        <v>150</v>
      </c>
      <c r="P563" s="2" t="n">
        <v>210</v>
      </c>
      <c r="Q563" s="2" t="n">
        <v>1308</v>
      </c>
      <c r="R563" s="2" t="n">
        <v>211</v>
      </c>
      <c r="S563" s="2" t="n">
        <v>13</v>
      </c>
      <c r="T563" s="2" t="s">
        <v>66</v>
      </c>
      <c r="U563" s="4" t="n">
        <f aca="false">(M563+N563+O563+P563)/L563</f>
        <v>0.054748087809899</v>
      </c>
      <c r="V563" s="2" t="str">
        <f aca="false">IF(S563&lt;=5,"Late night (0-5)",IF(S563&lt;=11,"Morning (6-11)",IF(S563&lt;=17,"Afternoon (12-17)","Evening (18-23)")))</f>
        <v>Afternoon (12-17)</v>
      </c>
    </row>
    <row r="564" customFormat="false" ht="15" hidden="false" customHeight="false" outlineLevel="0" collapsed="false">
      <c r="A564" s="2" t="s">
        <v>1119</v>
      </c>
      <c r="B564" s="2" t="s">
        <v>77</v>
      </c>
      <c r="C564" s="2" t="s">
        <v>30</v>
      </c>
      <c r="D564" s="3" t="n">
        <v>45922</v>
      </c>
      <c r="E564" s="2" t="s">
        <v>1120</v>
      </c>
      <c r="F564" s="2" t="s">
        <v>32</v>
      </c>
      <c r="G564" s="2" t="n">
        <v>17548</v>
      </c>
      <c r="H564" s="2" t="n">
        <v>0</v>
      </c>
      <c r="I564" s="2" t="n">
        <v>283</v>
      </c>
      <c r="J564" s="2" t="n">
        <v>1</v>
      </c>
      <c r="K564" s="2" t="n">
        <v>26036</v>
      </c>
      <c r="L564" s="2" t="n">
        <v>14619</v>
      </c>
      <c r="M564" s="2" t="n">
        <v>1083</v>
      </c>
      <c r="N564" s="2" t="n">
        <v>25</v>
      </c>
      <c r="O564" s="2" t="n">
        <v>308</v>
      </c>
      <c r="P564" s="2" t="n">
        <v>93</v>
      </c>
      <c r="Q564" s="2" t="n">
        <v>93</v>
      </c>
      <c r="R564" s="2" t="n">
        <v>5</v>
      </c>
      <c r="S564" s="2" t="n">
        <v>15</v>
      </c>
      <c r="T564" s="2" t="s">
        <v>33</v>
      </c>
      <c r="U564" s="4" t="n">
        <f aca="false">(M564+N564+O564+P564)/L564</f>
        <v>0.10322183459881</v>
      </c>
      <c r="V564" s="2" t="str">
        <f aca="false">IF(S564&lt;=5,"Late night (0-5)",IF(S564&lt;=11,"Morning (6-11)",IF(S564&lt;=17,"Afternoon (12-17)","Evening (18-23)")))</f>
        <v>Afternoon (12-17)</v>
      </c>
    </row>
    <row r="565" customFormat="false" ht="15" hidden="false" customHeight="false" outlineLevel="0" collapsed="false">
      <c r="A565" s="2" t="s">
        <v>1121</v>
      </c>
      <c r="B565" s="2" t="s">
        <v>64</v>
      </c>
      <c r="C565" s="2" t="s">
        <v>36</v>
      </c>
      <c r="D565" s="3" t="n">
        <v>45816</v>
      </c>
      <c r="E565" s="2" t="s">
        <v>1122</v>
      </c>
      <c r="F565" s="2" t="s">
        <v>38</v>
      </c>
      <c r="G565" s="2" t="n">
        <v>43781</v>
      </c>
      <c r="H565" s="2" t="n">
        <v>11</v>
      </c>
      <c r="I565" s="2" t="n">
        <v>350</v>
      </c>
      <c r="J565" s="2" t="n">
        <v>1</v>
      </c>
      <c r="K565" s="2" t="n">
        <v>35525</v>
      </c>
      <c r="L565" s="2" t="n">
        <v>19995</v>
      </c>
      <c r="M565" s="2" t="n">
        <v>1636</v>
      </c>
      <c r="N565" s="2" t="n">
        <v>83</v>
      </c>
      <c r="O565" s="2" t="n">
        <v>119</v>
      </c>
      <c r="P565" s="2" t="n">
        <v>365</v>
      </c>
      <c r="Q565" s="2" t="n">
        <v>317</v>
      </c>
      <c r="R565" s="2" t="n">
        <v>79</v>
      </c>
      <c r="S565" s="2" t="n">
        <v>6</v>
      </c>
      <c r="T565" s="2" t="s">
        <v>27</v>
      </c>
      <c r="U565" s="4" t="n">
        <f aca="false">(M565+N565+O565+P565)/L565</f>
        <v>0.110177544386097</v>
      </c>
      <c r="V565" s="2" t="str">
        <f aca="false">IF(S565&lt;=5,"Late night (0-5)",IF(S565&lt;=11,"Morning (6-11)",IF(S565&lt;=17,"Afternoon (12-17)","Evening (18-23)")))</f>
        <v>Morning (6-11)</v>
      </c>
    </row>
    <row r="566" customFormat="false" ht="15" hidden="false" customHeight="false" outlineLevel="0" collapsed="false">
      <c r="A566" s="2" t="s">
        <v>1123</v>
      </c>
      <c r="B566" s="2" t="s">
        <v>138</v>
      </c>
      <c r="C566" s="2" t="s">
        <v>41</v>
      </c>
      <c r="D566" s="3" t="n">
        <v>45695</v>
      </c>
      <c r="E566" s="2" t="s">
        <v>1124</v>
      </c>
      <c r="F566" s="2" t="s">
        <v>38</v>
      </c>
      <c r="G566" s="2" t="n">
        <v>18712</v>
      </c>
      <c r="H566" s="2" t="n">
        <v>4</v>
      </c>
      <c r="I566" s="2" t="n">
        <v>375</v>
      </c>
      <c r="J566" s="2" t="n">
        <v>0</v>
      </c>
      <c r="K566" s="2" t="n">
        <v>8395</v>
      </c>
      <c r="L566" s="2" t="n">
        <v>6257</v>
      </c>
      <c r="M566" s="2" t="n">
        <v>515</v>
      </c>
      <c r="N566" s="2" t="n">
        <v>19</v>
      </c>
      <c r="O566" s="2" t="n">
        <v>50</v>
      </c>
      <c r="P566" s="2" t="n">
        <v>64</v>
      </c>
      <c r="Q566" s="2" t="n">
        <v>134</v>
      </c>
      <c r="R566" s="2" t="n">
        <v>33</v>
      </c>
      <c r="S566" s="2" t="n">
        <v>4</v>
      </c>
      <c r="T566" s="2" t="s">
        <v>96</v>
      </c>
      <c r="U566" s="4" t="n">
        <f aca="false">(M566+N566+O566+P566)/L566</f>
        <v>0.103564008310692</v>
      </c>
      <c r="V566" s="2" t="str">
        <f aca="false">IF(S566&lt;=5,"Late night (0-5)",IF(S566&lt;=11,"Morning (6-11)",IF(S566&lt;=17,"Afternoon (12-17)","Evening (18-23)")))</f>
        <v>Late night (0-5)</v>
      </c>
    </row>
    <row r="567" customFormat="false" ht="15" hidden="false" customHeight="false" outlineLevel="0" collapsed="false">
      <c r="A567" s="2" t="s">
        <v>1125</v>
      </c>
      <c r="B567" s="2" t="s">
        <v>29</v>
      </c>
      <c r="C567" s="2" t="s">
        <v>30</v>
      </c>
      <c r="D567" s="3" t="n">
        <v>45696</v>
      </c>
      <c r="E567" s="2" t="s">
        <v>1126</v>
      </c>
      <c r="F567" s="2" t="s">
        <v>38</v>
      </c>
      <c r="G567" s="2" t="n">
        <v>11612</v>
      </c>
      <c r="H567" s="2" t="n">
        <v>14</v>
      </c>
      <c r="I567" s="2" t="n">
        <v>72</v>
      </c>
      <c r="J567" s="2" t="n">
        <v>0</v>
      </c>
      <c r="K567" s="2" t="n">
        <v>34360</v>
      </c>
      <c r="L567" s="2" t="n">
        <v>22573</v>
      </c>
      <c r="M567" s="2" t="n">
        <v>1162</v>
      </c>
      <c r="N567" s="2" t="n">
        <v>64</v>
      </c>
      <c r="O567" s="2" t="n">
        <v>168</v>
      </c>
      <c r="P567" s="2" t="n">
        <v>158</v>
      </c>
      <c r="Q567" s="2" t="n">
        <v>234</v>
      </c>
      <c r="R567" s="2" t="n">
        <v>30</v>
      </c>
      <c r="S567" s="2" t="n">
        <v>20</v>
      </c>
      <c r="T567" s="2" t="s">
        <v>62</v>
      </c>
      <c r="U567" s="4" t="n">
        <f aca="false">(M567+N567+O567+P567)/L567</f>
        <v>0.0687547069507819</v>
      </c>
      <c r="V567" s="2" t="str">
        <f aca="false">IF(S567&lt;=5,"Late night (0-5)",IF(S567&lt;=11,"Morning (6-11)",IF(S567&lt;=17,"Afternoon (12-17)","Evening (18-23)")))</f>
        <v>Evening (18-23)</v>
      </c>
    </row>
    <row r="568" customFormat="false" ht="15" hidden="false" customHeight="false" outlineLevel="0" collapsed="false">
      <c r="A568" s="2" t="s">
        <v>1127</v>
      </c>
      <c r="B568" s="2" t="s">
        <v>452</v>
      </c>
      <c r="C568" s="2" t="s">
        <v>91</v>
      </c>
      <c r="D568" s="3" t="n">
        <v>45796</v>
      </c>
      <c r="E568" s="2" t="s">
        <v>1128</v>
      </c>
      <c r="F568" s="2" t="s">
        <v>26</v>
      </c>
      <c r="G568" s="2" t="n">
        <v>14201</v>
      </c>
      <c r="H568" s="2" t="n">
        <v>13</v>
      </c>
      <c r="I568" s="2" t="n">
        <v>95</v>
      </c>
      <c r="J568" s="2" t="n">
        <v>0</v>
      </c>
      <c r="K568" s="2" t="n">
        <v>17512</v>
      </c>
      <c r="L568" s="2" t="n">
        <v>10181</v>
      </c>
      <c r="M568" s="2" t="n">
        <v>443</v>
      </c>
      <c r="N568" s="2" t="n">
        <v>17</v>
      </c>
      <c r="O568" s="2" t="n">
        <v>48</v>
      </c>
      <c r="P568" s="2" t="n">
        <v>105</v>
      </c>
      <c r="Q568" s="2" t="n">
        <v>304</v>
      </c>
      <c r="R568" s="2" t="n">
        <v>23</v>
      </c>
      <c r="S568" s="2" t="n">
        <v>16</v>
      </c>
      <c r="T568" s="2" t="s">
        <v>33</v>
      </c>
      <c r="U568" s="4" t="n">
        <f aca="false">(M568+N568+O568+P568)/L568</f>
        <v>0.0602101954621354</v>
      </c>
      <c r="V568" s="2" t="str">
        <f aca="false">IF(S568&lt;=5,"Late night (0-5)",IF(S568&lt;=11,"Morning (6-11)",IF(S568&lt;=17,"Afternoon (12-17)","Evening (18-23)")))</f>
        <v>Afternoon (12-17)</v>
      </c>
    </row>
    <row r="569" customFormat="false" ht="15" hidden="false" customHeight="false" outlineLevel="0" collapsed="false">
      <c r="A569" s="2" t="s">
        <v>1129</v>
      </c>
      <c r="B569" s="2" t="s">
        <v>243</v>
      </c>
      <c r="C569" s="2" t="s">
        <v>91</v>
      </c>
      <c r="D569" s="3" t="n">
        <v>45688</v>
      </c>
      <c r="E569" s="2" t="s">
        <v>1130</v>
      </c>
      <c r="F569" s="2" t="s">
        <v>38</v>
      </c>
      <c r="G569" s="2" t="n">
        <v>42046</v>
      </c>
      <c r="H569" s="2" t="n">
        <v>6</v>
      </c>
      <c r="I569" s="2" t="n">
        <v>156</v>
      </c>
      <c r="J569" s="2" t="n">
        <v>0</v>
      </c>
      <c r="K569" s="2" t="n">
        <v>13303</v>
      </c>
      <c r="L569" s="2" t="n">
        <v>10855</v>
      </c>
      <c r="M569" s="2" t="n">
        <v>444</v>
      </c>
      <c r="N569" s="2" t="n">
        <v>10</v>
      </c>
      <c r="O569" s="2" t="n">
        <v>50</v>
      </c>
      <c r="P569" s="2" t="n">
        <v>37</v>
      </c>
      <c r="Q569" s="2" t="n">
        <v>140</v>
      </c>
      <c r="R569" s="2" t="n">
        <v>36</v>
      </c>
      <c r="S569" s="2" t="n">
        <v>2</v>
      </c>
      <c r="T569" s="2" t="s">
        <v>96</v>
      </c>
      <c r="U569" s="4" t="n">
        <f aca="false">(M569+N569+O569+P569)/L569</f>
        <v>0.0498387839705205</v>
      </c>
      <c r="V569" s="2" t="str">
        <f aca="false">IF(S569&lt;=5,"Late night (0-5)",IF(S569&lt;=11,"Morning (6-11)",IF(S569&lt;=17,"Afternoon (12-17)","Evening (18-23)")))</f>
        <v>Late night (0-5)</v>
      </c>
    </row>
    <row r="570" customFormat="false" ht="15" hidden="false" customHeight="false" outlineLevel="0" collapsed="false">
      <c r="A570" s="2" t="s">
        <v>1131</v>
      </c>
      <c r="B570" s="2" t="s">
        <v>35</v>
      </c>
      <c r="C570" s="2" t="s">
        <v>36</v>
      </c>
      <c r="D570" s="3" t="n">
        <v>45660</v>
      </c>
      <c r="E570" s="2" t="s">
        <v>739</v>
      </c>
      <c r="F570" s="2" t="s">
        <v>26</v>
      </c>
      <c r="G570" s="2" t="n">
        <v>33933</v>
      </c>
      <c r="H570" s="2" t="n">
        <v>8</v>
      </c>
      <c r="I570" s="2" t="n">
        <v>266</v>
      </c>
      <c r="J570" s="2" t="n">
        <v>0</v>
      </c>
      <c r="K570" s="2" t="n">
        <v>46017</v>
      </c>
      <c r="L570" s="2" t="n">
        <v>25646</v>
      </c>
      <c r="M570" s="2" t="n">
        <v>1036</v>
      </c>
      <c r="N570" s="2" t="n">
        <v>78</v>
      </c>
      <c r="O570" s="2" t="n">
        <v>101</v>
      </c>
      <c r="P570" s="2" t="n">
        <v>242</v>
      </c>
      <c r="Q570" s="2" t="n">
        <v>467</v>
      </c>
      <c r="R570" s="2" t="n">
        <v>54</v>
      </c>
      <c r="S570" s="2" t="n">
        <v>20</v>
      </c>
      <c r="T570" s="2" t="s">
        <v>96</v>
      </c>
      <c r="U570" s="4" t="n">
        <f aca="false">(M570+N570+O570+P570)/L570</f>
        <v>0.0568119784761756</v>
      </c>
      <c r="V570" s="2" t="str">
        <f aca="false">IF(S570&lt;=5,"Late night (0-5)",IF(S570&lt;=11,"Morning (6-11)",IF(S570&lt;=17,"Afternoon (12-17)","Evening (18-23)")))</f>
        <v>Evening (18-23)</v>
      </c>
    </row>
    <row r="571" customFormat="false" ht="15" hidden="false" customHeight="false" outlineLevel="0" collapsed="false">
      <c r="A571" s="2" t="s">
        <v>1132</v>
      </c>
      <c r="B571" s="2" t="s">
        <v>188</v>
      </c>
      <c r="C571" s="2" t="s">
        <v>30</v>
      </c>
      <c r="D571" s="3" t="n">
        <v>45743</v>
      </c>
      <c r="E571" s="2" t="s">
        <v>702</v>
      </c>
      <c r="F571" s="2" t="s">
        <v>38</v>
      </c>
      <c r="G571" s="2" t="n">
        <v>38900</v>
      </c>
      <c r="H571" s="2" t="n">
        <v>5</v>
      </c>
      <c r="I571" s="2" t="n">
        <v>62</v>
      </c>
      <c r="J571" s="2" t="n">
        <v>0</v>
      </c>
      <c r="K571" s="2" t="n">
        <v>15825</v>
      </c>
      <c r="L571" s="2" t="n">
        <v>12797</v>
      </c>
      <c r="M571" s="2" t="n">
        <v>791</v>
      </c>
      <c r="N571" s="2" t="n">
        <v>30</v>
      </c>
      <c r="O571" s="2" t="n">
        <v>25</v>
      </c>
      <c r="P571" s="2" t="n">
        <v>126</v>
      </c>
      <c r="Q571" s="2" t="n">
        <v>119</v>
      </c>
      <c r="R571" s="2" t="n">
        <v>34</v>
      </c>
      <c r="S571" s="2" t="n">
        <v>2</v>
      </c>
      <c r="T571" s="2" t="s">
        <v>79</v>
      </c>
      <c r="U571" s="4" t="n">
        <f aca="false">(M571+N571+O571+P571)/L571</f>
        <v>0.0759553020239119</v>
      </c>
      <c r="V571" s="2" t="str">
        <f aca="false">IF(S571&lt;=5,"Late night (0-5)",IF(S571&lt;=11,"Morning (6-11)",IF(S571&lt;=17,"Afternoon (12-17)","Evening (18-23)")))</f>
        <v>Late night (0-5)</v>
      </c>
    </row>
    <row r="572" customFormat="false" ht="15" hidden="false" customHeight="false" outlineLevel="0" collapsed="false">
      <c r="A572" s="2" t="s">
        <v>1133</v>
      </c>
      <c r="B572" s="2" t="s">
        <v>40</v>
      </c>
      <c r="C572" s="2" t="s">
        <v>41</v>
      </c>
      <c r="D572" s="3" t="n">
        <v>45936</v>
      </c>
      <c r="E572" s="2" t="s">
        <v>1134</v>
      </c>
      <c r="F572" s="2" t="s">
        <v>26</v>
      </c>
      <c r="G572" s="2" t="n">
        <v>23051</v>
      </c>
      <c r="H572" s="2" t="n">
        <v>12</v>
      </c>
      <c r="I572" s="2" t="n">
        <v>119</v>
      </c>
      <c r="J572" s="2" t="n">
        <v>1</v>
      </c>
      <c r="K572" s="2" t="n">
        <v>47045</v>
      </c>
      <c r="L572" s="2" t="n">
        <v>42442</v>
      </c>
      <c r="M572" s="2" t="n">
        <v>1520</v>
      </c>
      <c r="N572" s="2" t="n">
        <v>71</v>
      </c>
      <c r="O572" s="2" t="n">
        <v>241</v>
      </c>
      <c r="P572" s="2" t="n">
        <v>607</v>
      </c>
      <c r="Q572" s="2" t="n">
        <v>765</v>
      </c>
      <c r="R572" s="2" t="n">
        <v>106</v>
      </c>
      <c r="S572" s="2" t="n">
        <v>9</v>
      </c>
      <c r="T572" s="2" t="s">
        <v>33</v>
      </c>
      <c r="U572" s="4" t="n">
        <f aca="false">(M572+N572+O572+P572)/L572</f>
        <v>0.0574666603835823</v>
      </c>
      <c r="V572" s="2" t="str">
        <f aca="false">IF(S572&lt;=5,"Late night (0-5)",IF(S572&lt;=11,"Morning (6-11)",IF(S572&lt;=17,"Afternoon (12-17)","Evening (18-23)")))</f>
        <v>Morning (6-11)</v>
      </c>
    </row>
    <row r="573" customFormat="false" ht="15" hidden="false" customHeight="false" outlineLevel="0" collapsed="false">
      <c r="A573" s="2" t="s">
        <v>1135</v>
      </c>
      <c r="B573" s="2" t="s">
        <v>87</v>
      </c>
      <c r="C573" s="2" t="s">
        <v>36</v>
      </c>
      <c r="D573" s="3" t="n">
        <v>45700</v>
      </c>
      <c r="E573" s="2" t="s">
        <v>1136</v>
      </c>
      <c r="F573" s="2" t="s">
        <v>32</v>
      </c>
      <c r="G573" s="2" t="n">
        <v>25592</v>
      </c>
      <c r="H573" s="2" t="n">
        <v>2</v>
      </c>
      <c r="I573" s="2" t="n">
        <v>91</v>
      </c>
      <c r="J573" s="2" t="n">
        <v>1</v>
      </c>
      <c r="K573" s="2" t="n">
        <v>25137</v>
      </c>
      <c r="L573" s="2" t="n">
        <v>18279</v>
      </c>
      <c r="M573" s="2" t="n">
        <v>778</v>
      </c>
      <c r="N573" s="2" t="n">
        <v>15</v>
      </c>
      <c r="O573" s="2" t="n">
        <v>50</v>
      </c>
      <c r="P573" s="2" t="n">
        <v>140</v>
      </c>
      <c r="Q573" s="2" t="n">
        <v>196</v>
      </c>
      <c r="R573" s="2" t="n">
        <v>47</v>
      </c>
      <c r="S573" s="2" t="n">
        <v>6</v>
      </c>
      <c r="T573" s="2" t="s">
        <v>66</v>
      </c>
      <c r="U573" s="4" t="n">
        <f aca="false">(M573+N573+O573+P573)/L573</f>
        <v>0.053777558947426</v>
      </c>
      <c r="V573" s="2" t="str">
        <f aca="false">IF(S573&lt;=5,"Late night (0-5)",IF(S573&lt;=11,"Morning (6-11)",IF(S573&lt;=17,"Afternoon (12-17)","Evening (18-23)")))</f>
        <v>Morning (6-11)</v>
      </c>
    </row>
    <row r="574" customFormat="false" ht="15" hidden="false" customHeight="false" outlineLevel="0" collapsed="false">
      <c r="A574" s="2" t="s">
        <v>1137</v>
      </c>
      <c r="B574" s="2" t="s">
        <v>98</v>
      </c>
      <c r="C574" s="2" t="s">
        <v>54</v>
      </c>
      <c r="D574" s="3" t="n">
        <v>45944</v>
      </c>
      <c r="E574" s="2" t="s">
        <v>1138</v>
      </c>
      <c r="F574" s="2" t="s">
        <v>38</v>
      </c>
      <c r="G574" s="2" t="n">
        <v>18366</v>
      </c>
      <c r="H574" s="2" t="n">
        <v>6</v>
      </c>
      <c r="I574" s="2" t="n">
        <v>165</v>
      </c>
      <c r="J574" s="2" t="n">
        <v>1</v>
      </c>
      <c r="K574" s="2" t="n">
        <v>11857</v>
      </c>
      <c r="L574" s="2" t="n">
        <v>6751</v>
      </c>
      <c r="M574" s="2" t="n">
        <v>533</v>
      </c>
      <c r="N574" s="2" t="n">
        <v>27</v>
      </c>
      <c r="O574" s="2" t="n">
        <v>103</v>
      </c>
      <c r="P574" s="2" t="n">
        <v>46</v>
      </c>
      <c r="Q574" s="2" t="n">
        <v>128</v>
      </c>
      <c r="R574" s="2" t="n">
        <v>12</v>
      </c>
      <c r="S574" s="2" t="n">
        <v>17</v>
      </c>
      <c r="T574" s="2" t="s">
        <v>51</v>
      </c>
      <c r="U574" s="4" t="n">
        <f aca="false">(M574+N574+O574+P574)/L574</f>
        <v>0.105021478299511</v>
      </c>
      <c r="V574" s="2" t="str">
        <f aca="false">IF(S574&lt;=5,"Late night (0-5)",IF(S574&lt;=11,"Morning (6-11)",IF(S574&lt;=17,"Afternoon (12-17)","Evening (18-23)")))</f>
        <v>Afternoon (12-17)</v>
      </c>
    </row>
    <row r="575" customFormat="false" ht="15" hidden="false" customHeight="false" outlineLevel="0" collapsed="false">
      <c r="A575" s="2" t="s">
        <v>1139</v>
      </c>
      <c r="B575" s="2" t="s">
        <v>374</v>
      </c>
      <c r="C575" s="2" t="s">
        <v>24</v>
      </c>
      <c r="D575" s="3" t="n">
        <v>45895</v>
      </c>
      <c r="E575" s="2" t="s">
        <v>1140</v>
      </c>
      <c r="F575" s="2" t="s">
        <v>38</v>
      </c>
      <c r="G575" s="2" t="n">
        <v>9509</v>
      </c>
      <c r="H575" s="2" t="n">
        <v>2</v>
      </c>
      <c r="I575" s="2" t="n">
        <v>46</v>
      </c>
      <c r="J575" s="2" t="n">
        <v>0</v>
      </c>
      <c r="K575" s="2" t="n">
        <v>3805</v>
      </c>
      <c r="L575" s="2" t="n">
        <v>3276</v>
      </c>
      <c r="M575" s="2" t="n">
        <v>242</v>
      </c>
      <c r="N575" s="2" t="n">
        <v>10</v>
      </c>
      <c r="O575" s="2" t="n">
        <v>38</v>
      </c>
      <c r="P575" s="2" t="n">
        <v>41</v>
      </c>
      <c r="Q575" s="2" t="n">
        <v>82</v>
      </c>
      <c r="R575" s="2" t="n">
        <v>19</v>
      </c>
      <c r="S575" s="2" t="n">
        <v>12</v>
      </c>
      <c r="T575" s="2" t="s">
        <v>51</v>
      </c>
      <c r="U575" s="4" t="n">
        <f aca="false">(M575+N575+O575+P575)/L575</f>
        <v>0.101037851037851</v>
      </c>
      <c r="V575" s="2" t="str">
        <f aca="false">IF(S575&lt;=5,"Late night (0-5)",IF(S575&lt;=11,"Morning (6-11)",IF(S575&lt;=17,"Afternoon (12-17)","Evening (18-23)")))</f>
        <v>Afternoon (12-17)</v>
      </c>
    </row>
    <row r="576" customFormat="false" ht="15" hidden="false" customHeight="false" outlineLevel="0" collapsed="false">
      <c r="A576" s="2" t="s">
        <v>1141</v>
      </c>
      <c r="B576" s="2" t="s">
        <v>103</v>
      </c>
      <c r="C576" s="2" t="s">
        <v>36</v>
      </c>
      <c r="D576" s="3" t="n">
        <v>45846</v>
      </c>
      <c r="E576" s="2" t="s">
        <v>1142</v>
      </c>
      <c r="F576" s="2" t="s">
        <v>26</v>
      </c>
      <c r="G576" s="2" t="n">
        <v>56979</v>
      </c>
      <c r="H576" s="2" t="n">
        <v>17</v>
      </c>
      <c r="I576" s="2" t="n">
        <v>182</v>
      </c>
      <c r="J576" s="2" t="n">
        <v>0</v>
      </c>
      <c r="K576" s="2" t="n">
        <v>53763</v>
      </c>
      <c r="L576" s="2" t="n">
        <v>40011</v>
      </c>
      <c r="M576" s="2" t="n">
        <v>2833</v>
      </c>
      <c r="N576" s="2" t="n">
        <v>197</v>
      </c>
      <c r="O576" s="2" t="n">
        <v>325</v>
      </c>
      <c r="P576" s="2" t="n">
        <v>526</v>
      </c>
      <c r="Q576" s="2" t="n">
        <v>501</v>
      </c>
      <c r="R576" s="2" t="n">
        <v>65</v>
      </c>
      <c r="S576" s="2" t="n">
        <v>16</v>
      </c>
      <c r="T576" s="2" t="s">
        <v>51</v>
      </c>
      <c r="U576" s="4" t="n">
        <f aca="false">(M576+N576+O576+P576)/L576</f>
        <v>0.0969983254604984</v>
      </c>
      <c r="V576" s="2" t="str">
        <f aca="false">IF(S576&lt;=5,"Late night (0-5)",IF(S576&lt;=11,"Morning (6-11)",IF(S576&lt;=17,"Afternoon (12-17)","Evening (18-23)")))</f>
        <v>Afternoon (12-17)</v>
      </c>
    </row>
    <row r="577" customFormat="false" ht="15" hidden="false" customHeight="false" outlineLevel="0" collapsed="false">
      <c r="A577" s="2" t="s">
        <v>1143</v>
      </c>
      <c r="B577" s="2" t="s">
        <v>247</v>
      </c>
      <c r="C577" s="2" t="s">
        <v>24</v>
      </c>
      <c r="D577" s="3" t="n">
        <v>45809</v>
      </c>
      <c r="E577" s="2" t="s">
        <v>890</v>
      </c>
      <c r="F577" s="2" t="s">
        <v>26</v>
      </c>
      <c r="G577" s="2" t="n">
        <v>70847</v>
      </c>
      <c r="H577" s="2" t="n">
        <v>15</v>
      </c>
      <c r="I577" s="2" t="n">
        <v>266</v>
      </c>
      <c r="J577" s="2" t="n">
        <v>1</v>
      </c>
      <c r="K577" s="2" t="n">
        <v>89478</v>
      </c>
      <c r="L577" s="2" t="n">
        <v>68801</v>
      </c>
      <c r="M577" s="2" t="n">
        <v>4626</v>
      </c>
      <c r="N577" s="2" t="n">
        <v>314</v>
      </c>
      <c r="O577" s="2" t="n">
        <v>441</v>
      </c>
      <c r="P577" s="2" t="n">
        <v>399</v>
      </c>
      <c r="Q577" s="2" t="n">
        <v>1264</v>
      </c>
      <c r="R577" s="2" t="n">
        <v>377</v>
      </c>
      <c r="S577" s="2" t="n">
        <v>22</v>
      </c>
      <c r="T577" s="2" t="s">
        <v>27</v>
      </c>
      <c r="U577" s="4" t="n">
        <f aca="false">(M577+N577+O577+P577)/L577</f>
        <v>0.0840104068254822</v>
      </c>
      <c r="V577" s="2" t="str">
        <f aca="false">IF(S577&lt;=5,"Late night (0-5)",IF(S577&lt;=11,"Morning (6-11)",IF(S577&lt;=17,"Afternoon (12-17)","Evening (18-23)")))</f>
        <v>Evening (18-23)</v>
      </c>
    </row>
    <row r="578" customFormat="false" ht="15" hidden="false" customHeight="false" outlineLevel="0" collapsed="false">
      <c r="A578" s="2" t="s">
        <v>1144</v>
      </c>
      <c r="B578" s="2" t="s">
        <v>71</v>
      </c>
      <c r="C578" s="2" t="s">
        <v>48</v>
      </c>
      <c r="D578" s="3" t="n">
        <v>45790</v>
      </c>
      <c r="E578" s="2" t="s">
        <v>1010</v>
      </c>
      <c r="F578" s="2" t="s">
        <v>26</v>
      </c>
      <c r="G578" s="2" t="n">
        <v>7316</v>
      </c>
      <c r="H578" s="2" t="n">
        <v>9</v>
      </c>
      <c r="I578" s="2" t="n">
        <v>160</v>
      </c>
      <c r="J578" s="2" t="n">
        <v>0</v>
      </c>
      <c r="K578" s="2" t="n">
        <v>7768</v>
      </c>
      <c r="L578" s="2" t="n">
        <v>6279</v>
      </c>
      <c r="M578" s="2" t="n">
        <v>377</v>
      </c>
      <c r="N578" s="2" t="n">
        <v>8</v>
      </c>
      <c r="O578" s="2" t="n">
        <v>26</v>
      </c>
      <c r="P578" s="2" t="n">
        <v>107</v>
      </c>
      <c r="Q578" s="2" t="n">
        <v>97</v>
      </c>
      <c r="R578" s="2" t="n">
        <v>21</v>
      </c>
      <c r="S578" s="2" t="n">
        <v>8</v>
      </c>
      <c r="T578" s="2" t="s">
        <v>51</v>
      </c>
      <c r="U578" s="4" t="n">
        <f aca="false">(M578+N578+O578+P578)/L578</f>
        <v>0.0824972129319955</v>
      </c>
      <c r="V578" s="2" t="str">
        <f aca="false">IF(S578&lt;=5,"Late night (0-5)",IF(S578&lt;=11,"Morning (6-11)",IF(S578&lt;=17,"Afternoon (12-17)","Evening (18-23)")))</f>
        <v>Morning (6-11)</v>
      </c>
    </row>
    <row r="579" customFormat="false" ht="15" hidden="false" customHeight="false" outlineLevel="0" collapsed="false">
      <c r="A579" s="2" t="s">
        <v>1145</v>
      </c>
      <c r="B579" s="2" t="s">
        <v>227</v>
      </c>
      <c r="C579" s="2" t="s">
        <v>54</v>
      </c>
      <c r="D579" s="3" t="n">
        <v>45904</v>
      </c>
      <c r="E579" s="2" t="s">
        <v>1146</v>
      </c>
      <c r="F579" s="2" t="s">
        <v>32</v>
      </c>
      <c r="G579" s="2" t="n">
        <v>11796</v>
      </c>
      <c r="H579" s="2" t="n">
        <v>9</v>
      </c>
      <c r="I579" s="2" t="n">
        <v>214</v>
      </c>
      <c r="J579" s="2" t="n">
        <v>0</v>
      </c>
      <c r="K579" s="2" t="n">
        <v>10059</v>
      </c>
      <c r="L579" s="2" t="n">
        <v>7151</v>
      </c>
      <c r="M579" s="2" t="n">
        <v>698</v>
      </c>
      <c r="N579" s="2" t="n">
        <v>46</v>
      </c>
      <c r="O579" s="2" t="n">
        <v>47</v>
      </c>
      <c r="P579" s="2" t="n">
        <v>194</v>
      </c>
      <c r="Q579" s="2" t="n">
        <v>198</v>
      </c>
      <c r="R579" s="2" t="n">
        <v>27</v>
      </c>
      <c r="S579" s="2" t="n">
        <v>6</v>
      </c>
      <c r="T579" s="2" t="s">
        <v>79</v>
      </c>
      <c r="U579" s="4" t="n">
        <f aca="false">(M579+N579+O579+P579)/L579</f>
        <v>0.137742973010768</v>
      </c>
      <c r="V579" s="2" t="str">
        <f aca="false">IF(S579&lt;=5,"Late night (0-5)",IF(S579&lt;=11,"Morning (6-11)",IF(S579&lt;=17,"Afternoon (12-17)","Evening (18-23)")))</f>
        <v>Morning (6-11)</v>
      </c>
    </row>
    <row r="580" customFormat="false" ht="15" hidden="false" customHeight="false" outlineLevel="0" collapsed="false">
      <c r="A580" s="2" t="s">
        <v>1147</v>
      </c>
      <c r="B580" s="2" t="s">
        <v>431</v>
      </c>
      <c r="C580" s="2" t="s">
        <v>36</v>
      </c>
      <c r="D580" s="3" t="n">
        <v>46017</v>
      </c>
      <c r="E580" s="2" t="s">
        <v>315</v>
      </c>
      <c r="F580" s="2" t="s">
        <v>32</v>
      </c>
      <c r="G580" s="2" t="n">
        <v>64821</v>
      </c>
      <c r="H580" s="2" t="n">
        <v>13</v>
      </c>
      <c r="I580" s="2" t="n">
        <v>52</v>
      </c>
      <c r="J580" s="2" t="n">
        <v>0</v>
      </c>
      <c r="K580" s="2" t="n">
        <v>62226</v>
      </c>
      <c r="L580" s="2" t="n">
        <v>40007</v>
      </c>
      <c r="M580" s="2" t="n">
        <v>3918</v>
      </c>
      <c r="N580" s="2" t="n">
        <v>310</v>
      </c>
      <c r="O580" s="2" t="n">
        <v>246</v>
      </c>
      <c r="P580" s="2" t="n">
        <v>689</v>
      </c>
      <c r="Q580" s="2" t="n">
        <v>1073</v>
      </c>
      <c r="R580" s="2" t="n">
        <v>54</v>
      </c>
      <c r="S580" s="2" t="n">
        <v>9</v>
      </c>
      <c r="T580" s="2" t="s">
        <v>96</v>
      </c>
      <c r="U580" s="4" t="n">
        <f aca="false">(M580+N580+O580+P580)/L580</f>
        <v>0.12905241582723</v>
      </c>
      <c r="V580" s="2" t="str">
        <f aca="false">IF(S580&lt;=5,"Late night (0-5)",IF(S580&lt;=11,"Morning (6-11)",IF(S580&lt;=17,"Afternoon (12-17)","Evening (18-23)")))</f>
        <v>Morning (6-11)</v>
      </c>
    </row>
    <row r="581" customFormat="false" ht="15" hidden="false" customHeight="false" outlineLevel="0" collapsed="false">
      <c r="A581" s="2" t="s">
        <v>1148</v>
      </c>
      <c r="B581" s="2" t="s">
        <v>227</v>
      </c>
      <c r="C581" s="2" t="s">
        <v>54</v>
      </c>
      <c r="D581" s="3" t="n">
        <v>45950</v>
      </c>
      <c r="E581" s="2" t="s">
        <v>1149</v>
      </c>
      <c r="F581" s="2" t="s">
        <v>38</v>
      </c>
      <c r="G581" s="2" t="n">
        <v>11796</v>
      </c>
      <c r="H581" s="2" t="n">
        <v>16</v>
      </c>
      <c r="I581" s="2" t="n">
        <v>162</v>
      </c>
      <c r="J581" s="2" t="n">
        <v>0</v>
      </c>
      <c r="K581" s="2" t="n">
        <v>14161</v>
      </c>
      <c r="L581" s="2" t="n">
        <v>8812</v>
      </c>
      <c r="M581" s="2" t="n">
        <v>315</v>
      </c>
      <c r="N581" s="2" t="n">
        <v>23</v>
      </c>
      <c r="O581" s="2" t="n">
        <v>43</v>
      </c>
      <c r="P581" s="2" t="n">
        <v>54</v>
      </c>
      <c r="Q581" s="2" t="n">
        <v>150</v>
      </c>
      <c r="R581" s="2" t="n">
        <v>14</v>
      </c>
      <c r="S581" s="2" t="n">
        <v>8</v>
      </c>
      <c r="T581" s="2" t="s">
        <v>33</v>
      </c>
      <c r="U581" s="4" t="n">
        <f aca="false">(M581+N581+O581+P581)/L581</f>
        <v>0.049364502950522</v>
      </c>
      <c r="V581" s="2" t="str">
        <f aca="false">IF(S581&lt;=5,"Late night (0-5)",IF(S581&lt;=11,"Morning (6-11)",IF(S581&lt;=17,"Afternoon (12-17)","Evening (18-23)")))</f>
        <v>Morning (6-11)</v>
      </c>
    </row>
    <row r="582" customFormat="false" ht="15" hidden="false" customHeight="false" outlineLevel="0" collapsed="false">
      <c r="A582" s="2" t="s">
        <v>1150</v>
      </c>
      <c r="B582" s="2" t="s">
        <v>141</v>
      </c>
      <c r="C582" s="2" t="s">
        <v>48</v>
      </c>
      <c r="D582" s="3" t="n">
        <v>45710</v>
      </c>
      <c r="E582" s="2" t="s">
        <v>1151</v>
      </c>
      <c r="F582" s="2" t="s">
        <v>50</v>
      </c>
      <c r="G582" s="2" t="n">
        <v>16119</v>
      </c>
      <c r="H582" s="2" t="n">
        <v>14</v>
      </c>
      <c r="I582" s="2" t="n">
        <v>113</v>
      </c>
      <c r="J582" s="2" t="n">
        <v>0</v>
      </c>
      <c r="K582" s="2" t="n">
        <v>7128</v>
      </c>
      <c r="L582" s="2" t="n">
        <v>4455</v>
      </c>
      <c r="M582" s="2" t="n">
        <v>259</v>
      </c>
      <c r="N582" s="2" t="n">
        <v>18</v>
      </c>
      <c r="O582" s="2" t="n">
        <v>47</v>
      </c>
      <c r="P582" s="2" t="n">
        <v>69</v>
      </c>
      <c r="Q582" s="2" t="n">
        <v>29</v>
      </c>
      <c r="R582" s="2" t="n">
        <v>6</v>
      </c>
      <c r="S582" s="2" t="n">
        <v>4</v>
      </c>
      <c r="T582" s="2" t="s">
        <v>62</v>
      </c>
      <c r="U582" s="4" t="n">
        <f aca="false">(M582+N582+O582+P582)/L582</f>
        <v>0.0882154882154882</v>
      </c>
      <c r="V582" s="2" t="str">
        <f aca="false">IF(S582&lt;=5,"Late night (0-5)",IF(S582&lt;=11,"Morning (6-11)",IF(S582&lt;=17,"Afternoon (12-17)","Evening (18-23)")))</f>
        <v>Late night (0-5)</v>
      </c>
    </row>
    <row r="583" customFormat="false" ht="15" hidden="false" customHeight="false" outlineLevel="0" collapsed="false">
      <c r="A583" s="2" t="s">
        <v>1152</v>
      </c>
      <c r="B583" s="2" t="s">
        <v>310</v>
      </c>
      <c r="C583" s="2" t="s">
        <v>91</v>
      </c>
      <c r="D583" s="3" t="n">
        <v>45825</v>
      </c>
      <c r="E583" s="2" t="s">
        <v>791</v>
      </c>
      <c r="F583" s="2" t="s">
        <v>38</v>
      </c>
      <c r="G583" s="2" t="n">
        <v>56571</v>
      </c>
      <c r="H583" s="2" t="n">
        <v>14</v>
      </c>
      <c r="I583" s="2" t="n">
        <v>107</v>
      </c>
      <c r="J583" s="2" t="n">
        <v>0</v>
      </c>
      <c r="K583" s="2" t="n">
        <v>50749</v>
      </c>
      <c r="L583" s="2" t="n">
        <v>33220</v>
      </c>
      <c r="M583" s="2" t="n">
        <v>2091</v>
      </c>
      <c r="N583" s="2" t="n">
        <v>150</v>
      </c>
      <c r="O583" s="2" t="n">
        <v>277</v>
      </c>
      <c r="P583" s="2" t="n">
        <v>370</v>
      </c>
      <c r="Q583" s="2" t="n">
        <v>268</v>
      </c>
      <c r="R583" s="2" t="n">
        <v>60</v>
      </c>
      <c r="S583" s="2" t="n">
        <v>8</v>
      </c>
      <c r="T583" s="2" t="s">
        <v>51</v>
      </c>
      <c r="U583" s="4" t="n">
        <f aca="false">(M583+N583+O583+P583)/L583</f>
        <v>0.0869355809753161</v>
      </c>
      <c r="V583" s="2" t="str">
        <f aca="false">IF(S583&lt;=5,"Late night (0-5)",IF(S583&lt;=11,"Morning (6-11)",IF(S583&lt;=17,"Afternoon (12-17)","Evening (18-23)")))</f>
        <v>Morning (6-11)</v>
      </c>
    </row>
    <row r="584" customFormat="false" ht="15" hidden="false" customHeight="false" outlineLevel="0" collapsed="false">
      <c r="A584" s="2" t="s">
        <v>1153</v>
      </c>
      <c r="B584" s="2" t="s">
        <v>206</v>
      </c>
      <c r="C584" s="2" t="s">
        <v>48</v>
      </c>
      <c r="D584" s="3" t="n">
        <v>45762</v>
      </c>
      <c r="E584" s="2" t="s">
        <v>1154</v>
      </c>
      <c r="F584" s="2" t="s">
        <v>32</v>
      </c>
      <c r="G584" s="2" t="n">
        <v>42937</v>
      </c>
      <c r="H584" s="2" t="n">
        <v>6</v>
      </c>
      <c r="I584" s="2" t="n">
        <v>140</v>
      </c>
      <c r="J584" s="2" t="n">
        <v>1</v>
      </c>
      <c r="K584" s="2" t="n">
        <v>108430</v>
      </c>
      <c r="L584" s="2" t="n">
        <v>64467</v>
      </c>
      <c r="M584" s="2" t="n">
        <v>4047</v>
      </c>
      <c r="N584" s="2" t="n">
        <v>220</v>
      </c>
      <c r="O584" s="2" t="n">
        <v>767</v>
      </c>
      <c r="P584" s="2" t="n">
        <v>1040</v>
      </c>
      <c r="Q584" s="2" t="n">
        <v>703</v>
      </c>
      <c r="R584" s="2" t="n">
        <v>87</v>
      </c>
      <c r="S584" s="2" t="n">
        <v>13</v>
      </c>
      <c r="T584" s="2" t="s">
        <v>51</v>
      </c>
      <c r="U584" s="4" t="n">
        <f aca="false">(M584+N584+O584+P584)/L584</f>
        <v>0.0942187475762793</v>
      </c>
      <c r="V584" s="2" t="str">
        <f aca="false">IF(S584&lt;=5,"Late night (0-5)",IF(S584&lt;=11,"Morning (6-11)",IF(S584&lt;=17,"Afternoon (12-17)","Evening (18-23)")))</f>
        <v>Afternoon (12-17)</v>
      </c>
    </row>
    <row r="585" customFormat="false" ht="15" hidden="false" customHeight="false" outlineLevel="0" collapsed="false">
      <c r="A585" s="2" t="s">
        <v>1155</v>
      </c>
      <c r="B585" s="2" t="s">
        <v>188</v>
      </c>
      <c r="C585" s="2" t="s">
        <v>30</v>
      </c>
      <c r="D585" s="3" t="n">
        <v>45689</v>
      </c>
      <c r="E585" s="2" t="s">
        <v>837</v>
      </c>
      <c r="F585" s="2" t="s">
        <v>26</v>
      </c>
      <c r="G585" s="2" t="n">
        <v>38900</v>
      </c>
      <c r="H585" s="2" t="n">
        <v>18</v>
      </c>
      <c r="I585" s="2" t="n">
        <v>270</v>
      </c>
      <c r="J585" s="2" t="n">
        <v>1</v>
      </c>
      <c r="K585" s="2" t="n">
        <v>59456</v>
      </c>
      <c r="L585" s="2" t="n">
        <v>43276</v>
      </c>
      <c r="M585" s="2" t="n">
        <v>1434</v>
      </c>
      <c r="N585" s="2" t="n">
        <v>62</v>
      </c>
      <c r="O585" s="2" t="n">
        <v>76</v>
      </c>
      <c r="P585" s="2" t="n">
        <v>467</v>
      </c>
      <c r="Q585" s="2" t="n">
        <v>1117</v>
      </c>
      <c r="R585" s="2" t="n">
        <v>247</v>
      </c>
      <c r="S585" s="2" t="n">
        <v>11</v>
      </c>
      <c r="T585" s="2" t="s">
        <v>62</v>
      </c>
      <c r="U585" s="4" t="n">
        <f aca="false">(M585+N585+O585+P585)/L585</f>
        <v>0.0471161844902486</v>
      </c>
      <c r="V585" s="2" t="str">
        <f aca="false">IF(S585&lt;=5,"Late night (0-5)",IF(S585&lt;=11,"Morning (6-11)",IF(S585&lt;=17,"Afternoon (12-17)","Evening (18-23)")))</f>
        <v>Morning (6-11)</v>
      </c>
    </row>
    <row r="586" customFormat="false" ht="15" hidden="false" customHeight="false" outlineLevel="0" collapsed="false">
      <c r="A586" s="2" t="s">
        <v>1156</v>
      </c>
      <c r="B586" s="2" t="s">
        <v>220</v>
      </c>
      <c r="C586" s="2" t="s">
        <v>48</v>
      </c>
      <c r="D586" s="3" t="n">
        <v>45849</v>
      </c>
      <c r="E586" s="2" t="s">
        <v>1122</v>
      </c>
      <c r="F586" s="2" t="s">
        <v>32</v>
      </c>
      <c r="G586" s="2" t="n">
        <v>18917</v>
      </c>
      <c r="H586" s="2" t="n">
        <v>7</v>
      </c>
      <c r="I586" s="2" t="n">
        <v>201</v>
      </c>
      <c r="J586" s="2" t="n">
        <v>0</v>
      </c>
      <c r="K586" s="2" t="n">
        <v>45274</v>
      </c>
      <c r="L586" s="2" t="n">
        <v>26833</v>
      </c>
      <c r="M586" s="2" t="n">
        <v>2591</v>
      </c>
      <c r="N586" s="2" t="n">
        <v>98</v>
      </c>
      <c r="O586" s="2" t="n">
        <v>680</v>
      </c>
      <c r="P586" s="2" t="n">
        <v>339</v>
      </c>
      <c r="Q586" s="2" t="n">
        <v>290</v>
      </c>
      <c r="R586" s="2" t="n">
        <v>14</v>
      </c>
      <c r="S586" s="2" t="n">
        <v>6</v>
      </c>
      <c r="T586" s="2" t="s">
        <v>96</v>
      </c>
      <c r="U586" s="4" t="n">
        <f aca="false">(M586+N586+O586+P586)/L586</f>
        <v>0.138188052025491</v>
      </c>
      <c r="V586" s="2" t="str">
        <f aca="false">IF(S586&lt;=5,"Late night (0-5)",IF(S586&lt;=11,"Morning (6-11)",IF(S586&lt;=17,"Afternoon (12-17)","Evening (18-23)")))</f>
        <v>Morning (6-11)</v>
      </c>
    </row>
    <row r="587" customFormat="false" ht="15" hidden="false" customHeight="false" outlineLevel="0" collapsed="false">
      <c r="A587" s="2" t="s">
        <v>1157</v>
      </c>
      <c r="B587" s="2" t="s">
        <v>74</v>
      </c>
      <c r="C587" s="2" t="s">
        <v>30</v>
      </c>
      <c r="D587" s="3" t="n">
        <v>45992</v>
      </c>
      <c r="E587" s="2" t="s">
        <v>893</v>
      </c>
      <c r="F587" s="2" t="s">
        <v>38</v>
      </c>
      <c r="G587" s="2" t="n">
        <v>20432</v>
      </c>
      <c r="H587" s="2" t="n">
        <v>11</v>
      </c>
      <c r="I587" s="2" t="n">
        <v>144</v>
      </c>
      <c r="J587" s="2" t="n">
        <v>1</v>
      </c>
      <c r="K587" s="2" t="n">
        <v>41841</v>
      </c>
      <c r="L587" s="2" t="n">
        <v>23285</v>
      </c>
      <c r="M587" s="2" t="n">
        <v>1216</v>
      </c>
      <c r="N587" s="2" t="n">
        <v>76</v>
      </c>
      <c r="O587" s="2" t="n">
        <v>120</v>
      </c>
      <c r="P587" s="2" t="n">
        <v>103</v>
      </c>
      <c r="Q587" s="2" t="n">
        <v>312</v>
      </c>
      <c r="R587" s="2" t="n">
        <v>33</v>
      </c>
      <c r="S587" s="2" t="n">
        <v>11</v>
      </c>
      <c r="T587" s="2" t="s">
        <v>33</v>
      </c>
      <c r="U587" s="4" t="n">
        <f aca="false">(M587+N587+O587+P587)/L587</f>
        <v>0.0650633455013958</v>
      </c>
      <c r="V587" s="2" t="str">
        <f aca="false">IF(S587&lt;=5,"Late night (0-5)",IF(S587&lt;=11,"Morning (6-11)",IF(S587&lt;=17,"Afternoon (12-17)","Evening (18-23)")))</f>
        <v>Morning (6-11)</v>
      </c>
    </row>
    <row r="588" customFormat="false" ht="15" hidden="false" customHeight="false" outlineLevel="0" collapsed="false">
      <c r="A588" s="2" t="s">
        <v>1158</v>
      </c>
      <c r="B588" s="2" t="s">
        <v>426</v>
      </c>
      <c r="C588" s="2" t="s">
        <v>30</v>
      </c>
      <c r="D588" s="3" t="n">
        <v>45852</v>
      </c>
      <c r="E588" s="2" t="s">
        <v>908</v>
      </c>
      <c r="F588" s="2" t="s">
        <v>32</v>
      </c>
      <c r="G588" s="2" t="n">
        <v>40649</v>
      </c>
      <c r="H588" s="2" t="n">
        <v>11</v>
      </c>
      <c r="I588" s="2" t="n">
        <v>168</v>
      </c>
      <c r="J588" s="2" t="n">
        <v>1</v>
      </c>
      <c r="K588" s="2" t="n">
        <v>42073</v>
      </c>
      <c r="L588" s="2" t="n">
        <v>29915</v>
      </c>
      <c r="M588" s="2" t="n">
        <v>2412</v>
      </c>
      <c r="N588" s="2" t="n">
        <v>103</v>
      </c>
      <c r="O588" s="2" t="n">
        <v>348</v>
      </c>
      <c r="P588" s="2" t="n">
        <v>330</v>
      </c>
      <c r="Q588" s="2" t="n">
        <v>813</v>
      </c>
      <c r="R588" s="2" t="n">
        <v>44</v>
      </c>
      <c r="S588" s="2" t="n">
        <v>3</v>
      </c>
      <c r="T588" s="2" t="s">
        <v>33</v>
      </c>
      <c r="U588" s="4" t="n">
        <f aca="false">(M588+N588+O588+P588)/L588</f>
        <v>0.106735751295337</v>
      </c>
      <c r="V588" s="2" t="str">
        <f aca="false">IF(S588&lt;=5,"Late night (0-5)",IF(S588&lt;=11,"Morning (6-11)",IF(S588&lt;=17,"Afternoon (12-17)","Evening (18-23)")))</f>
        <v>Late night (0-5)</v>
      </c>
    </row>
    <row r="589" customFormat="false" ht="15" hidden="false" customHeight="false" outlineLevel="0" collapsed="false">
      <c r="A589" s="2" t="s">
        <v>1159</v>
      </c>
      <c r="B589" s="2" t="s">
        <v>431</v>
      </c>
      <c r="C589" s="2" t="s">
        <v>36</v>
      </c>
      <c r="D589" s="3" t="n">
        <v>45851</v>
      </c>
      <c r="E589" s="2" t="s">
        <v>1064</v>
      </c>
      <c r="F589" s="2" t="s">
        <v>26</v>
      </c>
      <c r="G589" s="2" t="n">
        <v>64821</v>
      </c>
      <c r="H589" s="2" t="n">
        <v>13</v>
      </c>
      <c r="I589" s="2" t="n">
        <v>164</v>
      </c>
      <c r="J589" s="2" t="n">
        <v>0</v>
      </c>
      <c r="K589" s="2" t="n">
        <v>128476</v>
      </c>
      <c r="L589" s="2" t="n">
        <v>74093</v>
      </c>
      <c r="M589" s="2" t="n">
        <v>2980</v>
      </c>
      <c r="N589" s="2" t="n">
        <v>77</v>
      </c>
      <c r="O589" s="2" t="n">
        <v>177</v>
      </c>
      <c r="P589" s="2" t="n">
        <v>1181</v>
      </c>
      <c r="Q589" s="2" t="n">
        <v>780</v>
      </c>
      <c r="R589" s="2" t="n">
        <v>192</v>
      </c>
      <c r="S589" s="2" t="n">
        <v>8</v>
      </c>
      <c r="T589" s="2" t="s">
        <v>27</v>
      </c>
      <c r="U589" s="4" t="n">
        <f aca="false">(M589+N589+O589+P589)/L589</f>
        <v>0.0595872754511222</v>
      </c>
      <c r="V589" s="2" t="str">
        <f aca="false">IF(S589&lt;=5,"Late night (0-5)",IF(S589&lt;=11,"Morning (6-11)",IF(S589&lt;=17,"Afternoon (12-17)","Evening (18-23)")))</f>
        <v>Morning (6-11)</v>
      </c>
    </row>
    <row r="590" customFormat="false" ht="15" hidden="false" customHeight="false" outlineLevel="0" collapsed="false">
      <c r="A590" s="2" t="s">
        <v>1160</v>
      </c>
      <c r="B590" s="2" t="s">
        <v>98</v>
      </c>
      <c r="C590" s="2" t="s">
        <v>54</v>
      </c>
      <c r="D590" s="3" t="n">
        <v>45978</v>
      </c>
      <c r="E590" s="2" t="s">
        <v>1161</v>
      </c>
      <c r="F590" s="2" t="s">
        <v>32</v>
      </c>
      <c r="G590" s="2" t="n">
        <v>18366</v>
      </c>
      <c r="H590" s="2" t="n">
        <v>7</v>
      </c>
      <c r="I590" s="2" t="n">
        <v>199</v>
      </c>
      <c r="J590" s="2" t="n">
        <v>0</v>
      </c>
      <c r="K590" s="2" t="n">
        <v>55178</v>
      </c>
      <c r="L590" s="2" t="n">
        <v>32954</v>
      </c>
      <c r="M590" s="2" t="n">
        <v>1196</v>
      </c>
      <c r="N590" s="2" t="n">
        <v>83</v>
      </c>
      <c r="O590" s="2" t="n">
        <v>71</v>
      </c>
      <c r="P590" s="2" t="n">
        <v>320</v>
      </c>
      <c r="Q590" s="2" t="n">
        <v>945</v>
      </c>
      <c r="R590" s="2" t="n">
        <v>240</v>
      </c>
      <c r="S590" s="2" t="n">
        <v>20</v>
      </c>
      <c r="T590" s="2" t="s">
        <v>33</v>
      </c>
      <c r="U590" s="4" t="n">
        <f aca="false">(M590+N590+O590+P590)/L590</f>
        <v>0.0506767008557383</v>
      </c>
      <c r="V590" s="2" t="str">
        <f aca="false">IF(S590&lt;=5,"Late night (0-5)",IF(S590&lt;=11,"Morning (6-11)",IF(S590&lt;=17,"Afternoon (12-17)","Evening (18-23)")))</f>
        <v>Evening (18-23)</v>
      </c>
    </row>
    <row r="591" customFormat="false" ht="15" hidden="false" customHeight="false" outlineLevel="0" collapsed="false">
      <c r="A591" s="2" t="s">
        <v>1162</v>
      </c>
      <c r="B591" s="2" t="s">
        <v>83</v>
      </c>
      <c r="C591" s="2" t="s">
        <v>84</v>
      </c>
      <c r="D591" s="3" t="n">
        <v>45996</v>
      </c>
      <c r="E591" s="2" t="s">
        <v>1163</v>
      </c>
      <c r="F591" s="2" t="s">
        <v>50</v>
      </c>
      <c r="G591" s="2" t="n">
        <v>17918</v>
      </c>
      <c r="H591" s="2" t="n">
        <v>6</v>
      </c>
      <c r="I591" s="2" t="n">
        <v>191</v>
      </c>
      <c r="J591" s="2" t="n">
        <v>1</v>
      </c>
      <c r="K591" s="2" t="n">
        <v>10341</v>
      </c>
      <c r="L591" s="2" t="n">
        <v>7353</v>
      </c>
      <c r="M591" s="2" t="n">
        <v>225</v>
      </c>
      <c r="N591" s="2" t="n">
        <v>5</v>
      </c>
      <c r="O591" s="2" t="n">
        <v>29</v>
      </c>
      <c r="P591" s="2" t="n">
        <v>52</v>
      </c>
      <c r="Q591" s="2" t="n">
        <v>67</v>
      </c>
      <c r="R591" s="2" t="n">
        <v>15</v>
      </c>
      <c r="S591" s="2" t="n">
        <v>15</v>
      </c>
      <c r="T591" s="2" t="s">
        <v>96</v>
      </c>
      <c r="U591" s="4" t="n">
        <f aca="false">(M591+N591+O591+P591)/L591</f>
        <v>0.0422956616347069</v>
      </c>
      <c r="V591" s="2" t="str">
        <f aca="false">IF(S591&lt;=5,"Late night (0-5)",IF(S591&lt;=11,"Morning (6-11)",IF(S591&lt;=17,"Afternoon (12-17)","Evening (18-23)")))</f>
        <v>Afternoon (12-17)</v>
      </c>
    </row>
    <row r="592" customFormat="false" ht="15" hidden="false" customHeight="false" outlineLevel="0" collapsed="false">
      <c r="A592" s="2" t="s">
        <v>1164</v>
      </c>
      <c r="B592" s="2" t="s">
        <v>431</v>
      </c>
      <c r="C592" s="2" t="s">
        <v>36</v>
      </c>
      <c r="D592" s="3" t="n">
        <v>45889</v>
      </c>
      <c r="E592" s="2" t="s">
        <v>1165</v>
      </c>
      <c r="F592" s="2" t="s">
        <v>38</v>
      </c>
      <c r="G592" s="2" t="n">
        <v>64821</v>
      </c>
      <c r="H592" s="2" t="n">
        <v>5</v>
      </c>
      <c r="I592" s="2" t="n">
        <v>245</v>
      </c>
      <c r="J592" s="2" t="n">
        <v>0</v>
      </c>
      <c r="K592" s="2" t="n">
        <v>17456</v>
      </c>
      <c r="L592" s="2" t="n">
        <v>11206</v>
      </c>
      <c r="M592" s="2" t="n">
        <v>659</v>
      </c>
      <c r="N592" s="2" t="n">
        <v>33</v>
      </c>
      <c r="O592" s="2" t="n">
        <v>29</v>
      </c>
      <c r="P592" s="2" t="n">
        <v>142</v>
      </c>
      <c r="Q592" s="2" t="n">
        <v>298</v>
      </c>
      <c r="R592" s="2" t="n">
        <v>25</v>
      </c>
      <c r="S592" s="2" t="n">
        <v>9</v>
      </c>
      <c r="T592" s="2" t="s">
        <v>66</v>
      </c>
      <c r="U592" s="4" t="n">
        <f aca="false">(M592+N592+O592+P592)/L592</f>
        <v>0.0770123148313404</v>
      </c>
      <c r="V592" s="2" t="str">
        <f aca="false">IF(S592&lt;=5,"Late night (0-5)",IF(S592&lt;=11,"Morning (6-11)",IF(S592&lt;=17,"Afternoon (12-17)","Evening (18-23)")))</f>
        <v>Morning (6-11)</v>
      </c>
    </row>
    <row r="593" customFormat="false" ht="15" hidden="false" customHeight="false" outlineLevel="0" collapsed="false">
      <c r="A593" s="2" t="s">
        <v>1166</v>
      </c>
      <c r="B593" s="2" t="s">
        <v>431</v>
      </c>
      <c r="C593" s="2" t="s">
        <v>36</v>
      </c>
      <c r="D593" s="3" t="n">
        <v>45898</v>
      </c>
      <c r="E593" s="2" t="s">
        <v>1167</v>
      </c>
      <c r="F593" s="2" t="s">
        <v>32</v>
      </c>
      <c r="G593" s="2" t="n">
        <v>64821</v>
      </c>
      <c r="H593" s="2" t="n">
        <v>8</v>
      </c>
      <c r="I593" s="2" t="n">
        <v>73</v>
      </c>
      <c r="J593" s="2" t="n">
        <v>0</v>
      </c>
      <c r="K593" s="2" t="n">
        <v>57496</v>
      </c>
      <c r="L593" s="2" t="n">
        <v>43225</v>
      </c>
      <c r="M593" s="2" t="n">
        <v>3269</v>
      </c>
      <c r="N593" s="2" t="n">
        <v>73</v>
      </c>
      <c r="O593" s="2" t="n">
        <v>462</v>
      </c>
      <c r="P593" s="2" t="n">
        <v>618</v>
      </c>
      <c r="Q593" s="2" t="n">
        <v>221</v>
      </c>
      <c r="R593" s="2" t="n">
        <v>46</v>
      </c>
      <c r="S593" s="2" t="n">
        <v>6</v>
      </c>
      <c r="T593" s="2" t="s">
        <v>96</v>
      </c>
      <c r="U593" s="4" t="n">
        <f aca="false">(M593+N593+O593+P593)/L593</f>
        <v>0.102301908617698</v>
      </c>
      <c r="V593" s="2" t="str">
        <f aca="false">IF(S593&lt;=5,"Late night (0-5)",IF(S593&lt;=11,"Morning (6-11)",IF(S593&lt;=17,"Afternoon (12-17)","Evening (18-23)")))</f>
        <v>Morning (6-11)</v>
      </c>
    </row>
    <row r="594" customFormat="false" ht="15" hidden="false" customHeight="false" outlineLevel="0" collapsed="false">
      <c r="A594" s="2" t="s">
        <v>1168</v>
      </c>
      <c r="B594" s="2" t="s">
        <v>151</v>
      </c>
      <c r="C594" s="2" t="s">
        <v>36</v>
      </c>
      <c r="D594" s="3" t="n">
        <v>45924</v>
      </c>
      <c r="E594" s="2" t="s">
        <v>1169</v>
      </c>
      <c r="F594" s="2" t="s">
        <v>38</v>
      </c>
      <c r="G594" s="2" t="n">
        <v>19247</v>
      </c>
      <c r="H594" s="2" t="n">
        <v>27</v>
      </c>
      <c r="I594" s="2" t="n">
        <v>82</v>
      </c>
      <c r="J594" s="2" t="n">
        <v>0</v>
      </c>
      <c r="K594" s="2" t="n">
        <v>13754</v>
      </c>
      <c r="L594" s="2" t="n">
        <v>9373</v>
      </c>
      <c r="M594" s="2" t="n">
        <v>289</v>
      </c>
      <c r="N594" s="2" t="n">
        <v>19</v>
      </c>
      <c r="O594" s="2" t="n">
        <v>52</v>
      </c>
      <c r="P594" s="2" t="n">
        <v>75</v>
      </c>
      <c r="Q594" s="2" t="n">
        <v>271</v>
      </c>
      <c r="R594" s="2" t="n">
        <v>74</v>
      </c>
      <c r="S594" s="2" t="n">
        <v>0</v>
      </c>
      <c r="T594" s="2" t="s">
        <v>66</v>
      </c>
      <c r="U594" s="4" t="n">
        <f aca="false">(M594+N594+O594+P594)/L594</f>
        <v>0.0464099007788328</v>
      </c>
      <c r="V594" s="2" t="str">
        <f aca="false">IF(S594&lt;=5,"Late night (0-5)",IF(S594&lt;=11,"Morning (6-11)",IF(S594&lt;=17,"Afternoon (12-17)","Evening (18-23)")))</f>
        <v>Late night (0-5)</v>
      </c>
    </row>
    <row r="595" customFormat="false" ht="15" hidden="false" customHeight="false" outlineLevel="0" collapsed="false">
      <c r="A595" s="2" t="s">
        <v>1170</v>
      </c>
      <c r="B595" s="2" t="s">
        <v>23</v>
      </c>
      <c r="C595" s="2" t="s">
        <v>24</v>
      </c>
      <c r="D595" s="3" t="n">
        <v>45773</v>
      </c>
      <c r="E595" s="2" t="s">
        <v>1014</v>
      </c>
      <c r="F595" s="2" t="s">
        <v>38</v>
      </c>
      <c r="G595" s="2" t="n">
        <v>63447</v>
      </c>
      <c r="H595" s="2" t="n">
        <v>12</v>
      </c>
      <c r="I595" s="2" t="n">
        <v>181</v>
      </c>
      <c r="J595" s="2" t="n">
        <v>0</v>
      </c>
      <c r="K595" s="2" t="n">
        <v>47123</v>
      </c>
      <c r="L595" s="2" t="n">
        <v>38467</v>
      </c>
      <c r="M595" s="2" t="n">
        <v>3347</v>
      </c>
      <c r="N595" s="2" t="n">
        <v>79</v>
      </c>
      <c r="O595" s="2" t="n">
        <v>416</v>
      </c>
      <c r="P595" s="2" t="n">
        <v>242</v>
      </c>
      <c r="Q595" s="2" t="n">
        <v>738</v>
      </c>
      <c r="R595" s="2" t="n">
        <v>108</v>
      </c>
      <c r="S595" s="2" t="n">
        <v>2</v>
      </c>
      <c r="T595" s="2" t="s">
        <v>62</v>
      </c>
      <c r="U595" s="4" t="n">
        <f aca="false">(M595+N595+O595+P595)/L595</f>
        <v>0.10616892401279</v>
      </c>
      <c r="V595" s="2" t="str">
        <f aca="false">IF(S595&lt;=5,"Late night (0-5)",IF(S595&lt;=11,"Morning (6-11)",IF(S595&lt;=17,"Afternoon (12-17)","Evening (18-23)")))</f>
        <v>Late night (0-5)</v>
      </c>
    </row>
    <row r="596" customFormat="false" ht="15" hidden="false" customHeight="false" outlineLevel="0" collapsed="false">
      <c r="A596" s="2" t="s">
        <v>1171</v>
      </c>
      <c r="B596" s="2" t="s">
        <v>64</v>
      </c>
      <c r="C596" s="2" t="s">
        <v>36</v>
      </c>
      <c r="D596" s="3" t="n">
        <v>45773</v>
      </c>
      <c r="E596" s="2" t="s">
        <v>1172</v>
      </c>
      <c r="F596" s="2" t="s">
        <v>38</v>
      </c>
      <c r="G596" s="2" t="n">
        <v>43781</v>
      </c>
      <c r="H596" s="2" t="n">
        <v>25</v>
      </c>
      <c r="I596" s="2" t="n">
        <v>159</v>
      </c>
      <c r="J596" s="2" t="n">
        <v>1</v>
      </c>
      <c r="K596" s="2" t="n">
        <v>12977</v>
      </c>
      <c r="L596" s="2" t="n">
        <v>10692</v>
      </c>
      <c r="M596" s="2" t="n">
        <v>646</v>
      </c>
      <c r="N596" s="2" t="n">
        <v>37</v>
      </c>
      <c r="O596" s="2" t="n">
        <v>108</v>
      </c>
      <c r="P596" s="2" t="n">
        <v>53</v>
      </c>
      <c r="Q596" s="2" t="n">
        <v>218</v>
      </c>
      <c r="R596" s="2" t="n">
        <v>53</v>
      </c>
      <c r="S596" s="2" t="n">
        <v>10</v>
      </c>
      <c r="T596" s="2" t="s">
        <v>62</v>
      </c>
      <c r="U596" s="4" t="n">
        <f aca="false">(M596+N596+O596+P596)/L596</f>
        <v>0.0789375233819678</v>
      </c>
      <c r="V596" s="2" t="str">
        <f aca="false">IF(S596&lt;=5,"Late night (0-5)",IF(S596&lt;=11,"Morning (6-11)",IF(S596&lt;=17,"Afternoon (12-17)","Evening (18-23)")))</f>
        <v>Morning (6-11)</v>
      </c>
    </row>
    <row r="597" customFormat="false" ht="15" hidden="false" customHeight="false" outlineLevel="0" collapsed="false">
      <c r="A597" s="2" t="s">
        <v>1173</v>
      </c>
      <c r="B597" s="2" t="s">
        <v>409</v>
      </c>
      <c r="C597" s="2" t="s">
        <v>48</v>
      </c>
      <c r="D597" s="3" t="n">
        <v>45827</v>
      </c>
      <c r="E597" s="2" t="s">
        <v>1174</v>
      </c>
      <c r="F597" s="2" t="s">
        <v>32</v>
      </c>
      <c r="G597" s="2" t="n">
        <v>31525</v>
      </c>
      <c r="H597" s="2" t="n">
        <v>7</v>
      </c>
      <c r="I597" s="2" t="n">
        <v>193</v>
      </c>
      <c r="J597" s="2" t="n">
        <v>1</v>
      </c>
      <c r="K597" s="2" t="n">
        <v>36966</v>
      </c>
      <c r="L597" s="2" t="n">
        <v>21040</v>
      </c>
      <c r="M597" s="2" t="n">
        <v>1860</v>
      </c>
      <c r="N597" s="2" t="n">
        <v>86</v>
      </c>
      <c r="O597" s="2" t="n">
        <v>499</v>
      </c>
      <c r="P597" s="2" t="n">
        <v>338</v>
      </c>
      <c r="Q597" s="2" t="n">
        <v>496</v>
      </c>
      <c r="R597" s="2" t="n">
        <v>126</v>
      </c>
      <c r="S597" s="2" t="n">
        <v>1</v>
      </c>
      <c r="T597" s="2" t="s">
        <v>79</v>
      </c>
      <c r="U597" s="4" t="n">
        <f aca="false">(M597+N597+O597+P597)/L597</f>
        <v>0.132271863117871</v>
      </c>
      <c r="V597" s="2" t="str">
        <f aca="false">IF(S597&lt;=5,"Late night (0-5)",IF(S597&lt;=11,"Morning (6-11)",IF(S597&lt;=17,"Afternoon (12-17)","Evening (18-23)")))</f>
        <v>Late night (0-5)</v>
      </c>
    </row>
    <row r="598" customFormat="false" ht="15" hidden="false" customHeight="false" outlineLevel="0" collapsed="false">
      <c r="A598" s="2" t="s">
        <v>1175</v>
      </c>
      <c r="B598" s="2" t="s">
        <v>47</v>
      </c>
      <c r="C598" s="2" t="s">
        <v>48</v>
      </c>
      <c r="D598" s="3" t="n">
        <v>45878</v>
      </c>
      <c r="E598" s="2" t="s">
        <v>1176</v>
      </c>
      <c r="F598" s="2" t="s">
        <v>32</v>
      </c>
      <c r="G598" s="2" t="n">
        <v>19609</v>
      </c>
      <c r="H598" s="2" t="n">
        <v>6</v>
      </c>
      <c r="I598" s="2" t="n">
        <v>187</v>
      </c>
      <c r="J598" s="2" t="n">
        <v>1</v>
      </c>
      <c r="K598" s="2" t="n">
        <v>12185</v>
      </c>
      <c r="L598" s="2" t="n">
        <v>10396</v>
      </c>
      <c r="M598" s="2" t="n">
        <v>379</v>
      </c>
      <c r="N598" s="2" t="n">
        <v>27</v>
      </c>
      <c r="O598" s="2" t="n">
        <v>85</v>
      </c>
      <c r="P598" s="2" t="n">
        <v>52</v>
      </c>
      <c r="Q598" s="2" t="n">
        <v>206</v>
      </c>
      <c r="R598" s="2" t="n">
        <v>21</v>
      </c>
      <c r="S598" s="2" t="n">
        <v>3</v>
      </c>
      <c r="T598" s="2" t="s">
        <v>62</v>
      </c>
      <c r="U598" s="4" t="n">
        <f aca="false">(M598+N598+O598+P598)/L598</f>
        <v>0.0522316275490573</v>
      </c>
      <c r="V598" s="2" t="str">
        <f aca="false">IF(S598&lt;=5,"Late night (0-5)",IF(S598&lt;=11,"Morning (6-11)",IF(S598&lt;=17,"Afternoon (12-17)","Evening (18-23)")))</f>
        <v>Late night (0-5)</v>
      </c>
    </row>
    <row r="599" customFormat="false" ht="15" hidden="false" customHeight="false" outlineLevel="0" collapsed="false">
      <c r="A599" s="2" t="s">
        <v>1177</v>
      </c>
      <c r="B599" s="2" t="s">
        <v>111</v>
      </c>
      <c r="C599" s="2" t="s">
        <v>48</v>
      </c>
      <c r="D599" s="3" t="n">
        <v>45706</v>
      </c>
      <c r="E599" s="2" t="s">
        <v>1178</v>
      </c>
      <c r="F599" s="2" t="s">
        <v>26</v>
      </c>
      <c r="G599" s="2" t="n">
        <v>16824</v>
      </c>
      <c r="H599" s="2" t="n">
        <v>15</v>
      </c>
      <c r="I599" s="2" t="n">
        <v>182</v>
      </c>
      <c r="J599" s="2" t="n">
        <v>1</v>
      </c>
      <c r="K599" s="2" t="n">
        <v>7898</v>
      </c>
      <c r="L599" s="2" t="n">
        <v>6249</v>
      </c>
      <c r="M599" s="2" t="n">
        <v>461</v>
      </c>
      <c r="N599" s="2" t="n">
        <v>35</v>
      </c>
      <c r="O599" s="2" t="n">
        <v>73</v>
      </c>
      <c r="P599" s="2" t="n">
        <v>173</v>
      </c>
      <c r="Q599" s="2" t="n">
        <v>112</v>
      </c>
      <c r="R599" s="2" t="n">
        <v>28</v>
      </c>
      <c r="S599" s="2" t="n">
        <v>6</v>
      </c>
      <c r="T599" s="2" t="s">
        <v>51</v>
      </c>
      <c r="U599" s="4" t="n">
        <f aca="false">(M599+N599+O599+P599)/L599</f>
        <v>0.118738998239718</v>
      </c>
      <c r="V599" s="2" t="str">
        <f aca="false">IF(S599&lt;=5,"Late night (0-5)",IF(S599&lt;=11,"Morning (6-11)",IF(S599&lt;=17,"Afternoon (12-17)","Evening (18-23)")))</f>
        <v>Morning (6-11)</v>
      </c>
    </row>
    <row r="600" customFormat="false" ht="15" hidden="false" customHeight="false" outlineLevel="0" collapsed="false">
      <c r="A600" s="2" t="s">
        <v>1179</v>
      </c>
      <c r="B600" s="2" t="s">
        <v>206</v>
      </c>
      <c r="C600" s="2" t="s">
        <v>48</v>
      </c>
      <c r="D600" s="3" t="n">
        <v>45695</v>
      </c>
      <c r="E600" s="2" t="s">
        <v>482</v>
      </c>
      <c r="F600" s="2" t="s">
        <v>26</v>
      </c>
      <c r="G600" s="2" t="n">
        <v>42937</v>
      </c>
      <c r="H600" s="2" t="n">
        <v>16</v>
      </c>
      <c r="I600" s="2" t="n">
        <v>164</v>
      </c>
      <c r="J600" s="2" t="n">
        <v>0</v>
      </c>
      <c r="K600" s="2" t="n">
        <v>88139</v>
      </c>
      <c r="L600" s="2" t="n">
        <v>49926</v>
      </c>
      <c r="M600" s="2" t="n">
        <v>1797</v>
      </c>
      <c r="N600" s="2" t="n">
        <v>107</v>
      </c>
      <c r="O600" s="2" t="n">
        <v>348</v>
      </c>
      <c r="P600" s="2" t="n">
        <v>537</v>
      </c>
      <c r="Q600" s="2" t="n">
        <v>1371</v>
      </c>
      <c r="R600" s="2" t="n">
        <v>408</v>
      </c>
      <c r="S600" s="2" t="n">
        <v>14</v>
      </c>
      <c r="T600" s="2" t="s">
        <v>96</v>
      </c>
      <c r="U600" s="4" t="n">
        <f aca="false">(M600+N600+O600+P600)/L600</f>
        <v>0.0558626767616072</v>
      </c>
      <c r="V600" s="2" t="str">
        <f aca="false">IF(S600&lt;=5,"Late night (0-5)",IF(S600&lt;=11,"Morning (6-11)",IF(S600&lt;=17,"Afternoon (12-17)","Evening (18-23)")))</f>
        <v>Afternoon (12-17)</v>
      </c>
    </row>
    <row r="601" customFormat="false" ht="15" hidden="false" customHeight="false" outlineLevel="0" collapsed="false">
      <c r="A601" s="2" t="s">
        <v>1180</v>
      </c>
      <c r="B601" s="2" t="s">
        <v>243</v>
      </c>
      <c r="C601" s="2" t="s">
        <v>91</v>
      </c>
      <c r="D601" s="3" t="n">
        <v>45711</v>
      </c>
      <c r="E601" s="2" t="s">
        <v>1181</v>
      </c>
      <c r="F601" s="2" t="s">
        <v>38</v>
      </c>
      <c r="G601" s="2" t="n">
        <v>42046</v>
      </c>
      <c r="H601" s="2" t="n">
        <v>11</v>
      </c>
      <c r="I601" s="2" t="n">
        <v>203</v>
      </c>
      <c r="J601" s="2" t="n">
        <v>1</v>
      </c>
      <c r="K601" s="2" t="n">
        <v>29497</v>
      </c>
      <c r="L601" s="2" t="n">
        <v>26414</v>
      </c>
      <c r="M601" s="2" t="n">
        <v>935</v>
      </c>
      <c r="N601" s="2" t="n">
        <v>23</v>
      </c>
      <c r="O601" s="2" t="n">
        <v>37</v>
      </c>
      <c r="P601" s="2" t="n">
        <v>124</v>
      </c>
      <c r="Q601" s="2" t="n">
        <v>368</v>
      </c>
      <c r="R601" s="2" t="n">
        <v>82</v>
      </c>
      <c r="S601" s="2" t="n">
        <v>13</v>
      </c>
      <c r="T601" s="2" t="s">
        <v>27</v>
      </c>
      <c r="U601" s="4" t="n">
        <f aca="false">(M601+N601+O601+P601)/L601</f>
        <v>0.0423638979329144</v>
      </c>
      <c r="V601" s="2" t="str">
        <f aca="false">IF(S601&lt;=5,"Late night (0-5)",IF(S601&lt;=11,"Morning (6-11)",IF(S601&lt;=17,"Afternoon (12-17)","Evening (18-23)")))</f>
        <v>Afternoon (12-17)</v>
      </c>
    </row>
    <row r="602" customFormat="false" ht="15" hidden="false" customHeight="false" outlineLevel="0" collapsed="false">
      <c r="A602" s="2" t="s">
        <v>1182</v>
      </c>
      <c r="B602" s="2" t="s">
        <v>220</v>
      </c>
      <c r="C602" s="2" t="s">
        <v>48</v>
      </c>
      <c r="D602" s="3" t="n">
        <v>45685</v>
      </c>
      <c r="E602" s="2" t="s">
        <v>1183</v>
      </c>
      <c r="F602" s="2" t="s">
        <v>26</v>
      </c>
      <c r="G602" s="2" t="n">
        <v>18917</v>
      </c>
      <c r="H602" s="2" t="n">
        <v>14</v>
      </c>
      <c r="I602" s="2" t="n">
        <v>119</v>
      </c>
      <c r="J602" s="2" t="n">
        <v>0</v>
      </c>
      <c r="K602" s="2" t="n">
        <v>29606</v>
      </c>
      <c r="L602" s="2" t="n">
        <v>16547</v>
      </c>
      <c r="M602" s="2" t="n">
        <v>1442</v>
      </c>
      <c r="N602" s="2" t="n">
        <v>96</v>
      </c>
      <c r="O602" s="2" t="n">
        <v>237</v>
      </c>
      <c r="P602" s="2" t="n">
        <v>594</v>
      </c>
      <c r="Q602" s="2" t="n">
        <v>331</v>
      </c>
      <c r="R602" s="2" t="n">
        <v>89</v>
      </c>
      <c r="S602" s="2" t="n">
        <v>0</v>
      </c>
      <c r="T602" s="2" t="s">
        <v>51</v>
      </c>
      <c r="U602" s="4" t="n">
        <f aca="false">(M602+N602+O602+P602)/L602</f>
        <v>0.143167945851212</v>
      </c>
      <c r="V602" s="2" t="str">
        <f aca="false">IF(S602&lt;=5,"Late night (0-5)",IF(S602&lt;=11,"Morning (6-11)",IF(S602&lt;=17,"Afternoon (12-17)","Evening (18-23)")))</f>
        <v>Late night (0-5)</v>
      </c>
    </row>
    <row r="603" customFormat="false" ht="15" hidden="false" customHeight="false" outlineLevel="0" collapsed="false">
      <c r="A603" s="2" t="s">
        <v>1184</v>
      </c>
      <c r="B603" s="2" t="s">
        <v>103</v>
      </c>
      <c r="C603" s="2" t="s">
        <v>36</v>
      </c>
      <c r="D603" s="3" t="n">
        <v>45968</v>
      </c>
      <c r="E603" s="2" t="s">
        <v>262</v>
      </c>
      <c r="F603" s="2" t="s">
        <v>26</v>
      </c>
      <c r="G603" s="2" t="n">
        <v>56979</v>
      </c>
      <c r="H603" s="2" t="n">
        <v>16</v>
      </c>
      <c r="I603" s="2" t="n">
        <v>11</v>
      </c>
      <c r="J603" s="2" t="n">
        <v>0</v>
      </c>
      <c r="K603" s="2" t="n">
        <v>41989</v>
      </c>
      <c r="L603" s="2" t="n">
        <v>23455</v>
      </c>
      <c r="M603" s="2" t="n">
        <v>2046</v>
      </c>
      <c r="N603" s="2" t="n">
        <v>95</v>
      </c>
      <c r="O603" s="2" t="n">
        <v>243</v>
      </c>
      <c r="P603" s="2" t="n">
        <v>571</v>
      </c>
      <c r="Q603" s="2" t="n">
        <v>278</v>
      </c>
      <c r="R603" s="2" t="n">
        <v>60</v>
      </c>
      <c r="S603" s="2" t="n">
        <v>0</v>
      </c>
      <c r="T603" s="2" t="s">
        <v>96</v>
      </c>
      <c r="U603" s="4" t="n">
        <f aca="false">(M603+N603+O603+P603)/L603</f>
        <v>0.125985930505223</v>
      </c>
      <c r="V603" s="2" t="str">
        <f aca="false">IF(S603&lt;=5,"Late night (0-5)",IF(S603&lt;=11,"Morning (6-11)",IF(S603&lt;=17,"Afternoon (12-17)","Evening (18-23)")))</f>
        <v>Late night (0-5)</v>
      </c>
    </row>
    <row r="604" customFormat="false" ht="15" hidden="false" customHeight="false" outlineLevel="0" collapsed="false">
      <c r="A604" s="2" t="s">
        <v>1185</v>
      </c>
      <c r="B604" s="2" t="s">
        <v>29</v>
      </c>
      <c r="C604" s="2" t="s">
        <v>30</v>
      </c>
      <c r="D604" s="3" t="n">
        <v>45880</v>
      </c>
      <c r="E604" s="2" t="s">
        <v>391</v>
      </c>
      <c r="F604" s="2" t="s">
        <v>38</v>
      </c>
      <c r="G604" s="2" t="n">
        <v>11612</v>
      </c>
      <c r="H604" s="2" t="n">
        <v>4</v>
      </c>
      <c r="I604" s="2" t="n">
        <v>151</v>
      </c>
      <c r="J604" s="2" t="n">
        <v>1</v>
      </c>
      <c r="K604" s="2" t="n">
        <v>6682</v>
      </c>
      <c r="L604" s="2" t="n">
        <v>5031</v>
      </c>
      <c r="M604" s="2" t="n">
        <v>242</v>
      </c>
      <c r="N604" s="2" t="n">
        <v>13</v>
      </c>
      <c r="O604" s="2" t="n">
        <v>38</v>
      </c>
      <c r="P604" s="2" t="n">
        <v>68</v>
      </c>
      <c r="Q604" s="2" t="n">
        <v>36</v>
      </c>
      <c r="R604" s="2" t="n">
        <v>3</v>
      </c>
      <c r="S604" s="2" t="n">
        <v>20</v>
      </c>
      <c r="T604" s="2" t="s">
        <v>33</v>
      </c>
      <c r="U604" s="4" t="n">
        <f aca="false">(M604+N604+O604+P604)/L604</f>
        <v>0.0717551182667462</v>
      </c>
      <c r="V604" s="2" t="str">
        <f aca="false">IF(S604&lt;=5,"Late night (0-5)",IF(S604&lt;=11,"Morning (6-11)",IF(S604&lt;=17,"Afternoon (12-17)","Evening (18-23)")))</f>
        <v>Evening (18-23)</v>
      </c>
    </row>
    <row r="605" customFormat="false" ht="15" hidden="false" customHeight="false" outlineLevel="0" collapsed="false">
      <c r="A605" s="2" t="s">
        <v>1186</v>
      </c>
      <c r="B605" s="2" t="s">
        <v>129</v>
      </c>
      <c r="C605" s="2" t="s">
        <v>54</v>
      </c>
      <c r="D605" s="3" t="n">
        <v>45807</v>
      </c>
      <c r="E605" s="2" t="s">
        <v>1187</v>
      </c>
      <c r="F605" s="2" t="s">
        <v>32</v>
      </c>
      <c r="G605" s="2" t="n">
        <v>10312</v>
      </c>
      <c r="H605" s="2" t="n">
        <v>13</v>
      </c>
      <c r="I605" s="2" t="n">
        <v>349</v>
      </c>
      <c r="J605" s="2" t="n">
        <v>0</v>
      </c>
      <c r="K605" s="2" t="n">
        <v>15063</v>
      </c>
      <c r="L605" s="2" t="n">
        <v>11572</v>
      </c>
      <c r="M605" s="2" t="n">
        <v>1042</v>
      </c>
      <c r="N605" s="2" t="n">
        <v>70</v>
      </c>
      <c r="O605" s="2" t="n">
        <v>211</v>
      </c>
      <c r="P605" s="2" t="n">
        <v>130</v>
      </c>
      <c r="Q605" s="2" t="n">
        <v>147</v>
      </c>
      <c r="R605" s="2" t="n">
        <v>42</v>
      </c>
      <c r="S605" s="2" t="n">
        <v>17</v>
      </c>
      <c r="T605" s="2" t="s">
        <v>96</v>
      </c>
      <c r="U605" s="4" t="n">
        <f aca="false">(M605+N605+O605+P605)/L605</f>
        <v>0.125561700656758</v>
      </c>
      <c r="V605" s="2" t="str">
        <f aca="false">IF(S605&lt;=5,"Late night (0-5)",IF(S605&lt;=11,"Morning (6-11)",IF(S605&lt;=17,"Afternoon (12-17)","Evening (18-23)")))</f>
        <v>Afternoon (12-17)</v>
      </c>
    </row>
    <row r="606" customFormat="false" ht="15" hidden="false" customHeight="false" outlineLevel="0" collapsed="false">
      <c r="A606" s="2" t="s">
        <v>1188</v>
      </c>
      <c r="B606" s="2" t="s">
        <v>132</v>
      </c>
      <c r="C606" s="2" t="s">
        <v>36</v>
      </c>
      <c r="D606" s="3" t="n">
        <v>45987</v>
      </c>
      <c r="E606" s="2" t="s">
        <v>1189</v>
      </c>
      <c r="F606" s="2" t="s">
        <v>38</v>
      </c>
      <c r="G606" s="2" t="n">
        <v>83053</v>
      </c>
      <c r="H606" s="2" t="n">
        <v>5</v>
      </c>
      <c r="I606" s="2" t="n">
        <v>93</v>
      </c>
      <c r="J606" s="2" t="n">
        <v>0</v>
      </c>
      <c r="K606" s="2" t="n">
        <v>22108</v>
      </c>
      <c r="L606" s="2" t="n">
        <v>14783</v>
      </c>
      <c r="M606" s="2" t="n">
        <v>572</v>
      </c>
      <c r="N606" s="2" t="n">
        <v>28</v>
      </c>
      <c r="O606" s="2" t="n">
        <v>28</v>
      </c>
      <c r="P606" s="2" t="n">
        <v>98</v>
      </c>
      <c r="Q606" s="2" t="n">
        <v>189</v>
      </c>
      <c r="R606" s="2" t="n">
        <v>30</v>
      </c>
      <c r="S606" s="2" t="n">
        <v>11</v>
      </c>
      <c r="T606" s="2" t="s">
        <v>66</v>
      </c>
      <c r="U606" s="4" t="n">
        <f aca="false">(M606+N606+O606+P606)/L606</f>
        <v>0.0491104647229926</v>
      </c>
      <c r="V606" s="2" t="str">
        <f aca="false">IF(S606&lt;=5,"Late night (0-5)",IF(S606&lt;=11,"Morning (6-11)",IF(S606&lt;=17,"Afternoon (12-17)","Evening (18-23)")))</f>
        <v>Morning (6-11)</v>
      </c>
    </row>
    <row r="607" customFormat="false" ht="15" hidden="false" customHeight="false" outlineLevel="0" collapsed="false">
      <c r="A607" s="2" t="s">
        <v>1190</v>
      </c>
      <c r="B607" s="2" t="s">
        <v>264</v>
      </c>
      <c r="C607" s="2" t="s">
        <v>36</v>
      </c>
      <c r="D607" s="3" t="n">
        <v>45813</v>
      </c>
      <c r="E607" s="2" t="s">
        <v>1191</v>
      </c>
      <c r="F607" s="2" t="s">
        <v>32</v>
      </c>
      <c r="G607" s="2" t="n">
        <v>22362</v>
      </c>
      <c r="H607" s="2" t="n">
        <v>6</v>
      </c>
      <c r="I607" s="2" t="n">
        <v>213</v>
      </c>
      <c r="J607" s="2" t="n">
        <v>1</v>
      </c>
      <c r="K607" s="2" t="n">
        <v>29194</v>
      </c>
      <c r="L607" s="2" t="n">
        <v>16727</v>
      </c>
      <c r="M607" s="2" t="n">
        <v>1219</v>
      </c>
      <c r="N607" s="2" t="n">
        <v>69</v>
      </c>
      <c r="O607" s="2" t="n">
        <v>165</v>
      </c>
      <c r="P607" s="2" t="n">
        <v>145</v>
      </c>
      <c r="Q607" s="2" t="n">
        <v>294</v>
      </c>
      <c r="R607" s="2" t="n">
        <v>36</v>
      </c>
      <c r="S607" s="2" t="n">
        <v>10</v>
      </c>
      <c r="T607" s="2" t="s">
        <v>79</v>
      </c>
      <c r="U607" s="4" t="n">
        <f aca="false">(M607+N607+O607+P607)/L607</f>
        <v>0.0955341663179291</v>
      </c>
      <c r="V607" s="2" t="str">
        <f aca="false">IF(S607&lt;=5,"Late night (0-5)",IF(S607&lt;=11,"Morning (6-11)",IF(S607&lt;=17,"Afternoon (12-17)","Evening (18-23)")))</f>
        <v>Morning (6-11)</v>
      </c>
    </row>
    <row r="608" customFormat="false" ht="15" hidden="false" customHeight="false" outlineLevel="0" collapsed="false">
      <c r="A608" s="2" t="s">
        <v>1192</v>
      </c>
      <c r="B608" s="2" t="s">
        <v>111</v>
      </c>
      <c r="C608" s="2" t="s">
        <v>48</v>
      </c>
      <c r="D608" s="3" t="n">
        <v>45809</v>
      </c>
      <c r="E608" s="2" t="s">
        <v>72</v>
      </c>
      <c r="F608" s="2" t="s">
        <v>38</v>
      </c>
      <c r="G608" s="2" t="n">
        <v>16824</v>
      </c>
      <c r="H608" s="2" t="n">
        <v>12</v>
      </c>
      <c r="I608" s="2" t="n">
        <v>98</v>
      </c>
      <c r="J608" s="2" t="n">
        <v>1</v>
      </c>
      <c r="K608" s="2" t="n">
        <v>4572</v>
      </c>
      <c r="L608" s="2" t="n">
        <v>2917</v>
      </c>
      <c r="M608" s="2" t="n">
        <v>170</v>
      </c>
      <c r="N608" s="2" t="n">
        <v>8</v>
      </c>
      <c r="O608" s="2" t="n">
        <v>28</v>
      </c>
      <c r="P608" s="2" t="n">
        <v>20</v>
      </c>
      <c r="Q608" s="2" t="n">
        <v>63</v>
      </c>
      <c r="R608" s="2" t="n">
        <v>8</v>
      </c>
      <c r="S608" s="2" t="n">
        <v>2</v>
      </c>
      <c r="T608" s="2" t="s">
        <v>27</v>
      </c>
      <c r="U608" s="4" t="n">
        <f aca="false">(M608+N608+O608+P608)/L608</f>
        <v>0.0774768597874529</v>
      </c>
      <c r="V608" s="2" t="str">
        <f aca="false">IF(S608&lt;=5,"Late night (0-5)",IF(S608&lt;=11,"Morning (6-11)",IF(S608&lt;=17,"Afternoon (12-17)","Evening (18-23)")))</f>
        <v>Late night (0-5)</v>
      </c>
    </row>
    <row r="609" customFormat="false" ht="15" hidden="false" customHeight="false" outlineLevel="0" collapsed="false">
      <c r="A609" s="2" t="s">
        <v>1193</v>
      </c>
      <c r="B609" s="2" t="s">
        <v>452</v>
      </c>
      <c r="C609" s="2" t="s">
        <v>91</v>
      </c>
      <c r="D609" s="3" t="n">
        <v>45825</v>
      </c>
      <c r="E609" s="2" t="s">
        <v>1194</v>
      </c>
      <c r="F609" s="2" t="s">
        <v>38</v>
      </c>
      <c r="G609" s="2" t="n">
        <v>14201</v>
      </c>
      <c r="H609" s="2" t="n">
        <v>5</v>
      </c>
      <c r="I609" s="2" t="n">
        <v>342</v>
      </c>
      <c r="J609" s="2" t="n">
        <v>0</v>
      </c>
      <c r="K609" s="2" t="n">
        <v>6447</v>
      </c>
      <c r="L609" s="2" t="n">
        <v>4887</v>
      </c>
      <c r="M609" s="2" t="n">
        <v>399</v>
      </c>
      <c r="N609" s="2" t="n">
        <v>26</v>
      </c>
      <c r="O609" s="2" t="n">
        <v>64</v>
      </c>
      <c r="P609" s="2" t="n">
        <v>109</v>
      </c>
      <c r="Q609" s="2" t="n">
        <v>71</v>
      </c>
      <c r="R609" s="2" t="n">
        <v>10</v>
      </c>
      <c r="S609" s="2" t="n">
        <v>8</v>
      </c>
      <c r="T609" s="2" t="s">
        <v>51</v>
      </c>
      <c r="U609" s="4" t="n">
        <f aca="false">(M609+N609+O609+P609)/L609</f>
        <v>0.122365459382034</v>
      </c>
      <c r="V609" s="2" t="str">
        <f aca="false">IF(S609&lt;=5,"Late night (0-5)",IF(S609&lt;=11,"Morning (6-11)",IF(S609&lt;=17,"Afternoon (12-17)","Evening (18-23)")))</f>
        <v>Morning (6-11)</v>
      </c>
    </row>
    <row r="610" customFormat="false" ht="15" hidden="false" customHeight="false" outlineLevel="0" collapsed="false">
      <c r="A610" s="2" t="s">
        <v>1195</v>
      </c>
      <c r="B610" s="2" t="s">
        <v>148</v>
      </c>
      <c r="C610" s="2" t="s">
        <v>48</v>
      </c>
      <c r="D610" s="3" t="n">
        <v>45798</v>
      </c>
      <c r="E610" s="2" t="s">
        <v>1196</v>
      </c>
      <c r="F610" s="2" t="s">
        <v>38</v>
      </c>
      <c r="G610" s="2" t="n">
        <v>46311</v>
      </c>
      <c r="H610" s="2" t="n">
        <v>12</v>
      </c>
      <c r="I610" s="2" t="n">
        <v>157</v>
      </c>
      <c r="J610" s="2" t="n">
        <v>0</v>
      </c>
      <c r="K610" s="2" t="n">
        <v>16882</v>
      </c>
      <c r="L610" s="2" t="n">
        <v>11177</v>
      </c>
      <c r="M610" s="2" t="n">
        <v>948</v>
      </c>
      <c r="N610" s="2" t="n">
        <v>37</v>
      </c>
      <c r="O610" s="2" t="n">
        <v>121</v>
      </c>
      <c r="P610" s="2" t="n">
        <v>255</v>
      </c>
      <c r="Q610" s="2" t="n">
        <v>271</v>
      </c>
      <c r="R610" s="2" t="n">
        <v>16</v>
      </c>
      <c r="S610" s="2" t="n">
        <v>13</v>
      </c>
      <c r="T610" s="2" t="s">
        <v>66</v>
      </c>
      <c r="U610" s="4" t="n">
        <f aca="false">(M610+N610+O610+P610)/L610</f>
        <v>0.121767916256598</v>
      </c>
      <c r="V610" s="2" t="str">
        <f aca="false">IF(S610&lt;=5,"Late night (0-5)",IF(S610&lt;=11,"Morning (6-11)",IF(S610&lt;=17,"Afternoon (12-17)","Evening (18-23)")))</f>
        <v>Afternoon (12-17)</v>
      </c>
    </row>
    <row r="611" customFormat="false" ht="15" hidden="false" customHeight="false" outlineLevel="0" collapsed="false">
      <c r="A611" s="2" t="s">
        <v>1197</v>
      </c>
      <c r="B611" s="2" t="s">
        <v>264</v>
      </c>
      <c r="C611" s="2" t="s">
        <v>36</v>
      </c>
      <c r="D611" s="3" t="n">
        <v>45826</v>
      </c>
      <c r="E611" s="2" t="s">
        <v>1198</v>
      </c>
      <c r="F611" s="2" t="s">
        <v>26</v>
      </c>
      <c r="G611" s="2" t="n">
        <v>22362</v>
      </c>
      <c r="H611" s="2" t="n">
        <v>11</v>
      </c>
      <c r="I611" s="2" t="n">
        <v>216</v>
      </c>
      <c r="J611" s="2" t="n">
        <v>1</v>
      </c>
      <c r="K611" s="2" t="n">
        <v>16392</v>
      </c>
      <c r="L611" s="2" t="n">
        <v>13606</v>
      </c>
      <c r="M611" s="2" t="n">
        <v>550</v>
      </c>
      <c r="N611" s="2" t="n">
        <v>32</v>
      </c>
      <c r="O611" s="2" t="n">
        <v>109</v>
      </c>
      <c r="P611" s="2" t="n">
        <v>163</v>
      </c>
      <c r="Q611" s="2" t="n">
        <v>402</v>
      </c>
      <c r="R611" s="2" t="n">
        <v>78</v>
      </c>
      <c r="S611" s="2" t="n">
        <v>7</v>
      </c>
      <c r="T611" s="2" t="s">
        <v>66</v>
      </c>
      <c r="U611" s="4" t="n">
        <f aca="false">(M611+N611+O611+P611)/L611</f>
        <v>0.0627664265765104</v>
      </c>
      <c r="V611" s="2" t="str">
        <f aca="false">IF(S611&lt;=5,"Late night (0-5)",IF(S611&lt;=11,"Morning (6-11)",IF(S611&lt;=17,"Afternoon (12-17)","Evening (18-23)")))</f>
        <v>Morning (6-11)</v>
      </c>
    </row>
    <row r="612" customFormat="false" ht="15" hidden="false" customHeight="false" outlineLevel="0" collapsed="false">
      <c r="A612" s="2" t="s">
        <v>1199</v>
      </c>
      <c r="B612" s="2" t="s">
        <v>181</v>
      </c>
      <c r="C612" s="2" t="s">
        <v>91</v>
      </c>
      <c r="D612" s="3" t="n">
        <v>45857</v>
      </c>
      <c r="E612" s="2" t="s">
        <v>1200</v>
      </c>
      <c r="F612" s="2" t="s">
        <v>50</v>
      </c>
      <c r="G612" s="2" t="n">
        <v>31658</v>
      </c>
      <c r="H612" s="2" t="n">
        <v>4</v>
      </c>
      <c r="I612" s="2" t="n">
        <v>137</v>
      </c>
      <c r="J612" s="2" t="n">
        <v>1</v>
      </c>
      <c r="K612" s="2" t="n">
        <v>30998</v>
      </c>
      <c r="L612" s="2" t="n">
        <v>19350</v>
      </c>
      <c r="M612" s="2" t="n">
        <v>610</v>
      </c>
      <c r="N612" s="2" t="n">
        <v>17</v>
      </c>
      <c r="O612" s="2" t="n">
        <v>89</v>
      </c>
      <c r="P612" s="2" t="n">
        <v>49</v>
      </c>
      <c r="Q612" s="2" t="n">
        <v>120</v>
      </c>
      <c r="R612" s="2" t="n">
        <v>9</v>
      </c>
      <c r="S612" s="2" t="n">
        <v>16</v>
      </c>
      <c r="T612" s="2" t="s">
        <v>62</v>
      </c>
      <c r="U612" s="4" t="n">
        <f aca="false">(M612+N612+O612+P612)/L612</f>
        <v>0.0395348837209302</v>
      </c>
      <c r="V612" s="2" t="str">
        <f aca="false">IF(S612&lt;=5,"Late night (0-5)",IF(S612&lt;=11,"Morning (6-11)",IF(S612&lt;=17,"Afternoon (12-17)","Evening (18-23)")))</f>
        <v>Afternoon (12-17)</v>
      </c>
    </row>
    <row r="613" customFormat="false" ht="15" hidden="false" customHeight="false" outlineLevel="0" collapsed="false">
      <c r="A613" s="2" t="s">
        <v>1201</v>
      </c>
      <c r="B613" s="2" t="s">
        <v>240</v>
      </c>
      <c r="C613" s="2" t="s">
        <v>41</v>
      </c>
      <c r="D613" s="3" t="n">
        <v>45698</v>
      </c>
      <c r="E613" s="2" t="s">
        <v>1202</v>
      </c>
      <c r="F613" s="2" t="s">
        <v>26</v>
      </c>
      <c r="G613" s="2" t="n">
        <v>83197</v>
      </c>
      <c r="H613" s="2" t="n">
        <v>9</v>
      </c>
      <c r="I613" s="2" t="n">
        <v>102</v>
      </c>
      <c r="J613" s="2" t="n">
        <v>0</v>
      </c>
      <c r="K613" s="2" t="n">
        <v>120002</v>
      </c>
      <c r="L613" s="2" t="n">
        <v>83607</v>
      </c>
      <c r="M613" s="2" t="n">
        <v>2723</v>
      </c>
      <c r="N613" s="2" t="n">
        <v>86</v>
      </c>
      <c r="O613" s="2" t="n">
        <v>331</v>
      </c>
      <c r="P613" s="2" t="n">
        <v>368</v>
      </c>
      <c r="Q613" s="2" t="n">
        <v>1366</v>
      </c>
      <c r="R613" s="2" t="n">
        <v>165</v>
      </c>
      <c r="S613" s="2" t="n">
        <v>9</v>
      </c>
      <c r="T613" s="2" t="s">
        <v>33</v>
      </c>
      <c r="U613" s="4" t="n">
        <f aca="false">(M613+N613+O613+P613)/L613</f>
        <v>0.041958209240853</v>
      </c>
      <c r="V613" s="2" t="str">
        <f aca="false">IF(S613&lt;=5,"Late night (0-5)",IF(S613&lt;=11,"Morning (6-11)",IF(S613&lt;=17,"Afternoon (12-17)","Evening (18-23)")))</f>
        <v>Morning (6-11)</v>
      </c>
    </row>
    <row r="614" customFormat="false" ht="15" hidden="false" customHeight="false" outlineLevel="0" collapsed="false">
      <c r="A614" s="2" t="s">
        <v>1203</v>
      </c>
      <c r="B614" s="2" t="s">
        <v>452</v>
      </c>
      <c r="C614" s="2" t="s">
        <v>91</v>
      </c>
      <c r="D614" s="3" t="n">
        <v>45926</v>
      </c>
      <c r="E614" s="2" t="s">
        <v>1204</v>
      </c>
      <c r="F614" s="2" t="s">
        <v>50</v>
      </c>
      <c r="G614" s="2" t="n">
        <v>14201</v>
      </c>
      <c r="H614" s="2" t="n">
        <v>20</v>
      </c>
      <c r="I614" s="2" t="n">
        <v>149</v>
      </c>
      <c r="J614" s="2" t="n">
        <v>0</v>
      </c>
      <c r="K614" s="2" t="n">
        <v>5834</v>
      </c>
      <c r="L614" s="2" t="n">
        <v>4780</v>
      </c>
      <c r="M614" s="2" t="n">
        <v>299</v>
      </c>
      <c r="N614" s="2" t="n">
        <v>19</v>
      </c>
      <c r="O614" s="2" t="n">
        <v>35</v>
      </c>
      <c r="P614" s="2" t="n">
        <v>79</v>
      </c>
      <c r="Q614" s="2" t="n">
        <v>37</v>
      </c>
      <c r="R614" s="2" t="n">
        <v>5</v>
      </c>
      <c r="S614" s="2" t="n">
        <v>20</v>
      </c>
      <c r="T614" s="2" t="s">
        <v>96</v>
      </c>
      <c r="U614" s="4" t="n">
        <f aca="false">(M614+N614+O614+P614)/L614</f>
        <v>0.0903765690376569</v>
      </c>
      <c r="V614" s="2" t="str">
        <f aca="false">IF(S614&lt;=5,"Late night (0-5)",IF(S614&lt;=11,"Morning (6-11)",IF(S614&lt;=17,"Afternoon (12-17)","Evening (18-23)")))</f>
        <v>Evening (18-23)</v>
      </c>
    </row>
    <row r="615" customFormat="false" ht="15" hidden="false" customHeight="false" outlineLevel="0" collapsed="false">
      <c r="A615" s="2" t="s">
        <v>1205</v>
      </c>
      <c r="B615" s="2" t="s">
        <v>40</v>
      </c>
      <c r="C615" s="2" t="s">
        <v>41</v>
      </c>
      <c r="D615" s="3" t="n">
        <v>45812</v>
      </c>
      <c r="E615" s="2" t="s">
        <v>1206</v>
      </c>
      <c r="F615" s="2" t="s">
        <v>26</v>
      </c>
      <c r="G615" s="2" t="n">
        <v>23051</v>
      </c>
      <c r="H615" s="2" t="n">
        <v>13</v>
      </c>
      <c r="I615" s="2" t="n">
        <v>173</v>
      </c>
      <c r="J615" s="2" t="n">
        <v>1</v>
      </c>
      <c r="K615" s="2" t="n">
        <v>85755</v>
      </c>
      <c r="L615" s="2" t="n">
        <v>56181</v>
      </c>
      <c r="M615" s="2" t="n">
        <v>2177</v>
      </c>
      <c r="N615" s="2" t="n">
        <v>98</v>
      </c>
      <c r="O615" s="2" t="n">
        <v>219</v>
      </c>
      <c r="P615" s="2" t="n">
        <v>610</v>
      </c>
      <c r="Q615" s="2" t="n">
        <v>1136</v>
      </c>
      <c r="R615" s="2" t="n">
        <v>240</v>
      </c>
      <c r="S615" s="2" t="n">
        <v>22</v>
      </c>
      <c r="T615" s="2" t="s">
        <v>66</v>
      </c>
      <c r="U615" s="4" t="n">
        <f aca="false">(M615+N615+O615+P615)/L615</f>
        <v>0.055249995550097</v>
      </c>
      <c r="V615" s="2" t="str">
        <f aca="false">IF(S615&lt;=5,"Late night (0-5)",IF(S615&lt;=11,"Morning (6-11)",IF(S615&lt;=17,"Afternoon (12-17)","Evening (18-23)")))</f>
        <v>Evening (18-23)</v>
      </c>
    </row>
    <row r="616" customFormat="false" ht="15" hidden="false" customHeight="false" outlineLevel="0" collapsed="false">
      <c r="A616" s="2" t="s">
        <v>1207</v>
      </c>
      <c r="B616" s="2" t="s">
        <v>44</v>
      </c>
      <c r="C616" s="2" t="s">
        <v>36</v>
      </c>
      <c r="D616" s="3" t="n">
        <v>45915</v>
      </c>
      <c r="E616" s="2" t="s">
        <v>182</v>
      </c>
      <c r="F616" s="2" t="s">
        <v>50</v>
      </c>
      <c r="G616" s="2" t="n">
        <v>6265</v>
      </c>
      <c r="H616" s="2" t="n">
        <v>19</v>
      </c>
      <c r="I616" s="2" t="n">
        <v>165</v>
      </c>
      <c r="J616" s="2" t="n">
        <v>0</v>
      </c>
      <c r="K616" s="2" t="n">
        <v>2930</v>
      </c>
      <c r="L616" s="2" t="n">
        <v>2271</v>
      </c>
      <c r="M616" s="2" t="n">
        <v>204</v>
      </c>
      <c r="N616" s="2" t="n">
        <v>5</v>
      </c>
      <c r="O616" s="2" t="n">
        <v>27</v>
      </c>
      <c r="P616" s="2" t="n">
        <v>50</v>
      </c>
      <c r="Q616" s="2" t="n">
        <v>56</v>
      </c>
      <c r="R616" s="2" t="n">
        <v>8</v>
      </c>
      <c r="S616" s="2" t="n">
        <v>4</v>
      </c>
      <c r="T616" s="2" t="s">
        <v>33</v>
      </c>
      <c r="U616" s="4" t="n">
        <f aca="false">(M616+N616+O616+P616)/L616</f>
        <v>0.125935711140467</v>
      </c>
      <c r="V616" s="2" t="str">
        <f aca="false">IF(S616&lt;=5,"Late night (0-5)",IF(S616&lt;=11,"Morning (6-11)",IF(S616&lt;=17,"Afternoon (12-17)","Evening (18-23)")))</f>
        <v>Late night (0-5)</v>
      </c>
    </row>
    <row r="617" customFormat="false" ht="15" hidden="false" customHeight="false" outlineLevel="0" collapsed="false">
      <c r="A617" s="2" t="s">
        <v>1208</v>
      </c>
      <c r="B617" s="2" t="s">
        <v>64</v>
      </c>
      <c r="C617" s="2" t="s">
        <v>36</v>
      </c>
      <c r="D617" s="3" t="n">
        <v>45936</v>
      </c>
      <c r="E617" s="2" t="s">
        <v>842</v>
      </c>
      <c r="F617" s="2" t="s">
        <v>38</v>
      </c>
      <c r="G617" s="2" t="n">
        <v>43781</v>
      </c>
      <c r="H617" s="2" t="n">
        <v>6</v>
      </c>
      <c r="I617" s="2" t="n">
        <v>259</v>
      </c>
      <c r="J617" s="2" t="n">
        <v>1</v>
      </c>
      <c r="K617" s="2" t="n">
        <v>12521</v>
      </c>
      <c r="L617" s="2" t="n">
        <v>9315</v>
      </c>
      <c r="M617" s="2" t="n">
        <v>501</v>
      </c>
      <c r="N617" s="2" t="n">
        <v>37</v>
      </c>
      <c r="O617" s="2" t="n">
        <v>78</v>
      </c>
      <c r="P617" s="2" t="n">
        <v>85</v>
      </c>
      <c r="Q617" s="2" t="n">
        <v>77</v>
      </c>
      <c r="R617" s="2" t="n">
        <v>16</v>
      </c>
      <c r="S617" s="2" t="n">
        <v>12</v>
      </c>
      <c r="T617" s="2" t="s">
        <v>33</v>
      </c>
      <c r="U617" s="4" t="n">
        <f aca="false">(M617+N617+O617+P617)/L617</f>
        <v>0.0752549651100376</v>
      </c>
      <c r="V617" s="2" t="str">
        <f aca="false">IF(S617&lt;=5,"Late night (0-5)",IF(S617&lt;=11,"Morning (6-11)",IF(S617&lt;=17,"Afternoon (12-17)","Evening (18-23)")))</f>
        <v>Afternoon (12-17)</v>
      </c>
    </row>
    <row r="618" customFormat="false" ht="15" hidden="false" customHeight="false" outlineLevel="0" collapsed="false">
      <c r="A618" s="2" t="s">
        <v>1209</v>
      </c>
      <c r="B618" s="2" t="s">
        <v>426</v>
      </c>
      <c r="C618" s="2" t="s">
        <v>30</v>
      </c>
      <c r="D618" s="3" t="n">
        <v>45769</v>
      </c>
      <c r="E618" s="2" t="s">
        <v>899</v>
      </c>
      <c r="F618" s="2" t="s">
        <v>32</v>
      </c>
      <c r="G618" s="2" t="n">
        <v>40649</v>
      </c>
      <c r="H618" s="2" t="n">
        <v>24</v>
      </c>
      <c r="I618" s="2" t="n">
        <v>263</v>
      </c>
      <c r="J618" s="2" t="n">
        <v>1</v>
      </c>
      <c r="K618" s="2" t="n">
        <v>21081</v>
      </c>
      <c r="L618" s="2" t="n">
        <v>12246</v>
      </c>
      <c r="M618" s="2" t="n">
        <v>988</v>
      </c>
      <c r="N618" s="2" t="n">
        <v>47</v>
      </c>
      <c r="O618" s="2" t="n">
        <v>266</v>
      </c>
      <c r="P618" s="2" t="n">
        <v>82</v>
      </c>
      <c r="Q618" s="2" t="n">
        <v>309</v>
      </c>
      <c r="R618" s="2" t="n">
        <v>53</v>
      </c>
      <c r="S618" s="2" t="n">
        <v>3</v>
      </c>
      <c r="T618" s="2" t="s">
        <v>51</v>
      </c>
      <c r="U618" s="4" t="n">
        <f aca="false">(M618+N618+O618+P618)/L618</f>
        <v>0.112934835864772</v>
      </c>
      <c r="V618" s="2" t="str">
        <f aca="false">IF(S618&lt;=5,"Late night (0-5)",IF(S618&lt;=11,"Morning (6-11)",IF(S618&lt;=17,"Afternoon (12-17)","Evening (18-23)")))</f>
        <v>Late night (0-5)</v>
      </c>
    </row>
    <row r="619" customFormat="false" ht="15" hidden="false" customHeight="false" outlineLevel="0" collapsed="false">
      <c r="A619" s="2" t="s">
        <v>1210</v>
      </c>
      <c r="B619" s="2" t="s">
        <v>188</v>
      </c>
      <c r="C619" s="2" t="s">
        <v>30</v>
      </c>
      <c r="D619" s="3" t="n">
        <v>45808</v>
      </c>
      <c r="E619" s="2" t="s">
        <v>1211</v>
      </c>
      <c r="F619" s="2" t="s">
        <v>26</v>
      </c>
      <c r="G619" s="2" t="n">
        <v>38900</v>
      </c>
      <c r="H619" s="2" t="n">
        <v>19</v>
      </c>
      <c r="I619" s="2" t="n">
        <v>230</v>
      </c>
      <c r="J619" s="2" t="n">
        <v>1</v>
      </c>
      <c r="K619" s="2" t="n">
        <v>19861</v>
      </c>
      <c r="L619" s="2" t="n">
        <v>16045</v>
      </c>
      <c r="M619" s="2" t="n">
        <v>761</v>
      </c>
      <c r="N619" s="2" t="n">
        <v>38</v>
      </c>
      <c r="O619" s="2" t="n">
        <v>85</v>
      </c>
      <c r="P619" s="2" t="n">
        <v>213</v>
      </c>
      <c r="Q619" s="2" t="n">
        <v>255</v>
      </c>
      <c r="R619" s="2" t="n">
        <v>71</v>
      </c>
      <c r="S619" s="2" t="n">
        <v>14</v>
      </c>
      <c r="T619" s="2" t="s">
        <v>62</v>
      </c>
      <c r="U619" s="4" t="n">
        <f aca="false">(M619+N619+O619+P619)/L619</f>
        <v>0.0683702087877844</v>
      </c>
      <c r="V619" s="2" t="str">
        <f aca="false">IF(S619&lt;=5,"Late night (0-5)",IF(S619&lt;=11,"Morning (6-11)",IF(S619&lt;=17,"Afternoon (12-17)","Evening (18-23)")))</f>
        <v>Afternoon (12-17)</v>
      </c>
    </row>
    <row r="620" customFormat="false" ht="15" hidden="false" customHeight="false" outlineLevel="0" collapsed="false">
      <c r="A620" s="2" t="s">
        <v>1212</v>
      </c>
      <c r="B620" s="2" t="s">
        <v>23</v>
      </c>
      <c r="C620" s="2" t="s">
        <v>24</v>
      </c>
      <c r="D620" s="3" t="n">
        <v>46006</v>
      </c>
      <c r="E620" s="2" t="s">
        <v>1213</v>
      </c>
      <c r="F620" s="2" t="s">
        <v>38</v>
      </c>
      <c r="G620" s="2" t="n">
        <v>63447</v>
      </c>
      <c r="H620" s="2" t="n">
        <v>14</v>
      </c>
      <c r="I620" s="2" t="n">
        <v>93</v>
      </c>
      <c r="J620" s="2" t="n">
        <v>0</v>
      </c>
      <c r="K620" s="2" t="n">
        <v>35541</v>
      </c>
      <c r="L620" s="2" t="n">
        <v>22368</v>
      </c>
      <c r="M620" s="2" t="n">
        <v>1611</v>
      </c>
      <c r="N620" s="2" t="n">
        <v>38</v>
      </c>
      <c r="O620" s="2" t="n">
        <v>238</v>
      </c>
      <c r="P620" s="2" t="n">
        <v>166</v>
      </c>
      <c r="Q620" s="2" t="n">
        <v>254</v>
      </c>
      <c r="R620" s="2" t="n">
        <v>14</v>
      </c>
      <c r="S620" s="2" t="n">
        <v>12</v>
      </c>
      <c r="T620" s="2" t="s">
        <v>33</v>
      </c>
      <c r="U620" s="4" t="n">
        <f aca="false">(M620+N620+O620+P620)/L620</f>
        <v>0.091782904148784</v>
      </c>
      <c r="V620" s="2" t="str">
        <f aca="false">IF(S620&lt;=5,"Late night (0-5)",IF(S620&lt;=11,"Morning (6-11)",IF(S620&lt;=17,"Afternoon (12-17)","Evening (18-23)")))</f>
        <v>Afternoon (12-17)</v>
      </c>
    </row>
    <row r="621" customFormat="false" ht="15" hidden="false" customHeight="false" outlineLevel="0" collapsed="false">
      <c r="A621" s="2" t="s">
        <v>1214</v>
      </c>
      <c r="B621" s="2" t="s">
        <v>206</v>
      </c>
      <c r="C621" s="2" t="s">
        <v>48</v>
      </c>
      <c r="D621" s="3" t="n">
        <v>45838</v>
      </c>
      <c r="E621" s="2" t="s">
        <v>1215</v>
      </c>
      <c r="F621" s="2" t="s">
        <v>26</v>
      </c>
      <c r="G621" s="2" t="n">
        <v>42937</v>
      </c>
      <c r="H621" s="2" t="n">
        <v>16</v>
      </c>
      <c r="I621" s="2" t="n">
        <v>185</v>
      </c>
      <c r="J621" s="2" t="n">
        <v>0</v>
      </c>
      <c r="K621" s="2" t="n">
        <v>22440</v>
      </c>
      <c r="L621" s="2" t="n">
        <v>13084</v>
      </c>
      <c r="M621" s="2" t="n">
        <v>685</v>
      </c>
      <c r="N621" s="2" t="n">
        <v>36</v>
      </c>
      <c r="O621" s="2" t="n">
        <v>52</v>
      </c>
      <c r="P621" s="2" t="n">
        <v>86</v>
      </c>
      <c r="Q621" s="2" t="n">
        <v>318</v>
      </c>
      <c r="R621" s="2" t="n">
        <v>55</v>
      </c>
      <c r="S621" s="2" t="n">
        <v>16</v>
      </c>
      <c r="T621" s="2" t="s">
        <v>33</v>
      </c>
      <c r="U621" s="4" t="n">
        <f aca="false">(M621+N621+O621+P621)/L621</f>
        <v>0.0656527055946194</v>
      </c>
      <c r="V621" s="2" t="str">
        <f aca="false">IF(S621&lt;=5,"Late night (0-5)",IF(S621&lt;=11,"Morning (6-11)",IF(S621&lt;=17,"Afternoon (12-17)","Evening (18-23)")))</f>
        <v>Afternoon (12-17)</v>
      </c>
    </row>
    <row r="622" customFormat="false" ht="15" hidden="false" customHeight="false" outlineLevel="0" collapsed="false">
      <c r="A622" s="2" t="s">
        <v>1216</v>
      </c>
      <c r="B622" s="2" t="s">
        <v>181</v>
      </c>
      <c r="C622" s="2" t="s">
        <v>91</v>
      </c>
      <c r="D622" s="3" t="n">
        <v>45989</v>
      </c>
      <c r="E622" s="2" t="s">
        <v>1217</v>
      </c>
      <c r="F622" s="2" t="s">
        <v>32</v>
      </c>
      <c r="G622" s="2" t="n">
        <v>31658</v>
      </c>
      <c r="H622" s="2" t="n">
        <v>13</v>
      </c>
      <c r="I622" s="2" t="n">
        <v>10</v>
      </c>
      <c r="J622" s="2" t="n">
        <v>0</v>
      </c>
      <c r="K622" s="2" t="n">
        <v>19805</v>
      </c>
      <c r="L622" s="2" t="n">
        <v>16413</v>
      </c>
      <c r="M622" s="2" t="n">
        <v>896</v>
      </c>
      <c r="N622" s="2" t="n">
        <v>45</v>
      </c>
      <c r="O622" s="2" t="n">
        <v>207</v>
      </c>
      <c r="P622" s="2" t="n">
        <v>134</v>
      </c>
      <c r="Q622" s="2" t="n">
        <v>177</v>
      </c>
      <c r="R622" s="2" t="n">
        <v>21</v>
      </c>
      <c r="S622" s="2" t="n">
        <v>2</v>
      </c>
      <c r="T622" s="2" t="s">
        <v>96</v>
      </c>
      <c r="U622" s="4" t="n">
        <f aca="false">(M622+N622+O622+P622)/L622</f>
        <v>0.0781088161822945</v>
      </c>
      <c r="V622" s="2" t="str">
        <f aca="false">IF(S622&lt;=5,"Late night (0-5)",IF(S622&lt;=11,"Morning (6-11)",IF(S622&lt;=17,"Afternoon (12-17)","Evening (18-23)")))</f>
        <v>Late night (0-5)</v>
      </c>
    </row>
    <row r="623" customFormat="false" ht="15" hidden="false" customHeight="false" outlineLevel="0" collapsed="false">
      <c r="A623" s="2" t="s">
        <v>1218</v>
      </c>
      <c r="B623" s="2" t="s">
        <v>123</v>
      </c>
      <c r="C623" s="2" t="s">
        <v>24</v>
      </c>
      <c r="D623" s="3" t="n">
        <v>45767</v>
      </c>
      <c r="E623" s="2" t="s">
        <v>1219</v>
      </c>
      <c r="F623" s="2" t="s">
        <v>50</v>
      </c>
      <c r="G623" s="2" t="n">
        <v>41391</v>
      </c>
      <c r="H623" s="2" t="n">
        <v>10</v>
      </c>
      <c r="I623" s="2" t="n">
        <v>168</v>
      </c>
      <c r="J623" s="2" t="n">
        <v>0</v>
      </c>
      <c r="K623" s="2" t="n">
        <v>84810</v>
      </c>
      <c r="L623" s="2" t="n">
        <v>56819</v>
      </c>
      <c r="M623" s="2" t="n">
        <v>2320</v>
      </c>
      <c r="N623" s="2" t="n">
        <v>164</v>
      </c>
      <c r="O623" s="2" t="n">
        <v>396</v>
      </c>
      <c r="P623" s="2" t="n">
        <v>318</v>
      </c>
      <c r="Q623" s="2" t="n">
        <v>1369</v>
      </c>
      <c r="R623" s="2" t="n">
        <v>254</v>
      </c>
      <c r="S623" s="2" t="n">
        <v>0</v>
      </c>
      <c r="T623" s="2" t="s">
        <v>27</v>
      </c>
      <c r="U623" s="4" t="n">
        <f aca="false">(M623+N623+O623+P623)/L623</f>
        <v>0.056283989510551</v>
      </c>
      <c r="V623" s="2" t="str">
        <f aca="false">IF(S623&lt;=5,"Late night (0-5)",IF(S623&lt;=11,"Morning (6-11)",IF(S623&lt;=17,"Afternoon (12-17)","Evening (18-23)")))</f>
        <v>Late night (0-5)</v>
      </c>
    </row>
    <row r="624" customFormat="false" ht="15" hidden="false" customHeight="false" outlineLevel="0" collapsed="false">
      <c r="A624" s="2" t="s">
        <v>1220</v>
      </c>
      <c r="B624" s="2" t="s">
        <v>83</v>
      </c>
      <c r="C624" s="2" t="s">
        <v>84</v>
      </c>
      <c r="D624" s="3" t="n">
        <v>45989</v>
      </c>
      <c r="E624" s="2" t="s">
        <v>1221</v>
      </c>
      <c r="F624" s="2" t="s">
        <v>38</v>
      </c>
      <c r="G624" s="2" t="n">
        <v>17918</v>
      </c>
      <c r="H624" s="2" t="n">
        <v>21</v>
      </c>
      <c r="I624" s="2" t="n">
        <v>310</v>
      </c>
      <c r="J624" s="2" t="n">
        <v>1</v>
      </c>
      <c r="K624" s="2" t="n">
        <v>22773</v>
      </c>
      <c r="L624" s="2" t="n">
        <v>15129</v>
      </c>
      <c r="M624" s="2" t="n">
        <v>458</v>
      </c>
      <c r="N624" s="2" t="n">
        <v>10</v>
      </c>
      <c r="O624" s="2" t="n">
        <v>66</v>
      </c>
      <c r="P624" s="2" t="n">
        <v>87</v>
      </c>
      <c r="Q624" s="2" t="n">
        <v>85</v>
      </c>
      <c r="R624" s="2" t="n">
        <v>20</v>
      </c>
      <c r="S624" s="2" t="n">
        <v>15</v>
      </c>
      <c r="T624" s="2" t="s">
        <v>96</v>
      </c>
      <c r="U624" s="4" t="n">
        <f aca="false">(M624+N624+O624+P624)/L624</f>
        <v>0.041046995835812</v>
      </c>
      <c r="V624" s="2" t="str">
        <f aca="false">IF(S624&lt;=5,"Late night (0-5)",IF(S624&lt;=11,"Morning (6-11)",IF(S624&lt;=17,"Afternoon (12-17)","Evening (18-23)")))</f>
        <v>Afternoon (12-17)</v>
      </c>
    </row>
    <row r="625" customFormat="false" ht="15" hidden="false" customHeight="false" outlineLevel="0" collapsed="false">
      <c r="A625" s="2" t="s">
        <v>1222</v>
      </c>
      <c r="B625" s="2" t="s">
        <v>60</v>
      </c>
      <c r="C625" s="2" t="s">
        <v>41</v>
      </c>
      <c r="D625" s="3" t="n">
        <v>45829</v>
      </c>
      <c r="E625" s="2" t="s">
        <v>1114</v>
      </c>
      <c r="F625" s="2" t="s">
        <v>26</v>
      </c>
      <c r="G625" s="2" t="n">
        <v>7512</v>
      </c>
      <c r="H625" s="2" t="n">
        <v>25</v>
      </c>
      <c r="I625" s="2" t="n">
        <v>338</v>
      </c>
      <c r="J625" s="2" t="n">
        <v>0</v>
      </c>
      <c r="K625" s="2" t="n">
        <v>9744</v>
      </c>
      <c r="L625" s="2" t="n">
        <v>6659</v>
      </c>
      <c r="M625" s="2" t="n">
        <v>591</v>
      </c>
      <c r="N625" s="2" t="n">
        <v>27</v>
      </c>
      <c r="O625" s="2" t="n">
        <v>105</v>
      </c>
      <c r="P625" s="2" t="n">
        <v>120</v>
      </c>
      <c r="Q625" s="2" t="n">
        <v>137</v>
      </c>
      <c r="R625" s="2" t="n">
        <v>23</v>
      </c>
      <c r="S625" s="2" t="n">
        <v>2</v>
      </c>
      <c r="T625" s="2" t="s">
        <v>62</v>
      </c>
      <c r="U625" s="4" t="n">
        <f aca="false">(M625+N625+O625+P625)/L625</f>
        <v>0.126595584922661</v>
      </c>
      <c r="V625" s="2" t="str">
        <f aca="false">IF(S625&lt;=5,"Late night (0-5)",IF(S625&lt;=11,"Morning (6-11)",IF(S625&lt;=17,"Afternoon (12-17)","Evening (18-23)")))</f>
        <v>Late night (0-5)</v>
      </c>
    </row>
    <row r="626" customFormat="false" ht="15" hidden="false" customHeight="false" outlineLevel="0" collapsed="false">
      <c r="A626" s="2" t="s">
        <v>1223</v>
      </c>
      <c r="B626" s="2" t="s">
        <v>345</v>
      </c>
      <c r="C626" s="2" t="s">
        <v>30</v>
      </c>
      <c r="D626" s="3" t="n">
        <v>46000</v>
      </c>
      <c r="E626" s="2" t="s">
        <v>646</v>
      </c>
      <c r="F626" s="2" t="s">
        <v>26</v>
      </c>
      <c r="G626" s="2" t="n">
        <v>8662</v>
      </c>
      <c r="H626" s="2" t="n">
        <v>12</v>
      </c>
      <c r="I626" s="2" t="n">
        <v>200</v>
      </c>
      <c r="J626" s="2" t="n">
        <v>0</v>
      </c>
      <c r="K626" s="2" t="n">
        <v>16836</v>
      </c>
      <c r="L626" s="2" t="n">
        <v>11954</v>
      </c>
      <c r="M626" s="2" t="n">
        <v>975</v>
      </c>
      <c r="N626" s="2" t="n">
        <v>40</v>
      </c>
      <c r="O626" s="2" t="n">
        <v>112</v>
      </c>
      <c r="P626" s="2" t="n">
        <v>75</v>
      </c>
      <c r="Q626" s="2" t="n">
        <v>126</v>
      </c>
      <c r="R626" s="2" t="n">
        <v>20</v>
      </c>
      <c r="S626" s="2" t="n">
        <v>21</v>
      </c>
      <c r="T626" s="2" t="s">
        <v>51</v>
      </c>
      <c r="U626" s="4" t="n">
        <f aca="false">(M626+N626+O626+P626)/L626</f>
        <v>0.100552116446378</v>
      </c>
      <c r="V626" s="2" t="str">
        <f aca="false">IF(S626&lt;=5,"Late night (0-5)",IF(S626&lt;=11,"Morning (6-11)",IF(S626&lt;=17,"Afternoon (12-17)","Evening (18-23)")))</f>
        <v>Evening (18-23)</v>
      </c>
    </row>
    <row r="627" customFormat="false" ht="15" hidden="false" customHeight="false" outlineLevel="0" collapsed="false">
      <c r="A627" s="2" t="s">
        <v>1224</v>
      </c>
      <c r="B627" s="2" t="s">
        <v>29</v>
      </c>
      <c r="C627" s="2" t="s">
        <v>30</v>
      </c>
      <c r="D627" s="3" t="n">
        <v>46015</v>
      </c>
      <c r="E627" s="2" t="s">
        <v>1225</v>
      </c>
      <c r="F627" s="2" t="s">
        <v>38</v>
      </c>
      <c r="G627" s="2" t="n">
        <v>11612</v>
      </c>
      <c r="H627" s="2" t="n">
        <v>2</v>
      </c>
      <c r="I627" s="2" t="n">
        <v>85</v>
      </c>
      <c r="J627" s="2" t="n">
        <v>1</v>
      </c>
      <c r="K627" s="2" t="n">
        <v>3410</v>
      </c>
      <c r="L627" s="2" t="n">
        <v>2856</v>
      </c>
      <c r="M627" s="2" t="n">
        <v>213</v>
      </c>
      <c r="N627" s="2" t="n">
        <v>10</v>
      </c>
      <c r="O627" s="2" t="n">
        <v>8</v>
      </c>
      <c r="P627" s="2" t="n">
        <v>63</v>
      </c>
      <c r="Q627" s="2" t="n">
        <v>62</v>
      </c>
      <c r="R627" s="2" t="n">
        <v>16</v>
      </c>
      <c r="S627" s="2" t="n">
        <v>17</v>
      </c>
      <c r="T627" s="2" t="s">
        <v>66</v>
      </c>
      <c r="U627" s="4" t="n">
        <f aca="false">(M627+N627+O627+P627)/L627</f>
        <v>0.102941176470588</v>
      </c>
      <c r="V627" s="2" t="str">
        <f aca="false">IF(S627&lt;=5,"Late night (0-5)",IF(S627&lt;=11,"Morning (6-11)",IF(S627&lt;=17,"Afternoon (12-17)","Evening (18-23)")))</f>
        <v>Afternoon (12-17)</v>
      </c>
    </row>
    <row r="628" customFormat="false" ht="15" hidden="false" customHeight="false" outlineLevel="0" collapsed="false">
      <c r="A628" s="2" t="s">
        <v>1226</v>
      </c>
      <c r="B628" s="2" t="s">
        <v>114</v>
      </c>
      <c r="C628" s="2" t="s">
        <v>84</v>
      </c>
      <c r="D628" s="3" t="n">
        <v>45769</v>
      </c>
      <c r="E628" s="2" t="s">
        <v>1227</v>
      </c>
      <c r="F628" s="2" t="s">
        <v>32</v>
      </c>
      <c r="G628" s="2" t="n">
        <v>64307</v>
      </c>
      <c r="H628" s="2" t="n">
        <v>8</v>
      </c>
      <c r="I628" s="2" t="n">
        <v>141</v>
      </c>
      <c r="J628" s="2" t="n">
        <v>1</v>
      </c>
      <c r="K628" s="2" t="n">
        <v>373998</v>
      </c>
      <c r="L628" s="2" t="n">
        <v>239904</v>
      </c>
      <c r="M628" s="2" t="n">
        <v>12664</v>
      </c>
      <c r="N628" s="2" t="n">
        <v>688</v>
      </c>
      <c r="O628" s="2" t="n">
        <v>3732</v>
      </c>
      <c r="P628" s="2" t="n">
        <v>1633</v>
      </c>
      <c r="Q628" s="2" t="n">
        <v>1409</v>
      </c>
      <c r="R628" s="2" t="n">
        <v>120</v>
      </c>
      <c r="S628" s="2" t="n">
        <v>19</v>
      </c>
      <c r="T628" s="2" t="s">
        <v>51</v>
      </c>
      <c r="U628" s="4" t="n">
        <f aca="false">(M628+N628+O628+P628)/L628</f>
        <v>0.0780187074829932</v>
      </c>
      <c r="V628" s="2" t="str">
        <f aca="false">IF(S628&lt;=5,"Late night (0-5)",IF(S628&lt;=11,"Morning (6-11)",IF(S628&lt;=17,"Afternoon (12-17)","Evening (18-23)")))</f>
        <v>Evening (18-23)</v>
      </c>
    </row>
    <row r="629" customFormat="false" ht="15" hidden="false" customHeight="false" outlineLevel="0" collapsed="false">
      <c r="A629" s="2" t="s">
        <v>1228</v>
      </c>
      <c r="B629" s="2" t="s">
        <v>459</v>
      </c>
      <c r="C629" s="2" t="s">
        <v>84</v>
      </c>
      <c r="D629" s="3" t="n">
        <v>46017</v>
      </c>
      <c r="E629" s="2" t="s">
        <v>1229</v>
      </c>
      <c r="F629" s="2" t="s">
        <v>38</v>
      </c>
      <c r="G629" s="2" t="n">
        <v>19744</v>
      </c>
      <c r="H629" s="2" t="n">
        <v>20</v>
      </c>
      <c r="I629" s="2" t="n">
        <v>198</v>
      </c>
      <c r="J629" s="2" t="n">
        <v>0</v>
      </c>
      <c r="K629" s="2" t="n">
        <v>54150</v>
      </c>
      <c r="L629" s="2" t="n">
        <v>31922</v>
      </c>
      <c r="M629" s="2" t="n">
        <v>2784</v>
      </c>
      <c r="N629" s="2" t="n">
        <v>126</v>
      </c>
      <c r="O629" s="2" t="n">
        <v>544</v>
      </c>
      <c r="P629" s="2" t="n">
        <v>149</v>
      </c>
      <c r="Q629" s="2" t="n">
        <v>419</v>
      </c>
      <c r="R629" s="2" t="n">
        <v>102</v>
      </c>
      <c r="S629" s="2" t="n">
        <v>8</v>
      </c>
      <c r="T629" s="2" t="s">
        <v>96</v>
      </c>
      <c r="U629" s="4" t="n">
        <f aca="false">(M629+N629+O629+P629)/L629</f>
        <v>0.112868867865422</v>
      </c>
      <c r="V629" s="2" t="str">
        <f aca="false">IF(S629&lt;=5,"Late night (0-5)",IF(S629&lt;=11,"Morning (6-11)",IF(S629&lt;=17,"Afternoon (12-17)","Evening (18-23)")))</f>
        <v>Morning (6-11)</v>
      </c>
    </row>
    <row r="630" customFormat="false" ht="15" hidden="false" customHeight="false" outlineLevel="0" collapsed="false">
      <c r="A630" s="2" t="s">
        <v>1230</v>
      </c>
      <c r="B630" s="2" t="s">
        <v>243</v>
      </c>
      <c r="C630" s="2" t="s">
        <v>91</v>
      </c>
      <c r="D630" s="3" t="n">
        <v>45820</v>
      </c>
      <c r="E630" s="2" t="s">
        <v>1231</v>
      </c>
      <c r="F630" s="2" t="s">
        <v>26</v>
      </c>
      <c r="G630" s="2" t="n">
        <v>42046</v>
      </c>
      <c r="H630" s="2" t="n">
        <v>20</v>
      </c>
      <c r="I630" s="2" t="n">
        <v>86</v>
      </c>
      <c r="J630" s="2" t="n">
        <v>0</v>
      </c>
      <c r="K630" s="2" t="n">
        <v>61101</v>
      </c>
      <c r="L630" s="2" t="n">
        <v>38194</v>
      </c>
      <c r="M630" s="2" t="n">
        <v>1498</v>
      </c>
      <c r="N630" s="2" t="n">
        <v>34</v>
      </c>
      <c r="O630" s="2" t="n">
        <v>211</v>
      </c>
      <c r="P630" s="2" t="n">
        <v>441</v>
      </c>
      <c r="Q630" s="2" t="n">
        <v>543</v>
      </c>
      <c r="R630" s="2" t="n">
        <v>91</v>
      </c>
      <c r="S630" s="2" t="n">
        <v>11</v>
      </c>
      <c r="T630" s="2" t="s">
        <v>79</v>
      </c>
      <c r="U630" s="4" t="n">
        <f aca="false">(M630+N630+O630+P630)/L630</f>
        <v>0.0571817562968005</v>
      </c>
      <c r="V630" s="2" t="str">
        <f aca="false">IF(S630&lt;=5,"Late night (0-5)",IF(S630&lt;=11,"Morning (6-11)",IF(S630&lt;=17,"Afternoon (12-17)","Evening (18-23)")))</f>
        <v>Morning (6-11)</v>
      </c>
    </row>
    <row r="631" customFormat="false" ht="15" hidden="false" customHeight="false" outlineLevel="0" collapsed="false">
      <c r="A631" s="2" t="s">
        <v>1232</v>
      </c>
      <c r="B631" s="2" t="s">
        <v>141</v>
      </c>
      <c r="C631" s="2" t="s">
        <v>48</v>
      </c>
      <c r="D631" s="3" t="n">
        <v>45669</v>
      </c>
      <c r="E631" s="2" t="s">
        <v>1172</v>
      </c>
      <c r="F631" s="2" t="s">
        <v>32</v>
      </c>
      <c r="G631" s="2" t="n">
        <v>16119</v>
      </c>
      <c r="H631" s="2" t="n">
        <v>19</v>
      </c>
      <c r="I631" s="2" t="n">
        <v>205</v>
      </c>
      <c r="J631" s="2" t="n">
        <v>0</v>
      </c>
      <c r="K631" s="2" t="n">
        <v>14046</v>
      </c>
      <c r="L631" s="2" t="n">
        <v>8628</v>
      </c>
      <c r="M631" s="2" t="n">
        <v>702</v>
      </c>
      <c r="N631" s="2" t="n">
        <v>28</v>
      </c>
      <c r="O631" s="2" t="n">
        <v>102</v>
      </c>
      <c r="P631" s="2" t="n">
        <v>106</v>
      </c>
      <c r="Q631" s="2" t="n">
        <v>70</v>
      </c>
      <c r="R631" s="2" t="n">
        <v>7</v>
      </c>
      <c r="S631" s="2" t="n">
        <v>10</v>
      </c>
      <c r="T631" s="2" t="s">
        <v>27</v>
      </c>
      <c r="U631" s="4" t="n">
        <f aca="false">(M631+N631+O631+P631)/L631</f>
        <v>0.108715808993973</v>
      </c>
      <c r="V631" s="2" t="str">
        <f aca="false">IF(S631&lt;=5,"Late night (0-5)",IF(S631&lt;=11,"Morning (6-11)",IF(S631&lt;=17,"Afternoon (12-17)","Evening (18-23)")))</f>
        <v>Morning (6-11)</v>
      </c>
    </row>
    <row r="632" customFormat="false" ht="15" hidden="false" customHeight="false" outlineLevel="0" collapsed="false">
      <c r="A632" s="2" t="s">
        <v>1233</v>
      </c>
      <c r="B632" s="2" t="s">
        <v>135</v>
      </c>
      <c r="C632" s="2" t="s">
        <v>36</v>
      </c>
      <c r="D632" s="3" t="n">
        <v>45966</v>
      </c>
      <c r="E632" s="2" t="s">
        <v>1234</v>
      </c>
      <c r="F632" s="2" t="s">
        <v>50</v>
      </c>
      <c r="G632" s="2" t="n">
        <v>45812</v>
      </c>
      <c r="H632" s="2" t="n">
        <v>10</v>
      </c>
      <c r="I632" s="2" t="n">
        <v>200</v>
      </c>
      <c r="J632" s="2" t="n">
        <v>0</v>
      </c>
      <c r="K632" s="2" t="n">
        <v>78492</v>
      </c>
      <c r="L632" s="2" t="n">
        <v>65360</v>
      </c>
      <c r="M632" s="2" t="n">
        <v>5070</v>
      </c>
      <c r="N632" s="2" t="n">
        <v>346</v>
      </c>
      <c r="O632" s="2" t="n">
        <v>183</v>
      </c>
      <c r="P632" s="2" t="n">
        <v>421</v>
      </c>
      <c r="Q632" s="2" t="n">
        <v>1220</v>
      </c>
      <c r="R632" s="2" t="n">
        <v>88</v>
      </c>
      <c r="S632" s="2" t="n">
        <v>23</v>
      </c>
      <c r="T632" s="2" t="s">
        <v>66</v>
      </c>
      <c r="U632" s="4" t="n">
        <f aca="false">(M632+N632+O632+P632)/L632</f>
        <v>0.0921052631578947</v>
      </c>
      <c r="V632" s="2" t="str">
        <f aca="false">IF(S632&lt;=5,"Late night (0-5)",IF(S632&lt;=11,"Morning (6-11)",IF(S632&lt;=17,"Afternoon (12-17)","Evening (18-23)")))</f>
        <v>Evening (18-23)</v>
      </c>
    </row>
    <row r="633" customFormat="false" ht="15" hidden="false" customHeight="false" outlineLevel="0" collapsed="false">
      <c r="A633" s="2" t="s">
        <v>1235</v>
      </c>
      <c r="B633" s="2" t="s">
        <v>181</v>
      </c>
      <c r="C633" s="2" t="s">
        <v>91</v>
      </c>
      <c r="D633" s="3" t="n">
        <v>45706</v>
      </c>
      <c r="E633" s="2" t="s">
        <v>1236</v>
      </c>
      <c r="F633" s="2" t="s">
        <v>38</v>
      </c>
      <c r="G633" s="2" t="n">
        <v>31658</v>
      </c>
      <c r="H633" s="2" t="n">
        <v>11</v>
      </c>
      <c r="I633" s="2" t="n">
        <v>106</v>
      </c>
      <c r="J633" s="2" t="n">
        <v>0</v>
      </c>
      <c r="K633" s="2" t="n">
        <v>18397</v>
      </c>
      <c r="L633" s="2" t="n">
        <v>15337</v>
      </c>
      <c r="M633" s="2" t="n">
        <v>1076</v>
      </c>
      <c r="N633" s="2" t="n">
        <v>33</v>
      </c>
      <c r="O633" s="2" t="n">
        <v>134</v>
      </c>
      <c r="P633" s="2" t="n">
        <v>317</v>
      </c>
      <c r="Q633" s="2" t="n">
        <v>287</v>
      </c>
      <c r="R633" s="2" t="n">
        <v>60</v>
      </c>
      <c r="S633" s="2" t="n">
        <v>22</v>
      </c>
      <c r="T633" s="2" t="s">
        <v>51</v>
      </c>
      <c r="U633" s="4" t="n">
        <f aca="false">(M633+N633+O633+P633)/L633</f>
        <v>0.101714807328682</v>
      </c>
      <c r="V633" s="2" t="str">
        <f aca="false">IF(S633&lt;=5,"Late night (0-5)",IF(S633&lt;=11,"Morning (6-11)",IF(S633&lt;=17,"Afternoon (12-17)","Evening (18-23)")))</f>
        <v>Evening (18-23)</v>
      </c>
    </row>
    <row r="634" customFormat="false" ht="15" hidden="false" customHeight="false" outlineLevel="0" collapsed="false">
      <c r="A634" s="2" t="s">
        <v>1237</v>
      </c>
      <c r="B634" s="2" t="s">
        <v>53</v>
      </c>
      <c r="C634" s="2" t="s">
        <v>54</v>
      </c>
      <c r="D634" s="3" t="n">
        <v>45875</v>
      </c>
      <c r="E634" s="2" t="s">
        <v>1238</v>
      </c>
      <c r="F634" s="2" t="s">
        <v>32</v>
      </c>
      <c r="G634" s="2" t="n">
        <v>11318</v>
      </c>
      <c r="H634" s="2" t="n">
        <v>10</v>
      </c>
      <c r="I634" s="2" t="n">
        <v>109</v>
      </c>
      <c r="J634" s="2" t="n">
        <v>0</v>
      </c>
      <c r="K634" s="2" t="n">
        <v>18291</v>
      </c>
      <c r="L634" s="2" t="n">
        <v>12274</v>
      </c>
      <c r="M634" s="2" t="n">
        <v>674</v>
      </c>
      <c r="N634" s="2" t="n">
        <v>23</v>
      </c>
      <c r="O634" s="2" t="n">
        <v>193</v>
      </c>
      <c r="P634" s="2" t="n">
        <v>200</v>
      </c>
      <c r="Q634" s="2" t="n">
        <v>310</v>
      </c>
      <c r="R634" s="2" t="n">
        <v>19</v>
      </c>
      <c r="S634" s="2" t="n">
        <v>0</v>
      </c>
      <c r="T634" s="2" t="s">
        <v>66</v>
      </c>
      <c r="U634" s="4" t="n">
        <f aca="false">(M634+N634+O634+P634)/L634</f>
        <v>0.0888056053446309</v>
      </c>
      <c r="V634" s="2" t="str">
        <f aca="false">IF(S634&lt;=5,"Late night (0-5)",IF(S634&lt;=11,"Morning (6-11)",IF(S634&lt;=17,"Afternoon (12-17)","Evening (18-23)")))</f>
        <v>Late night (0-5)</v>
      </c>
    </row>
    <row r="635" customFormat="false" ht="15" hidden="false" customHeight="false" outlineLevel="0" collapsed="false">
      <c r="A635" s="2" t="s">
        <v>1239</v>
      </c>
      <c r="B635" s="2" t="s">
        <v>310</v>
      </c>
      <c r="C635" s="2" t="s">
        <v>91</v>
      </c>
      <c r="D635" s="3" t="n">
        <v>45741</v>
      </c>
      <c r="E635" s="2" t="s">
        <v>393</v>
      </c>
      <c r="F635" s="2" t="s">
        <v>26</v>
      </c>
      <c r="G635" s="2" t="n">
        <v>56571</v>
      </c>
      <c r="H635" s="2" t="n">
        <v>10</v>
      </c>
      <c r="I635" s="2" t="n">
        <v>419</v>
      </c>
      <c r="J635" s="2" t="n">
        <v>1</v>
      </c>
      <c r="K635" s="2" t="n">
        <v>57363</v>
      </c>
      <c r="L635" s="2" t="n">
        <v>37981</v>
      </c>
      <c r="M635" s="2" t="n">
        <v>2584</v>
      </c>
      <c r="N635" s="2" t="n">
        <v>130</v>
      </c>
      <c r="O635" s="2" t="n">
        <v>485</v>
      </c>
      <c r="P635" s="2" t="n">
        <v>562</v>
      </c>
      <c r="Q635" s="2" t="n">
        <v>595</v>
      </c>
      <c r="R635" s="2" t="n">
        <v>162</v>
      </c>
      <c r="S635" s="2" t="n">
        <v>14</v>
      </c>
      <c r="T635" s="2" t="s">
        <v>51</v>
      </c>
      <c r="U635" s="4" t="n">
        <f aca="false">(M635+N635+O635+P635)/L635</f>
        <v>0.0990231958084305</v>
      </c>
      <c r="V635" s="2" t="str">
        <f aca="false">IF(S635&lt;=5,"Late night (0-5)",IF(S635&lt;=11,"Morning (6-11)",IF(S635&lt;=17,"Afternoon (12-17)","Evening (18-23)")))</f>
        <v>Afternoon (12-17)</v>
      </c>
    </row>
    <row r="636" customFormat="false" ht="15" hidden="false" customHeight="false" outlineLevel="0" collapsed="false">
      <c r="A636" s="2" t="s">
        <v>1240</v>
      </c>
      <c r="B636" s="2" t="s">
        <v>371</v>
      </c>
      <c r="C636" s="2" t="s">
        <v>48</v>
      </c>
      <c r="D636" s="3" t="n">
        <v>45789</v>
      </c>
      <c r="E636" s="2" t="s">
        <v>1241</v>
      </c>
      <c r="F636" s="2" t="s">
        <v>38</v>
      </c>
      <c r="G636" s="2" t="n">
        <v>42479</v>
      </c>
      <c r="H636" s="2" t="n">
        <v>11</v>
      </c>
      <c r="I636" s="2" t="n">
        <v>12</v>
      </c>
      <c r="J636" s="2" t="n">
        <v>1</v>
      </c>
      <c r="K636" s="2" t="n">
        <v>24244</v>
      </c>
      <c r="L636" s="2" t="n">
        <v>21303</v>
      </c>
      <c r="M636" s="2" t="n">
        <v>1387</v>
      </c>
      <c r="N636" s="2" t="n">
        <v>69</v>
      </c>
      <c r="O636" s="2" t="n">
        <v>105</v>
      </c>
      <c r="P636" s="2" t="n">
        <v>71</v>
      </c>
      <c r="Q636" s="2" t="n">
        <v>409</v>
      </c>
      <c r="R636" s="2" t="n">
        <v>104</v>
      </c>
      <c r="S636" s="2" t="n">
        <v>6</v>
      </c>
      <c r="T636" s="2" t="s">
        <v>33</v>
      </c>
      <c r="U636" s="4" t="n">
        <f aca="false">(M636+N636+O636+P636)/L636</f>
        <v>0.0766089283199549</v>
      </c>
      <c r="V636" s="2" t="str">
        <f aca="false">IF(S636&lt;=5,"Late night (0-5)",IF(S636&lt;=11,"Morning (6-11)",IF(S636&lt;=17,"Afternoon (12-17)","Evening (18-23)")))</f>
        <v>Morning (6-11)</v>
      </c>
    </row>
    <row r="637" customFormat="false" ht="15" hidden="false" customHeight="false" outlineLevel="0" collapsed="false">
      <c r="A637" s="2" t="s">
        <v>1242</v>
      </c>
      <c r="B637" s="2" t="s">
        <v>459</v>
      </c>
      <c r="C637" s="2" t="s">
        <v>84</v>
      </c>
      <c r="D637" s="3" t="n">
        <v>45853</v>
      </c>
      <c r="E637" s="2" t="s">
        <v>1243</v>
      </c>
      <c r="F637" s="2" t="s">
        <v>38</v>
      </c>
      <c r="G637" s="2" t="n">
        <v>19744</v>
      </c>
      <c r="H637" s="2" t="n">
        <v>11</v>
      </c>
      <c r="I637" s="2" t="n">
        <v>158</v>
      </c>
      <c r="J637" s="2" t="n">
        <v>1</v>
      </c>
      <c r="K637" s="2" t="n">
        <v>11221</v>
      </c>
      <c r="L637" s="2" t="n">
        <v>6721</v>
      </c>
      <c r="M637" s="2" t="n">
        <v>266</v>
      </c>
      <c r="N637" s="2" t="n">
        <v>8</v>
      </c>
      <c r="O637" s="2" t="n">
        <v>8</v>
      </c>
      <c r="P637" s="2" t="n">
        <v>48</v>
      </c>
      <c r="Q637" s="2" t="n">
        <v>66</v>
      </c>
      <c r="R637" s="2" t="n">
        <v>15</v>
      </c>
      <c r="S637" s="2" t="n">
        <v>15</v>
      </c>
      <c r="T637" s="2" t="s">
        <v>51</v>
      </c>
      <c r="U637" s="4" t="n">
        <f aca="false">(M637+N637+O637+P637)/L637</f>
        <v>0.0490998363338789</v>
      </c>
      <c r="V637" s="2" t="str">
        <f aca="false">IF(S637&lt;=5,"Late night (0-5)",IF(S637&lt;=11,"Morning (6-11)",IF(S637&lt;=17,"Afternoon (12-17)","Evening (18-23)")))</f>
        <v>Afternoon (12-17)</v>
      </c>
    </row>
    <row r="638" customFormat="false" ht="15" hidden="false" customHeight="false" outlineLevel="0" collapsed="false">
      <c r="A638" s="2" t="s">
        <v>1244</v>
      </c>
      <c r="B638" s="2" t="s">
        <v>53</v>
      </c>
      <c r="C638" s="2" t="s">
        <v>54</v>
      </c>
      <c r="D638" s="3" t="n">
        <v>45815</v>
      </c>
      <c r="E638" s="2" t="s">
        <v>621</v>
      </c>
      <c r="F638" s="2" t="s">
        <v>26</v>
      </c>
      <c r="G638" s="2" t="n">
        <v>11318</v>
      </c>
      <c r="H638" s="2" t="n">
        <v>21</v>
      </c>
      <c r="I638" s="2" t="n">
        <v>229</v>
      </c>
      <c r="J638" s="2" t="n">
        <v>0</v>
      </c>
      <c r="K638" s="2" t="n">
        <v>71660</v>
      </c>
      <c r="L638" s="2" t="n">
        <v>40368</v>
      </c>
      <c r="M638" s="2" t="n">
        <v>1972</v>
      </c>
      <c r="N638" s="2" t="n">
        <v>84</v>
      </c>
      <c r="O638" s="2" t="n">
        <v>293</v>
      </c>
      <c r="P638" s="2" t="n">
        <v>148</v>
      </c>
      <c r="Q638" s="2" t="n">
        <v>1204</v>
      </c>
      <c r="R638" s="2" t="n">
        <v>63</v>
      </c>
      <c r="S638" s="2" t="n">
        <v>7</v>
      </c>
      <c r="T638" s="2" t="s">
        <v>62</v>
      </c>
      <c r="U638" s="4" t="n">
        <f aca="false">(M638+N638+O638+P638)/L638</f>
        <v>0.0618559254855331</v>
      </c>
      <c r="V638" s="2" t="str">
        <f aca="false">IF(S638&lt;=5,"Late night (0-5)",IF(S638&lt;=11,"Morning (6-11)",IF(S638&lt;=17,"Afternoon (12-17)","Evening (18-23)")))</f>
        <v>Morning (6-11)</v>
      </c>
    </row>
    <row r="639" customFormat="false" ht="15" hidden="false" customHeight="false" outlineLevel="0" collapsed="false">
      <c r="A639" s="2" t="s">
        <v>1245</v>
      </c>
      <c r="B639" s="2" t="s">
        <v>138</v>
      </c>
      <c r="C639" s="2" t="s">
        <v>41</v>
      </c>
      <c r="D639" s="3" t="n">
        <v>45927</v>
      </c>
      <c r="E639" s="2" t="s">
        <v>1246</v>
      </c>
      <c r="F639" s="2" t="s">
        <v>50</v>
      </c>
      <c r="G639" s="2" t="n">
        <v>18712</v>
      </c>
      <c r="H639" s="2" t="n">
        <v>11</v>
      </c>
      <c r="I639" s="2" t="n">
        <v>77</v>
      </c>
      <c r="J639" s="2" t="n">
        <v>0</v>
      </c>
      <c r="K639" s="2" t="n">
        <v>31263</v>
      </c>
      <c r="L639" s="2" t="n">
        <v>26312</v>
      </c>
      <c r="M639" s="2" t="n">
        <v>1091</v>
      </c>
      <c r="N639" s="2" t="n">
        <v>84</v>
      </c>
      <c r="O639" s="2" t="n">
        <v>126</v>
      </c>
      <c r="P639" s="2" t="n">
        <v>106</v>
      </c>
      <c r="Q639" s="2" t="n">
        <v>656</v>
      </c>
      <c r="R639" s="2" t="n">
        <v>109</v>
      </c>
      <c r="S639" s="2" t="n">
        <v>19</v>
      </c>
      <c r="T639" s="2" t="s">
        <v>62</v>
      </c>
      <c r="U639" s="4" t="n">
        <f aca="false">(M639+N639+O639+P639)/L639</f>
        <v>0.0534737002128307</v>
      </c>
      <c r="V639" s="2" t="str">
        <f aca="false">IF(S639&lt;=5,"Late night (0-5)",IF(S639&lt;=11,"Morning (6-11)",IF(S639&lt;=17,"Afternoon (12-17)","Evening (18-23)")))</f>
        <v>Evening (18-23)</v>
      </c>
    </row>
    <row r="640" customFormat="false" ht="15" hidden="false" customHeight="false" outlineLevel="0" collapsed="false">
      <c r="A640" s="2" t="s">
        <v>1247</v>
      </c>
      <c r="B640" s="2" t="s">
        <v>151</v>
      </c>
      <c r="C640" s="2" t="s">
        <v>36</v>
      </c>
      <c r="D640" s="3" t="n">
        <v>45759</v>
      </c>
      <c r="E640" s="2" t="s">
        <v>1248</v>
      </c>
      <c r="F640" s="2" t="s">
        <v>32</v>
      </c>
      <c r="G640" s="2" t="n">
        <v>19247</v>
      </c>
      <c r="H640" s="2" t="n">
        <v>10</v>
      </c>
      <c r="I640" s="2" t="n">
        <v>60</v>
      </c>
      <c r="J640" s="2" t="n">
        <v>0</v>
      </c>
      <c r="K640" s="2" t="n">
        <v>20528</v>
      </c>
      <c r="L640" s="2" t="n">
        <v>13432</v>
      </c>
      <c r="M640" s="2" t="n">
        <v>1234</v>
      </c>
      <c r="N640" s="2" t="n">
        <v>91</v>
      </c>
      <c r="O640" s="2" t="n">
        <v>218</v>
      </c>
      <c r="P640" s="2" t="n">
        <v>72</v>
      </c>
      <c r="Q640" s="2" t="n">
        <v>305</v>
      </c>
      <c r="R640" s="2" t="n">
        <v>90</v>
      </c>
      <c r="S640" s="2" t="n">
        <v>11</v>
      </c>
      <c r="T640" s="2" t="s">
        <v>62</v>
      </c>
      <c r="U640" s="4" t="n">
        <f aca="false">(M640+N640+O640+P640)/L640</f>
        <v>0.120235259082787</v>
      </c>
      <c r="V640" s="2" t="str">
        <f aca="false">IF(S640&lt;=5,"Late night (0-5)",IF(S640&lt;=11,"Morning (6-11)",IF(S640&lt;=17,"Afternoon (12-17)","Evening (18-23)")))</f>
        <v>Morning (6-11)</v>
      </c>
    </row>
    <row r="641" customFormat="false" ht="15" hidden="false" customHeight="false" outlineLevel="0" collapsed="false">
      <c r="A641" s="2" t="s">
        <v>1249</v>
      </c>
      <c r="B641" s="2" t="s">
        <v>462</v>
      </c>
      <c r="C641" s="2" t="s">
        <v>84</v>
      </c>
      <c r="D641" s="3" t="n">
        <v>45842</v>
      </c>
      <c r="E641" s="2" t="s">
        <v>1250</v>
      </c>
      <c r="F641" s="2" t="s">
        <v>38</v>
      </c>
      <c r="G641" s="2" t="n">
        <v>43510</v>
      </c>
      <c r="H641" s="2" t="n">
        <v>17</v>
      </c>
      <c r="I641" s="2" t="n">
        <v>20</v>
      </c>
      <c r="J641" s="2" t="n">
        <v>0</v>
      </c>
      <c r="K641" s="2" t="n">
        <v>66449</v>
      </c>
      <c r="L641" s="2" t="n">
        <v>43391</v>
      </c>
      <c r="M641" s="2" t="n">
        <v>2217</v>
      </c>
      <c r="N641" s="2" t="n">
        <v>143</v>
      </c>
      <c r="O641" s="2" t="n">
        <v>368</v>
      </c>
      <c r="P641" s="2" t="n">
        <v>596</v>
      </c>
      <c r="Q641" s="2" t="n">
        <v>480</v>
      </c>
      <c r="R641" s="2" t="n">
        <v>87</v>
      </c>
      <c r="S641" s="2" t="n">
        <v>3</v>
      </c>
      <c r="T641" s="2" t="s">
        <v>96</v>
      </c>
      <c r="U641" s="4" t="n">
        <f aca="false">(M641+N641+O641+P641)/L641</f>
        <v>0.0766057477357056</v>
      </c>
      <c r="V641" s="2" t="str">
        <f aca="false">IF(S641&lt;=5,"Late night (0-5)",IF(S641&lt;=11,"Morning (6-11)",IF(S641&lt;=17,"Afternoon (12-17)","Evening (18-23)")))</f>
        <v>Late night (0-5)</v>
      </c>
    </row>
    <row r="642" customFormat="false" ht="15" hidden="false" customHeight="false" outlineLevel="0" collapsed="false">
      <c r="A642" s="2" t="s">
        <v>1251</v>
      </c>
      <c r="B642" s="2" t="s">
        <v>426</v>
      </c>
      <c r="C642" s="2" t="s">
        <v>30</v>
      </c>
      <c r="D642" s="3" t="n">
        <v>45996</v>
      </c>
      <c r="E642" s="2" t="s">
        <v>1252</v>
      </c>
      <c r="F642" s="2" t="s">
        <v>32</v>
      </c>
      <c r="G642" s="2" t="n">
        <v>40649</v>
      </c>
      <c r="H642" s="2" t="n">
        <v>4</v>
      </c>
      <c r="I642" s="2" t="n">
        <v>150</v>
      </c>
      <c r="J642" s="2" t="n">
        <v>1</v>
      </c>
      <c r="K642" s="2" t="n">
        <v>202068</v>
      </c>
      <c r="L642" s="2" t="n">
        <v>122006</v>
      </c>
      <c r="M642" s="2" t="n">
        <v>9867</v>
      </c>
      <c r="N642" s="2" t="n">
        <v>647</v>
      </c>
      <c r="O642" s="2" t="n">
        <v>690</v>
      </c>
      <c r="P642" s="2" t="n">
        <v>1623</v>
      </c>
      <c r="Q642" s="2" t="n">
        <v>3041</v>
      </c>
      <c r="R642" s="2" t="n">
        <v>354</v>
      </c>
      <c r="S642" s="2" t="n">
        <v>12</v>
      </c>
      <c r="T642" s="2" t="s">
        <v>96</v>
      </c>
      <c r="U642" s="4" t="n">
        <f aca="false">(M642+N642+O642+P642)/L642</f>
        <v>0.105134173729161</v>
      </c>
      <c r="V642" s="2" t="str">
        <f aca="false">IF(S642&lt;=5,"Late night (0-5)",IF(S642&lt;=11,"Morning (6-11)",IF(S642&lt;=17,"Afternoon (12-17)","Evening (18-23)")))</f>
        <v>Afternoon (12-17)</v>
      </c>
    </row>
    <row r="643" customFormat="false" ht="15" hidden="false" customHeight="false" outlineLevel="0" collapsed="false">
      <c r="A643" s="2" t="s">
        <v>1253</v>
      </c>
      <c r="B643" s="2" t="s">
        <v>23</v>
      </c>
      <c r="C643" s="2" t="s">
        <v>24</v>
      </c>
      <c r="D643" s="3" t="n">
        <v>45774</v>
      </c>
      <c r="E643" s="2" t="s">
        <v>927</v>
      </c>
      <c r="F643" s="2" t="s">
        <v>38</v>
      </c>
      <c r="G643" s="2" t="n">
        <v>63447</v>
      </c>
      <c r="H643" s="2" t="n">
        <v>8</v>
      </c>
      <c r="I643" s="2" t="n">
        <v>201</v>
      </c>
      <c r="J643" s="2" t="n">
        <v>0</v>
      </c>
      <c r="K643" s="2" t="n">
        <v>96645</v>
      </c>
      <c r="L643" s="2" t="n">
        <v>56440</v>
      </c>
      <c r="M643" s="2" t="n">
        <v>2046</v>
      </c>
      <c r="N643" s="2" t="n">
        <v>161</v>
      </c>
      <c r="O643" s="2" t="n">
        <v>252</v>
      </c>
      <c r="P643" s="2" t="n">
        <v>572</v>
      </c>
      <c r="Q643" s="2" t="n">
        <v>1355</v>
      </c>
      <c r="R643" s="2" t="n">
        <v>287</v>
      </c>
      <c r="S643" s="2" t="n">
        <v>10</v>
      </c>
      <c r="T643" s="2" t="s">
        <v>27</v>
      </c>
      <c r="U643" s="4" t="n">
        <f aca="false">(M643+N643+O643+P643)/L643</f>
        <v>0.0537030474840539</v>
      </c>
      <c r="V643" s="2" t="str">
        <f aca="false">IF(S643&lt;=5,"Late night (0-5)",IF(S643&lt;=11,"Morning (6-11)",IF(S643&lt;=17,"Afternoon (12-17)","Evening (18-23)")))</f>
        <v>Morning (6-11)</v>
      </c>
    </row>
    <row r="644" customFormat="false" ht="15" hidden="false" customHeight="false" outlineLevel="0" collapsed="false">
      <c r="A644" s="2" t="s">
        <v>1254</v>
      </c>
      <c r="B644" s="2" t="s">
        <v>68</v>
      </c>
      <c r="C644" s="2" t="s">
        <v>54</v>
      </c>
      <c r="D644" s="3" t="n">
        <v>45973</v>
      </c>
      <c r="E644" s="2" t="s">
        <v>781</v>
      </c>
      <c r="F644" s="2" t="s">
        <v>26</v>
      </c>
      <c r="G644" s="2" t="n">
        <v>35922</v>
      </c>
      <c r="H644" s="2" t="n">
        <v>13</v>
      </c>
      <c r="I644" s="2" t="n">
        <v>305</v>
      </c>
      <c r="J644" s="2" t="n">
        <v>1</v>
      </c>
      <c r="K644" s="2" t="n">
        <v>13975</v>
      </c>
      <c r="L644" s="2" t="n">
        <v>10944</v>
      </c>
      <c r="M644" s="2" t="n">
        <v>597</v>
      </c>
      <c r="N644" s="2" t="n">
        <v>39</v>
      </c>
      <c r="O644" s="2" t="n">
        <v>54</v>
      </c>
      <c r="P644" s="2" t="n">
        <v>227</v>
      </c>
      <c r="Q644" s="2" t="n">
        <v>121</v>
      </c>
      <c r="R644" s="2" t="n">
        <v>6</v>
      </c>
      <c r="S644" s="2" t="n">
        <v>2</v>
      </c>
      <c r="T644" s="2" t="s">
        <v>66</v>
      </c>
      <c r="U644" s="4" t="n">
        <f aca="false">(M644+N644+O644+P644)/L644</f>
        <v>0.0837902046783626</v>
      </c>
      <c r="V644" s="2" t="str">
        <f aca="false">IF(S644&lt;=5,"Late night (0-5)",IF(S644&lt;=11,"Morning (6-11)",IF(S644&lt;=17,"Afternoon (12-17)","Evening (18-23)")))</f>
        <v>Late night (0-5)</v>
      </c>
    </row>
    <row r="645" customFormat="false" ht="15" hidden="false" customHeight="false" outlineLevel="0" collapsed="false">
      <c r="A645" s="2" t="s">
        <v>1255</v>
      </c>
      <c r="B645" s="2" t="s">
        <v>459</v>
      </c>
      <c r="C645" s="2" t="s">
        <v>84</v>
      </c>
      <c r="D645" s="3" t="n">
        <v>45989</v>
      </c>
      <c r="E645" s="2" t="s">
        <v>1256</v>
      </c>
      <c r="F645" s="2" t="s">
        <v>32</v>
      </c>
      <c r="G645" s="2" t="n">
        <v>19744</v>
      </c>
      <c r="H645" s="2" t="n">
        <v>21</v>
      </c>
      <c r="I645" s="2" t="n">
        <v>33</v>
      </c>
      <c r="J645" s="2" t="n">
        <v>0</v>
      </c>
      <c r="K645" s="2" t="n">
        <v>37814</v>
      </c>
      <c r="L645" s="2" t="n">
        <v>32710</v>
      </c>
      <c r="M645" s="2" t="n">
        <v>3269</v>
      </c>
      <c r="N645" s="2" t="n">
        <v>253</v>
      </c>
      <c r="O645" s="2" t="n">
        <v>183</v>
      </c>
      <c r="P645" s="2" t="n">
        <v>940</v>
      </c>
      <c r="Q645" s="2" t="n">
        <v>392</v>
      </c>
      <c r="R645" s="2" t="n">
        <v>84</v>
      </c>
      <c r="S645" s="2" t="n">
        <v>19</v>
      </c>
      <c r="T645" s="2" t="s">
        <v>96</v>
      </c>
      <c r="U645" s="4" t="n">
        <f aca="false">(M645+N645+O645+P645)/L645</f>
        <v>0.142005502904311</v>
      </c>
      <c r="V645" s="2" t="str">
        <f aca="false">IF(S645&lt;=5,"Late night (0-5)",IF(S645&lt;=11,"Morning (6-11)",IF(S645&lt;=17,"Afternoon (12-17)","Evening (18-23)")))</f>
        <v>Evening (18-23)</v>
      </c>
    </row>
    <row r="646" customFormat="false" ht="15" hidden="false" customHeight="false" outlineLevel="0" collapsed="false">
      <c r="A646" s="2" t="s">
        <v>1257</v>
      </c>
      <c r="B646" s="2" t="s">
        <v>462</v>
      </c>
      <c r="C646" s="2" t="s">
        <v>84</v>
      </c>
      <c r="D646" s="3" t="n">
        <v>45772</v>
      </c>
      <c r="E646" s="2" t="s">
        <v>1258</v>
      </c>
      <c r="F646" s="2" t="s">
        <v>32</v>
      </c>
      <c r="G646" s="2" t="n">
        <v>43510</v>
      </c>
      <c r="H646" s="2" t="n">
        <v>14</v>
      </c>
      <c r="I646" s="2" t="n">
        <v>202</v>
      </c>
      <c r="J646" s="2" t="n">
        <v>0</v>
      </c>
      <c r="K646" s="2" t="n">
        <v>157470</v>
      </c>
      <c r="L646" s="2" t="n">
        <v>111400</v>
      </c>
      <c r="M646" s="2" t="n">
        <v>5636</v>
      </c>
      <c r="N646" s="2" t="n">
        <v>120</v>
      </c>
      <c r="O646" s="2" t="n">
        <v>1663</v>
      </c>
      <c r="P646" s="2" t="n">
        <v>646</v>
      </c>
      <c r="Q646" s="2" t="n">
        <v>2208</v>
      </c>
      <c r="R646" s="2" t="n">
        <v>276</v>
      </c>
      <c r="S646" s="2" t="n">
        <v>6</v>
      </c>
      <c r="T646" s="2" t="s">
        <v>96</v>
      </c>
      <c r="U646" s="4" t="n">
        <f aca="false">(M646+N646+O646+P646)/L646</f>
        <v>0.0723967684021544</v>
      </c>
      <c r="V646" s="2" t="str">
        <f aca="false">IF(S646&lt;=5,"Late night (0-5)",IF(S646&lt;=11,"Morning (6-11)",IF(S646&lt;=17,"Afternoon (12-17)","Evening (18-23)")))</f>
        <v>Morning (6-11)</v>
      </c>
    </row>
    <row r="647" customFormat="false" ht="15" hidden="false" customHeight="false" outlineLevel="0" collapsed="false">
      <c r="A647" s="2" t="s">
        <v>1259</v>
      </c>
      <c r="B647" s="2" t="s">
        <v>98</v>
      </c>
      <c r="C647" s="2" t="s">
        <v>54</v>
      </c>
      <c r="D647" s="3" t="n">
        <v>45921</v>
      </c>
      <c r="E647" s="2" t="s">
        <v>401</v>
      </c>
      <c r="F647" s="2" t="s">
        <v>50</v>
      </c>
      <c r="G647" s="2" t="n">
        <v>18366</v>
      </c>
      <c r="H647" s="2" t="n">
        <v>10</v>
      </c>
      <c r="I647" s="2" t="n">
        <v>314</v>
      </c>
      <c r="J647" s="2" t="n">
        <v>0</v>
      </c>
      <c r="K647" s="2" t="n">
        <v>10135</v>
      </c>
      <c r="L647" s="2" t="n">
        <v>6513</v>
      </c>
      <c r="M647" s="2" t="n">
        <v>349</v>
      </c>
      <c r="N647" s="2" t="n">
        <v>24</v>
      </c>
      <c r="O647" s="2" t="n">
        <v>44</v>
      </c>
      <c r="P647" s="2" t="n">
        <v>91</v>
      </c>
      <c r="Q647" s="2" t="n">
        <v>64</v>
      </c>
      <c r="R647" s="2" t="n">
        <v>6</v>
      </c>
      <c r="S647" s="2" t="n">
        <v>5</v>
      </c>
      <c r="T647" s="2" t="s">
        <v>27</v>
      </c>
      <c r="U647" s="4" t="n">
        <f aca="false">(M647+N647+O647+P647)/L647</f>
        <v>0.0779978504529403</v>
      </c>
      <c r="V647" s="2" t="str">
        <f aca="false">IF(S647&lt;=5,"Late night (0-5)",IF(S647&lt;=11,"Morning (6-11)",IF(S647&lt;=17,"Afternoon (12-17)","Evening (18-23)")))</f>
        <v>Late night (0-5)</v>
      </c>
    </row>
    <row r="648" customFormat="false" ht="15" hidden="false" customHeight="false" outlineLevel="0" collapsed="false">
      <c r="A648" s="2" t="s">
        <v>1260</v>
      </c>
      <c r="B648" s="2" t="s">
        <v>98</v>
      </c>
      <c r="C648" s="2" t="s">
        <v>54</v>
      </c>
      <c r="D648" s="3" t="n">
        <v>45830</v>
      </c>
      <c r="E648" s="2" t="s">
        <v>559</v>
      </c>
      <c r="F648" s="2" t="s">
        <v>26</v>
      </c>
      <c r="G648" s="2" t="n">
        <v>18366</v>
      </c>
      <c r="H648" s="2" t="n">
        <v>7</v>
      </c>
      <c r="I648" s="2" t="n">
        <v>256</v>
      </c>
      <c r="J648" s="2" t="n">
        <v>0</v>
      </c>
      <c r="K648" s="2" t="n">
        <v>23179</v>
      </c>
      <c r="L648" s="2" t="n">
        <v>17403</v>
      </c>
      <c r="M648" s="2" t="n">
        <v>1513</v>
      </c>
      <c r="N648" s="2" t="n">
        <v>106</v>
      </c>
      <c r="O648" s="2" t="n">
        <v>126</v>
      </c>
      <c r="P648" s="2" t="n">
        <v>315</v>
      </c>
      <c r="Q648" s="2" t="n">
        <v>453</v>
      </c>
      <c r="R648" s="2" t="n">
        <v>32</v>
      </c>
      <c r="S648" s="2" t="n">
        <v>14</v>
      </c>
      <c r="T648" s="2" t="s">
        <v>27</v>
      </c>
      <c r="U648" s="4" t="n">
        <f aca="false">(M648+N648+O648+P648)/L648</f>
        <v>0.118370395908751</v>
      </c>
      <c r="V648" s="2" t="str">
        <f aca="false">IF(S648&lt;=5,"Late night (0-5)",IF(S648&lt;=11,"Morning (6-11)",IF(S648&lt;=17,"Afternoon (12-17)","Evening (18-23)")))</f>
        <v>Afternoon (12-17)</v>
      </c>
    </row>
    <row r="649" customFormat="false" ht="15" hidden="false" customHeight="false" outlineLevel="0" collapsed="false">
      <c r="A649" s="2" t="s">
        <v>1261</v>
      </c>
      <c r="B649" s="2" t="s">
        <v>360</v>
      </c>
      <c r="C649" s="2" t="s">
        <v>48</v>
      </c>
      <c r="D649" s="3" t="n">
        <v>45698</v>
      </c>
      <c r="E649" s="2" t="s">
        <v>1262</v>
      </c>
      <c r="F649" s="2" t="s">
        <v>32</v>
      </c>
      <c r="G649" s="2" t="n">
        <v>19542</v>
      </c>
      <c r="H649" s="2" t="n">
        <v>8</v>
      </c>
      <c r="I649" s="2" t="n">
        <v>24</v>
      </c>
      <c r="J649" s="2" t="n">
        <v>0</v>
      </c>
      <c r="K649" s="2" t="n">
        <v>54607</v>
      </c>
      <c r="L649" s="2" t="n">
        <v>36337</v>
      </c>
      <c r="M649" s="2" t="n">
        <v>3506</v>
      </c>
      <c r="N649" s="2" t="n">
        <v>208</v>
      </c>
      <c r="O649" s="2" t="n">
        <v>882</v>
      </c>
      <c r="P649" s="2" t="n">
        <v>751</v>
      </c>
      <c r="Q649" s="2" t="n">
        <v>966</v>
      </c>
      <c r="R649" s="2" t="n">
        <v>198</v>
      </c>
      <c r="S649" s="2" t="n">
        <v>12</v>
      </c>
      <c r="T649" s="2" t="s">
        <v>33</v>
      </c>
      <c r="U649" s="4" t="n">
        <f aca="false">(M649+N649+O649+P649)/L649</f>
        <v>0.147150287585657</v>
      </c>
      <c r="V649" s="2" t="str">
        <f aca="false">IF(S649&lt;=5,"Late night (0-5)",IF(S649&lt;=11,"Morning (6-11)",IF(S649&lt;=17,"Afternoon (12-17)","Evening (18-23)")))</f>
        <v>Afternoon (12-17)</v>
      </c>
    </row>
    <row r="650" customFormat="false" ht="15" hidden="false" customHeight="false" outlineLevel="0" collapsed="false">
      <c r="A650" s="2" t="s">
        <v>1263</v>
      </c>
      <c r="B650" s="2" t="s">
        <v>40</v>
      </c>
      <c r="C650" s="2" t="s">
        <v>41</v>
      </c>
      <c r="D650" s="3" t="n">
        <v>45894</v>
      </c>
      <c r="E650" s="2" t="s">
        <v>1264</v>
      </c>
      <c r="F650" s="2" t="s">
        <v>38</v>
      </c>
      <c r="G650" s="2" t="n">
        <v>23051</v>
      </c>
      <c r="H650" s="2" t="n">
        <v>13</v>
      </c>
      <c r="I650" s="2" t="n">
        <v>273</v>
      </c>
      <c r="J650" s="2" t="n">
        <v>1</v>
      </c>
      <c r="K650" s="2" t="n">
        <v>9646</v>
      </c>
      <c r="L650" s="2" t="n">
        <v>8161</v>
      </c>
      <c r="M650" s="2" t="n">
        <v>282</v>
      </c>
      <c r="N650" s="2" t="n">
        <v>18</v>
      </c>
      <c r="O650" s="2" t="n">
        <v>12</v>
      </c>
      <c r="P650" s="2" t="n">
        <v>62</v>
      </c>
      <c r="Q650" s="2" t="n">
        <v>118</v>
      </c>
      <c r="R650" s="2" t="n">
        <v>30</v>
      </c>
      <c r="S650" s="2" t="n">
        <v>9</v>
      </c>
      <c r="T650" s="2" t="s">
        <v>33</v>
      </c>
      <c r="U650" s="4" t="n">
        <f aca="false">(M650+N650+O650+P650)/L650</f>
        <v>0.0458277171915206</v>
      </c>
      <c r="V650" s="2" t="str">
        <f aca="false">IF(S650&lt;=5,"Late night (0-5)",IF(S650&lt;=11,"Morning (6-11)",IF(S650&lt;=17,"Afternoon (12-17)","Evening (18-23)")))</f>
        <v>Morning (6-11)</v>
      </c>
    </row>
    <row r="651" customFormat="false" ht="15" hidden="false" customHeight="false" outlineLevel="0" collapsed="false">
      <c r="A651" s="2" t="s">
        <v>1265</v>
      </c>
      <c r="B651" s="2" t="s">
        <v>240</v>
      </c>
      <c r="C651" s="2" t="s">
        <v>41</v>
      </c>
      <c r="D651" s="3" t="n">
        <v>45887</v>
      </c>
      <c r="E651" s="2" t="s">
        <v>377</v>
      </c>
      <c r="F651" s="2" t="s">
        <v>50</v>
      </c>
      <c r="G651" s="2" t="n">
        <v>83197</v>
      </c>
      <c r="H651" s="2" t="n">
        <v>19</v>
      </c>
      <c r="I651" s="2" t="n">
        <v>355</v>
      </c>
      <c r="J651" s="2" t="n">
        <v>1</v>
      </c>
      <c r="K651" s="2" t="n">
        <v>115277</v>
      </c>
      <c r="L651" s="2" t="n">
        <v>92440</v>
      </c>
      <c r="M651" s="2" t="n">
        <v>5840</v>
      </c>
      <c r="N651" s="2" t="n">
        <v>409</v>
      </c>
      <c r="O651" s="2" t="n">
        <v>562</v>
      </c>
      <c r="P651" s="2" t="n">
        <v>844</v>
      </c>
      <c r="Q651" s="2" t="n">
        <v>545</v>
      </c>
      <c r="R651" s="2" t="n">
        <v>61</v>
      </c>
      <c r="S651" s="2" t="n">
        <v>22</v>
      </c>
      <c r="T651" s="2" t="s">
        <v>33</v>
      </c>
      <c r="U651" s="4" t="n">
        <f aca="false">(M651+N651+O651+P651)/L651</f>
        <v>0.0828104716572912</v>
      </c>
      <c r="V651" s="2" t="str">
        <f aca="false">IF(S651&lt;=5,"Late night (0-5)",IF(S651&lt;=11,"Morning (6-11)",IF(S651&lt;=17,"Afternoon (12-17)","Evening (18-23)")))</f>
        <v>Evening (18-23)</v>
      </c>
    </row>
    <row r="652" customFormat="false" ht="15" hidden="false" customHeight="false" outlineLevel="0" collapsed="false">
      <c r="A652" s="2" t="s">
        <v>1266</v>
      </c>
      <c r="B652" s="2" t="s">
        <v>83</v>
      </c>
      <c r="C652" s="2" t="s">
        <v>84</v>
      </c>
      <c r="D652" s="3" t="n">
        <v>45811</v>
      </c>
      <c r="E652" s="2" t="s">
        <v>1267</v>
      </c>
      <c r="F652" s="2" t="s">
        <v>32</v>
      </c>
      <c r="G652" s="2" t="n">
        <v>17918</v>
      </c>
      <c r="H652" s="2" t="n">
        <v>10</v>
      </c>
      <c r="I652" s="2" t="n">
        <v>278</v>
      </c>
      <c r="J652" s="2" t="n">
        <v>0</v>
      </c>
      <c r="K652" s="2" t="n">
        <v>47736</v>
      </c>
      <c r="L652" s="2" t="n">
        <v>43310</v>
      </c>
      <c r="M652" s="2" t="n">
        <v>4418</v>
      </c>
      <c r="N652" s="2" t="n">
        <v>244</v>
      </c>
      <c r="O652" s="2" t="n">
        <v>436</v>
      </c>
      <c r="P652" s="2" t="n">
        <v>499</v>
      </c>
      <c r="Q652" s="2" t="n">
        <v>350</v>
      </c>
      <c r="R652" s="2" t="n">
        <v>96</v>
      </c>
      <c r="S652" s="2" t="n">
        <v>1</v>
      </c>
      <c r="T652" s="2" t="s">
        <v>51</v>
      </c>
      <c r="U652" s="4" t="n">
        <f aca="false">(M652+N652+O652+P652)/L652</f>
        <v>0.129231124451628</v>
      </c>
      <c r="V652" s="2" t="str">
        <f aca="false">IF(S652&lt;=5,"Late night (0-5)",IF(S652&lt;=11,"Morning (6-11)",IF(S652&lt;=17,"Afternoon (12-17)","Evening (18-23)")))</f>
        <v>Late night (0-5)</v>
      </c>
    </row>
    <row r="653" customFormat="false" ht="15" hidden="false" customHeight="false" outlineLevel="0" collapsed="false">
      <c r="A653" s="2" t="s">
        <v>1268</v>
      </c>
      <c r="B653" s="2" t="s">
        <v>35</v>
      </c>
      <c r="C653" s="2" t="s">
        <v>36</v>
      </c>
      <c r="D653" s="3" t="n">
        <v>45826</v>
      </c>
      <c r="E653" s="2" t="s">
        <v>1269</v>
      </c>
      <c r="F653" s="2" t="s">
        <v>38</v>
      </c>
      <c r="G653" s="2" t="n">
        <v>33933</v>
      </c>
      <c r="H653" s="2" t="n">
        <v>9</v>
      </c>
      <c r="I653" s="2" t="n">
        <v>293</v>
      </c>
      <c r="J653" s="2" t="n">
        <v>0</v>
      </c>
      <c r="K653" s="2" t="n">
        <v>29649</v>
      </c>
      <c r="L653" s="2" t="n">
        <v>25116</v>
      </c>
      <c r="M653" s="2" t="n">
        <v>821</v>
      </c>
      <c r="N653" s="2" t="n">
        <v>55</v>
      </c>
      <c r="O653" s="2" t="n">
        <v>83</v>
      </c>
      <c r="P653" s="2" t="n">
        <v>91</v>
      </c>
      <c r="Q653" s="2" t="n">
        <v>343</v>
      </c>
      <c r="R653" s="2" t="n">
        <v>82</v>
      </c>
      <c r="S653" s="2" t="n">
        <v>22</v>
      </c>
      <c r="T653" s="2" t="s">
        <v>66</v>
      </c>
      <c r="U653" s="4" t="n">
        <f aca="false">(M653+N653+O653+P653)/L653</f>
        <v>0.0418060200668896</v>
      </c>
      <c r="V653" s="2" t="str">
        <f aca="false">IF(S653&lt;=5,"Late night (0-5)",IF(S653&lt;=11,"Morning (6-11)",IF(S653&lt;=17,"Afternoon (12-17)","Evening (18-23)")))</f>
        <v>Evening (18-23)</v>
      </c>
    </row>
    <row r="654" customFormat="false" ht="15" hidden="false" customHeight="false" outlineLevel="0" collapsed="false">
      <c r="A654" s="2" t="s">
        <v>1270</v>
      </c>
      <c r="B654" s="2" t="s">
        <v>135</v>
      </c>
      <c r="C654" s="2" t="s">
        <v>36</v>
      </c>
      <c r="D654" s="3" t="n">
        <v>45801</v>
      </c>
      <c r="E654" s="2" t="s">
        <v>913</v>
      </c>
      <c r="F654" s="2" t="s">
        <v>26</v>
      </c>
      <c r="G654" s="2" t="n">
        <v>45812</v>
      </c>
      <c r="H654" s="2" t="n">
        <v>11</v>
      </c>
      <c r="I654" s="2" t="n">
        <v>160</v>
      </c>
      <c r="J654" s="2" t="n">
        <v>0</v>
      </c>
      <c r="K654" s="2" t="n">
        <v>11647</v>
      </c>
      <c r="L654" s="2" t="n">
        <v>9313</v>
      </c>
      <c r="M654" s="2" t="n">
        <v>553</v>
      </c>
      <c r="N654" s="2" t="n">
        <v>11</v>
      </c>
      <c r="O654" s="2" t="n">
        <v>110</v>
      </c>
      <c r="P654" s="2" t="n">
        <v>102</v>
      </c>
      <c r="Q654" s="2" t="n">
        <v>158</v>
      </c>
      <c r="R654" s="2" t="n">
        <v>38</v>
      </c>
      <c r="S654" s="2" t="n">
        <v>5</v>
      </c>
      <c r="T654" s="2" t="s">
        <v>62</v>
      </c>
      <c r="U654" s="4" t="n">
        <f aca="false">(M654+N654+O654+P654)/L654</f>
        <v>0.0833243852679051</v>
      </c>
      <c r="V654" s="2" t="str">
        <f aca="false">IF(S654&lt;=5,"Late night (0-5)",IF(S654&lt;=11,"Morning (6-11)",IF(S654&lt;=17,"Afternoon (12-17)","Evening (18-23)")))</f>
        <v>Late night (0-5)</v>
      </c>
    </row>
    <row r="655" customFormat="false" ht="15" hidden="false" customHeight="false" outlineLevel="0" collapsed="false">
      <c r="A655" s="2" t="s">
        <v>1271</v>
      </c>
      <c r="B655" s="2" t="s">
        <v>264</v>
      </c>
      <c r="C655" s="2" t="s">
        <v>36</v>
      </c>
      <c r="D655" s="3" t="n">
        <v>45875</v>
      </c>
      <c r="E655" s="2" t="s">
        <v>1272</v>
      </c>
      <c r="F655" s="2" t="s">
        <v>32</v>
      </c>
      <c r="G655" s="2" t="n">
        <v>22362</v>
      </c>
      <c r="H655" s="2" t="n">
        <v>0</v>
      </c>
      <c r="I655" s="2" t="n">
        <v>291</v>
      </c>
      <c r="J655" s="2" t="n">
        <v>0</v>
      </c>
      <c r="K655" s="2" t="n">
        <v>19317</v>
      </c>
      <c r="L655" s="2" t="n">
        <v>12861</v>
      </c>
      <c r="M655" s="2" t="n">
        <v>607</v>
      </c>
      <c r="N655" s="2" t="n">
        <v>37</v>
      </c>
      <c r="O655" s="2" t="n">
        <v>169</v>
      </c>
      <c r="P655" s="2" t="n">
        <v>99</v>
      </c>
      <c r="Q655" s="2" t="n">
        <v>91</v>
      </c>
      <c r="R655" s="2" t="n">
        <v>17</v>
      </c>
      <c r="S655" s="2" t="n">
        <v>13</v>
      </c>
      <c r="T655" s="2" t="s">
        <v>66</v>
      </c>
      <c r="U655" s="4" t="n">
        <f aca="false">(M655+N655+O655+P655)/L655</f>
        <v>0.0709120597154187</v>
      </c>
      <c r="V655" s="2" t="str">
        <f aca="false">IF(S655&lt;=5,"Late night (0-5)",IF(S655&lt;=11,"Morning (6-11)",IF(S655&lt;=17,"Afternoon (12-17)","Evening (18-23)")))</f>
        <v>Afternoon (12-17)</v>
      </c>
    </row>
    <row r="656" customFormat="false" ht="15" hidden="false" customHeight="false" outlineLevel="0" collapsed="false">
      <c r="A656" s="2" t="s">
        <v>1273</v>
      </c>
      <c r="B656" s="2" t="s">
        <v>64</v>
      </c>
      <c r="C656" s="2" t="s">
        <v>36</v>
      </c>
      <c r="D656" s="3" t="n">
        <v>45761</v>
      </c>
      <c r="E656" s="2" t="s">
        <v>623</v>
      </c>
      <c r="F656" s="2" t="s">
        <v>50</v>
      </c>
      <c r="G656" s="2" t="n">
        <v>43781</v>
      </c>
      <c r="H656" s="2" t="n">
        <v>11</v>
      </c>
      <c r="I656" s="2" t="n">
        <v>134</v>
      </c>
      <c r="J656" s="2" t="n">
        <v>0</v>
      </c>
      <c r="K656" s="2" t="n">
        <v>95793</v>
      </c>
      <c r="L656" s="2" t="n">
        <v>72635</v>
      </c>
      <c r="M656" s="2" t="n">
        <v>5069</v>
      </c>
      <c r="N656" s="2" t="n">
        <v>173</v>
      </c>
      <c r="O656" s="2" t="n">
        <v>430</v>
      </c>
      <c r="P656" s="2" t="n">
        <v>1343</v>
      </c>
      <c r="Q656" s="2" t="n">
        <v>818</v>
      </c>
      <c r="R656" s="2" t="n">
        <v>238</v>
      </c>
      <c r="S656" s="2" t="n">
        <v>22</v>
      </c>
      <c r="T656" s="2" t="s">
        <v>33</v>
      </c>
      <c r="U656" s="4" t="n">
        <f aca="false">(M656+N656+O656+P656)/L656</f>
        <v>0.096578784332622</v>
      </c>
      <c r="V656" s="2" t="str">
        <f aca="false">IF(S656&lt;=5,"Late night (0-5)",IF(S656&lt;=11,"Morning (6-11)",IF(S656&lt;=17,"Afternoon (12-17)","Evening (18-23)")))</f>
        <v>Evening (18-23)</v>
      </c>
    </row>
    <row r="657" customFormat="false" ht="15" hidden="false" customHeight="false" outlineLevel="0" collapsed="false">
      <c r="A657" s="2" t="s">
        <v>1274</v>
      </c>
      <c r="B657" s="2" t="s">
        <v>247</v>
      </c>
      <c r="C657" s="2" t="s">
        <v>24</v>
      </c>
      <c r="D657" s="3" t="n">
        <v>45937</v>
      </c>
      <c r="E657" s="2" t="s">
        <v>1146</v>
      </c>
      <c r="F657" s="2" t="s">
        <v>32</v>
      </c>
      <c r="G657" s="2" t="n">
        <v>70847</v>
      </c>
      <c r="H657" s="2" t="n">
        <v>11</v>
      </c>
      <c r="I657" s="2" t="n">
        <v>267</v>
      </c>
      <c r="J657" s="2" t="n">
        <v>1</v>
      </c>
      <c r="K657" s="2" t="n">
        <v>59661</v>
      </c>
      <c r="L657" s="2" t="n">
        <v>41447</v>
      </c>
      <c r="M657" s="2" t="n">
        <v>3630</v>
      </c>
      <c r="N657" s="2" t="n">
        <v>135</v>
      </c>
      <c r="O657" s="2" t="n">
        <v>864</v>
      </c>
      <c r="P657" s="2" t="n">
        <v>753</v>
      </c>
      <c r="Q657" s="2" t="n">
        <v>1023</v>
      </c>
      <c r="R657" s="2" t="n">
        <v>115</v>
      </c>
      <c r="S657" s="2" t="n">
        <v>6</v>
      </c>
      <c r="T657" s="2" t="s">
        <v>51</v>
      </c>
      <c r="U657" s="4" t="n">
        <f aca="false">(M657+N657+O657+P657)/L657</f>
        <v>0.129852582816609</v>
      </c>
      <c r="V657" s="2" t="str">
        <f aca="false">IF(S657&lt;=5,"Late night (0-5)",IF(S657&lt;=11,"Morning (6-11)",IF(S657&lt;=17,"Afternoon (12-17)","Evening (18-23)")))</f>
        <v>Morning (6-11)</v>
      </c>
    </row>
    <row r="658" customFormat="false" ht="15" hidden="false" customHeight="false" outlineLevel="0" collapsed="false">
      <c r="A658" s="2" t="s">
        <v>1275</v>
      </c>
      <c r="B658" s="2" t="s">
        <v>227</v>
      </c>
      <c r="C658" s="2" t="s">
        <v>54</v>
      </c>
      <c r="D658" s="3" t="n">
        <v>45700</v>
      </c>
      <c r="E658" s="2" t="s">
        <v>470</v>
      </c>
      <c r="F658" s="2" t="s">
        <v>38</v>
      </c>
      <c r="G658" s="2" t="n">
        <v>11796</v>
      </c>
      <c r="H658" s="2" t="n">
        <v>2</v>
      </c>
      <c r="I658" s="2" t="n">
        <v>182</v>
      </c>
      <c r="J658" s="2" t="n">
        <v>0</v>
      </c>
      <c r="K658" s="2" t="n">
        <v>6045</v>
      </c>
      <c r="L658" s="2" t="n">
        <v>3980</v>
      </c>
      <c r="M658" s="2" t="n">
        <v>262</v>
      </c>
      <c r="N658" s="2" t="n">
        <v>13</v>
      </c>
      <c r="O658" s="2" t="n">
        <v>20</v>
      </c>
      <c r="P658" s="2" t="n">
        <v>76</v>
      </c>
      <c r="Q658" s="2" t="n">
        <v>81</v>
      </c>
      <c r="R658" s="2" t="n">
        <v>17</v>
      </c>
      <c r="S658" s="2" t="n">
        <v>3</v>
      </c>
      <c r="T658" s="2" t="s">
        <v>66</v>
      </c>
      <c r="U658" s="4" t="n">
        <f aca="false">(M658+N658+O658+P658)/L658</f>
        <v>0.0932160804020101</v>
      </c>
      <c r="V658" s="2" t="str">
        <f aca="false">IF(S658&lt;=5,"Late night (0-5)",IF(S658&lt;=11,"Morning (6-11)",IF(S658&lt;=17,"Afternoon (12-17)","Evening (18-23)")))</f>
        <v>Late night (0-5)</v>
      </c>
    </row>
    <row r="659" customFormat="false" ht="15" hidden="false" customHeight="false" outlineLevel="0" collapsed="false">
      <c r="A659" s="2" t="s">
        <v>1276</v>
      </c>
      <c r="B659" s="2" t="s">
        <v>135</v>
      </c>
      <c r="C659" s="2" t="s">
        <v>36</v>
      </c>
      <c r="D659" s="3" t="n">
        <v>45859</v>
      </c>
      <c r="E659" s="2" t="s">
        <v>1277</v>
      </c>
      <c r="F659" s="2" t="s">
        <v>38</v>
      </c>
      <c r="G659" s="2" t="n">
        <v>45812</v>
      </c>
      <c r="H659" s="2" t="n">
        <v>7</v>
      </c>
      <c r="I659" s="2" t="n">
        <v>131</v>
      </c>
      <c r="J659" s="2" t="n">
        <v>0</v>
      </c>
      <c r="K659" s="2" t="n">
        <v>65448</v>
      </c>
      <c r="L659" s="2" t="n">
        <v>37622</v>
      </c>
      <c r="M659" s="2" t="n">
        <v>2592</v>
      </c>
      <c r="N659" s="2" t="n">
        <v>176</v>
      </c>
      <c r="O659" s="2" t="n">
        <v>198</v>
      </c>
      <c r="P659" s="2" t="n">
        <v>418</v>
      </c>
      <c r="Q659" s="2" t="n">
        <v>1043</v>
      </c>
      <c r="R659" s="2" t="n">
        <v>65</v>
      </c>
      <c r="S659" s="2" t="n">
        <v>21</v>
      </c>
      <c r="T659" s="2" t="s">
        <v>33</v>
      </c>
      <c r="U659" s="4" t="n">
        <f aca="false">(M659+N659+O659+P659)/L659</f>
        <v>0.0899473712189676</v>
      </c>
      <c r="V659" s="2" t="str">
        <f aca="false">IF(S659&lt;=5,"Late night (0-5)",IF(S659&lt;=11,"Morning (6-11)",IF(S659&lt;=17,"Afternoon (12-17)","Evening (18-23)")))</f>
        <v>Evening (18-23)</v>
      </c>
    </row>
    <row r="660" customFormat="false" ht="15" hidden="false" customHeight="false" outlineLevel="0" collapsed="false">
      <c r="A660" s="2" t="s">
        <v>1278</v>
      </c>
      <c r="B660" s="2" t="s">
        <v>307</v>
      </c>
      <c r="C660" s="2" t="s">
        <v>48</v>
      </c>
      <c r="D660" s="3" t="n">
        <v>45942</v>
      </c>
      <c r="E660" s="2" t="s">
        <v>1279</v>
      </c>
      <c r="F660" s="2" t="s">
        <v>38</v>
      </c>
      <c r="G660" s="2" t="n">
        <v>91358</v>
      </c>
      <c r="H660" s="2" t="n">
        <v>22</v>
      </c>
      <c r="I660" s="2" t="n">
        <v>159</v>
      </c>
      <c r="J660" s="2" t="n">
        <v>0</v>
      </c>
      <c r="K660" s="2" t="n">
        <v>141010</v>
      </c>
      <c r="L660" s="2" t="n">
        <v>87642</v>
      </c>
      <c r="M660" s="2" t="n">
        <v>5231</v>
      </c>
      <c r="N660" s="2" t="n">
        <v>320</v>
      </c>
      <c r="O660" s="2" t="n">
        <v>843</v>
      </c>
      <c r="P660" s="2" t="n">
        <v>1463</v>
      </c>
      <c r="Q660" s="2" t="n">
        <v>2110</v>
      </c>
      <c r="R660" s="2" t="n">
        <v>334</v>
      </c>
      <c r="S660" s="2" t="n">
        <v>8</v>
      </c>
      <c r="T660" s="2" t="s">
        <v>27</v>
      </c>
      <c r="U660" s="4" t="n">
        <f aca="false">(M660+N660+O660+P660)/L660</f>
        <v>0.0896487985212569</v>
      </c>
      <c r="V660" s="2" t="str">
        <f aca="false">IF(S660&lt;=5,"Late night (0-5)",IF(S660&lt;=11,"Morning (6-11)",IF(S660&lt;=17,"Afternoon (12-17)","Evening (18-23)")))</f>
        <v>Morning (6-11)</v>
      </c>
    </row>
    <row r="661" customFormat="false" ht="15" hidden="false" customHeight="false" outlineLevel="0" collapsed="false">
      <c r="A661" s="2" t="s">
        <v>1280</v>
      </c>
      <c r="B661" s="2" t="s">
        <v>151</v>
      </c>
      <c r="C661" s="2" t="s">
        <v>36</v>
      </c>
      <c r="D661" s="3" t="n">
        <v>45851</v>
      </c>
      <c r="E661" s="2" t="s">
        <v>1281</v>
      </c>
      <c r="F661" s="2" t="s">
        <v>26</v>
      </c>
      <c r="G661" s="2" t="n">
        <v>19247</v>
      </c>
      <c r="H661" s="2" t="n">
        <v>17</v>
      </c>
      <c r="I661" s="2" t="n">
        <v>48</v>
      </c>
      <c r="J661" s="2" t="n">
        <v>1</v>
      </c>
      <c r="K661" s="2" t="n">
        <v>29477</v>
      </c>
      <c r="L661" s="2" t="n">
        <v>26562</v>
      </c>
      <c r="M661" s="2" t="n">
        <v>1377</v>
      </c>
      <c r="N661" s="2" t="n">
        <v>70</v>
      </c>
      <c r="O661" s="2" t="n">
        <v>48</v>
      </c>
      <c r="P661" s="2" t="n">
        <v>450</v>
      </c>
      <c r="Q661" s="2" t="n">
        <v>305</v>
      </c>
      <c r="R661" s="2" t="n">
        <v>56</v>
      </c>
      <c r="S661" s="2" t="n">
        <v>19</v>
      </c>
      <c r="T661" s="2" t="s">
        <v>27</v>
      </c>
      <c r="U661" s="4" t="n">
        <f aca="false">(M661+N661+O661+P661)/L661</f>
        <v>0.0732249077629697</v>
      </c>
      <c r="V661" s="2" t="str">
        <f aca="false">IF(S661&lt;=5,"Late night (0-5)",IF(S661&lt;=11,"Morning (6-11)",IF(S661&lt;=17,"Afternoon (12-17)","Evening (18-23)")))</f>
        <v>Evening (18-23)</v>
      </c>
    </row>
    <row r="662" customFormat="false" ht="15" hidden="false" customHeight="false" outlineLevel="0" collapsed="false">
      <c r="A662" s="2" t="s">
        <v>1282</v>
      </c>
      <c r="B662" s="2" t="s">
        <v>154</v>
      </c>
      <c r="C662" s="2" t="s">
        <v>41</v>
      </c>
      <c r="D662" s="3" t="n">
        <v>45789</v>
      </c>
      <c r="E662" s="2" t="s">
        <v>1283</v>
      </c>
      <c r="F662" s="2" t="s">
        <v>38</v>
      </c>
      <c r="G662" s="2" t="n">
        <v>33644</v>
      </c>
      <c r="H662" s="2" t="n">
        <v>11</v>
      </c>
      <c r="I662" s="2" t="n">
        <v>232</v>
      </c>
      <c r="J662" s="2" t="n">
        <v>1</v>
      </c>
      <c r="K662" s="2" t="n">
        <v>11686</v>
      </c>
      <c r="L662" s="2" t="n">
        <v>10000</v>
      </c>
      <c r="M662" s="2" t="n">
        <v>867</v>
      </c>
      <c r="N662" s="2" t="n">
        <v>59</v>
      </c>
      <c r="O662" s="2" t="n">
        <v>79</v>
      </c>
      <c r="P662" s="2" t="n">
        <v>192</v>
      </c>
      <c r="Q662" s="2" t="n">
        <v>279</v>
      </c>
      <c r="R662" s="2" t="n">
        <v>29</v>
      </c>
      <c r="S662" s="2" t="n">
        <v>7</v>
      </c>
      <c r="T662" s="2" t="s">
        <v>33</v>
      </c>
      <c r="U662" s="4" t="n">
        <f aca="false">(M662+N662+O662+P662)/L662</f>
        <v>0.1197</v>
      </c>
      <c r="V662" s="2" t="str">
        <f aca="false">IF(S662&lt;=5,"Late night (0-5)",IF(S662&lt;=11,"Morning (6-11)",IF(S662&lt;=17,"Afternoon (12-17)","Evening (18-23)")))</f>
        <v>Morning (6-11)</v>
      </c>
    </row>
    <row r="663" customFormat="false" ht="15" hidden="false" customHeight="false" outlineLevel="0" collapsed="false">
      <c r="A663" s="2" t="s">
        <v>1284</v>
      </c>
      <c r="B663" s="2" t="s">
        <v>114</v>
      </c>
      <c r="C663" s="2" t="s">
        <v>84</v>
      </c>
      <c r="D663" s="3" t="n">
        <v>45767</v>
      </c>
      <c r="E663" s="2" t="s">
        <v>1285</v>
      </c>
      <c r="F663" s="2" t="s">
        <v>50</v>
      </c>
      <c r="G663" s="2" t="n">
        <v>64307</v>
      </c>
      <c r="H663" s="2" t="n">
        <v>1</v>
      </c>
      <c r="I663" s="2" t="n">
        <v>338</v>
      </c>
      <c r="J663" s="2" t="n">
        <v>1</v>
      </c>
      <c r="K663" s="2" t="n">
        <v>104591</v>
      </c>
      <c r="L663" s="2" t="n">
        <v>77704</v>
      </c>
      <c r="M663" s="2" t="n">
        <v>3270</v>
      </c>
      <c r="N663" s="2" t="n">
        <v>138</v>
      </c>
      <c r="O663" s="2" t="n">
        <v>460</v>
      </c>
      <c r="P663" s="2" t="n">
        <v>564</v>
      </c>
      <c r="Q663" s="2" t="n">
        <v>2028</v>
      </c>
      <c r="R663" s="2" t="n">
        <v>560</v>
      </c>
      <c r="S663" s="2" t="n">
        <v>6</v>
      </c>
      <c r="T663" s="2" t="s">
        <v>27</v>
      </c>
      <c r="U663" s="4" t="n">
        <f aca="false">(M663+N663+O663+P663)/L663</f>
        <v>0.0570369607742201</v>
      </c>
      <c r="V663" s="2" t="str">
        <f aca="false">IF(S663&lt;=5,"Late night (0-5)",IF(S663&lt;=11,"Morning (6-11)",IF(S663&lt;=17,"Afternoon (12-17)","Evening (18-23)")))</f>
        <v>Morning (6-11)</v>
      </c>
    </row>
    <row r="664" customFormat="false" ht="15" hidden="false" customHeight="false" outlineLevel="0" collapsed="false">
      <c r="A664" s="2" t="s">
        <v>1286</v>
      </c>
      <c r="B664" s="2" t="s">
        <v>138</v>
      </c>
      <c r="C664" s="2" t="s">
        <v>41</v>
      </c>
      <c r="D664" s="3" t="n">
        <v>45800</v>
      </c>
      <c r="E664" s="2" t="s">
        <v>1287</v>
      </c>
      <c r="F664" s="2" t="s">
        <v>26</v>
      </c>
      <c r="G664" s="2" t="n">
        <v>18712</v>
      </c>
      <c r="H664" s="2" t="n">
        <v>15</v>
      </c>
      <c r="I664" s="2" t="n">
        <v>218</v>
      </c>
      <c r="J664" s="2" t="n">
        <v>0</v>
      </c>
      <c r="K664" s="2" t="n">
        <v>11010</v>
      </c>
      <c r="L664" s="2" t="n">
        <v>6190</v>
      </c>
      <c r="M664" s="2" t="n">
        <v>362</v>
      </c>
      <c r="N664" s="2" t="n">
        <v>15</v>
      </c>
      <c r="O664" s="2" t="n">
        <v>52</v>
      </c>
      <c r="P664" s="2" t="n">
        <v>107</v>
      </c>
      <c r="Q664" s="2" t="n">
        <v>31</v>
      </c>
      <c r="R664" s="2" t="n">
        <v>6</v>
      </c>
      <c r="S664" s="2" t="n">
        <v>16</v>
      </c>
      <c r="T664" s="2" t="s">
        <v>96</v>
      </c>
      <c r="U664" s="4" t="n">
        <f aca="false">(M664+N664+O664+P664)/L664</f>
        <v>0.0865912762520194</v>
      </c>
      <c r="V664" s="2" t="str">
        <f aca="false">IF(S664&lt;=5,"Late night (0-5)",IF(S664&lt;=11,"Morning (6-11)",IF(S664&lt;=17,"Afternoon (12-17)","Evening (18-23)")))</f>
        <v>Afternoon (12-17)</v>
      </c>
    </row>
    <row r="665" customFormat="false" ht="15" hidden="false" customHeight="false" outlineLevel="0" collapsed="false">
      <c r="A665" s="2" t="s">
        <v>1288</v>
      </c>
      <c r="B665" s="2" t="s">
        <v>431</v>
      </c>
      <c r="C665" s="2" t="s">
        <v>36</v>
      </c>
      <c r="D665" s="3" t="n">
        <v>45921</v>
      </c>
      <c r="E665" s="2" t="s">
        <v>1289</v>
      </c>
      <c r="F665" s="2" t="s">
        <v>32</v>
      </c>
      <c r="G665" s="2" t="n">
        <v>64821</v>
      </c>
      <c r="H665" s="2" t="n">
        <v>5</v>
      </c>
      <c r="I665" s="2" t="n">
        <v>193</v>
      </c>
      <c r="J665" s="2" t="n">
        <v>0</v>
      </c>
      <c r="K665" s="2" t="n">
        <v>41261</v>
      </c>
      <c r="L665" s="2" t="n">
        <v>27775</v>
      </c>
      <c r="M665" s="2" t="n">
        <v>1610</v>
      </c>
      <c r="N665" s="2" t="n">
        <v>83</v>
      </c>
      <c r="O665" s="2" t="n">
        <v>94</v>
      </c>
      <c r="P665" s="2" t="n">
        <v>125</v>
      </c>
      <c r="Q665" s="2" t="n">
        <v>143</v>
      </c>
      <c r="R665" s="2" t="n">
        <v>38</v>
      </c>
      <c r="S665" s="2" t="n">
        <v>11</v>
      </c>
      <c r="T665" s="2" t="s">
        <v>27</v>
      </c>
      <c r="U665" s="4" t="n">
        <f aca="false">(M665+N665+O665+P665)/L665</f>
        <v>0.0688388838883888</v>
      </c>
      <c r="V665" s="2" t="str">
        <f aca="false">IF(S665&lt;=5,"Late night (0-5)",IF(S665&lt;=11,"Morning (6-11)",IF(S665&lt;=17,"Afternoon (12-17)","Evening (18-23)")))</f>
        <v>Morning (6-11)</v>
      </c>
    </row>
    <row r="666" customFormat="false" ht="15" hidden="false" customHeight="false" outlineLevel="0" collapsed="false">
      <c r="A666" s="2" t="s">
        <v>1290</v>
      </c>
      <c r="B666" s="2" t="s">
        <v>44</v>
      </c>
      <c r="C666" s="2" t="s">
        <v>36</v>
      </c>
      <c r="D666" s="3" t="n">
        <v>45779</v>
      </c>
      <c r="E666" s="2" t="s">
        <v>281</v>
      </c>
      <c r="F666" s="2" t="s">
        <v>38</v>
      </c>
      <c r="G666" s="2" t="n">
        <v>6265</v>
      </c>
      <c r="H666" s="2" t="n">
        <v>6</v>
      </c>
      <c r="I666" s="2" t="n">
        <v>321</v>
      </c>
      <c r="J666" s="2" t="n">
        <v>1</v>
      </c>
      <c r="K666" s="2" t="n">
        <v>1984</v>
      </c>
      <c r="L666" s="2" t="n">
        <v>1182</v>
      </c>
      <c r="M666" s="2" t="n">
        <v>77</v>
      </c>
      <c r="N666" s="2" t="n">
        <v>4</v>
      </c>
      <c r="O666" s="2" t="n">
        <v>6</v>
      </c>
      <c r="P666" s="2" t="n">
        <v>12</v>
      </c>
      <c r="Q666" s="2" t="n">
        <v>31</v>
      </c>
      <c r="R666" s="2" t="n">
        <v>7</v>
      </c>
      <c r="S666" s="2" t="n">
        <v>0</v>
      </c>
      <c r="T666" s="2" t="s">
        <v>96</v>
      </c>
      <c r="U666" s="4" t="n">
        <f aca="false">(M666+N666+O666+P666)/L666</f>
        <v>0.083756345177665</v>
      </c>
      <c r="V666" s="2" t="str">
        <f aca="false">IF(S666&lt;=5,"Late night (0-5)",IF(S666&lt;=11,"Morning (6-11)",IF(S666&lt;=17,"Afternoon (12-17)","Evening (18-23)")))</f>
        <v>Late night (0-5)</v>
      </c>
    </row>
    <row r="667" customFormat="false" ht="15" hidden="false" customHeight="false" outlineLevel="0" collapsed="false">
      <c r="A667" s="2" t="s">
        <v>1291</v>
      </c>
      <c r="B667" s="2" t="s">
        <v>47</v>
      </c>
      <c r="C667" s="2" t="s">
        <v>48</v>
      </c>
      <c r="D667" s="3" t="n">
        <v>45964</v>
      </c>
      <c r="E667" s="2" t="s">
        <v>1292</v>
      </c>
      <c r="F667" s="2" t="s">
        <v>38</v>
      </c>
      <c r="G667" s="2" t="n">
        <v>19609</v>
      </c>
      <c r="H667" s="2" t="n">
        <v>12</v>
      </c>
      <c r="I667" s="2" t="n">
        <v>113</v>
      </c>
      <c r="J667" s="2" t="n">
        <v>1</v>
      </c>
      <c r="K667" s="2" t="n">
        <v>38805</v>
      </c>
      <c r="L667" s="2" t="n">
        <v>22706</v>
      </c>
      <c r="M667" s="2" t="n">
        <v>1313</v>
      </c>
      <c r="N667" s="2" t="n">
        <v>80</v>
      </c>
      <c r="O667" s="2" t="n">
        <v>254</v>
      </c>
      <c r="P667" s="2" t="n">
        <v>163</v>
      </c>
      <c r="Q667" s="2" t="n">
        <v>545</v>
      </c>
      <c r="R667" s="2" t="n">
        <v>30</v>
      </c>
      <c r="S667" s="2" t="n">
        <v>15</v>
      </c>
      <c r="T667" s="2" t="s">
        <v>33</v>
      </c>
      <c r="U667" s="4" t="n">
        <f aca="false">(M667+N667+O667+P667)/L667</f>
        <v>0.0797146128776535</v>
      </c>
      <c r="V667" s="2" t="str">
        <f aca="false">IF(S667&lt;=5,"Late night (0-5)",IF(S667&lt;=11,"Morning (6-11)",IF(S667&lt;=17,"Afternoon (12-17)","Evening (18-23)")))</f>
        <v>Afternoon (12-17)</v>
      </c>
    </row>
    <row r="668" customFormat="false" ht="15" hidden="false" customHeight="false" outlineLevel="0" collapsed="false">
      <c r="A668" s="2" t="s">
        <v>1293</v>
      </c>
      <c r="B668" s="2" t="s">
        <v>68</v>
      </c>
      <c r="C668" s="2" t="s">
        <v>54</v>
      </c>
      <c r="D668" s="3" t="n">
        <v>45722</v>
      </c>
      <c r="E668" s="2" t="s">
        <v>1294</v>
      </c>
      <c r="F668" s="2" t="s">
        <v>26</v>
      </c>
      <c r="G668" s="2" t="n">
        <v>35922</v>
      </c>
      <c r="H668" s="2" t="n">
        <v>11</v>
      </c>
      <c r="I668" s="2" t="n">
        <v>158</v>
      </c>
      <c r="J668" s="2" t="n">
        <v>1</v>
      </c>
      <c r="K668" s="2" t="n">
        <v>62630</v>
      </c>
      <c r="L668" s="2" t="n">
        <v>36145</v>
      </c>
      <c r="M668" s="2" t="n">
        <v>2998</v>
      </c>
      <c r="N668" s="2" t="n">
        <v>205</v>
      </c>
      <c r="O668" s="2" t="n">
        <v>191</v>
      </c>
      <c r="P668" s="2" t="n">
        <v>761</v>
      </c>
      <c r="Q668" s="2" t="n">
        <v>900</v>
      </c>
      <c r="R668" s="2" t="n">
        <v>196</v>
      </c>
      <c r="S668" s="2" t="n">
        <v>5</v>
      </c>
      <c r="T668" s="2" t="s">
        <v>79</v>
      </c>
      <c r="U668" s="4" t="n">
        <f aca="false">(M668+N668+O668+P668)/L668</f>
        <v>0.11495365887398</v>
      </c>
      <c r="V668" s="2" t="str">
        <f aca="false">IF(S668&lt;=5,"Late night (0-5)",IF(S668&lt;=11,"Morning (6-11)",IF(S668&lt;=17,"Afternoon (12-17)","Evening (18-23)")))</f>
        <v>Late night (0-5)</v>
      </c>
    </row>
    <row r="669" customFormat="false" ht="15" hidden="false" customHeight="false" outlineLevel="0" collapsed="false">
      <c r="A669" s="2" t="s">
        <v>1295</v>
      </c>
      <c r="B669" s="2" t="s">
        <v>57</v>
      </c>
      <c r="C669" s="2" t="s">
        <v>24</v>
      </c>
      <c r="D669" s="3" t="n">
        <v>45845</v>
      </c>
      <c r="E669" s="2" t="s">
        <v>1296</v>
      </c>
      <c r="F669" s="2" t="s">
        <v>32</v>
      </c>
      <c r="G669" s="2" t="n">
        <v>31021</v>
      </c>
      <c r="H669" s="2" t="n">
        <v>12</v>
      </c>
      <c r="I669" s="2" t="n">
        <v>129</v>
      </c>
      <c r="J669" s="2" t="n">
        <v>0</v>
      </c>
      <c r="K669" s="2" t="n">
        <v>115080</v>
      </c>
      <c r="L669" s="2" t="n">
        <v>74831</v>
      </c>
      <c r="M669" s="2" t="n">
        <v>5729</v>
      </c>
      <c r="N669" s="2" t="n">
        <v>360</v>
      </c>
      <c r="O669" s="2" t="n">
        <v>1172</v>
      </c>
      <c r="P669" s="2" t="n">
        <v>415</v>
      </c>
      <c r="Q669" s="2" t="n">
        <v>1060</v>
      </c>
      <c r="R669" s="2" t="n">
        <v>197</v>
      </c>
      <c r="S669" s="2" t="n">
        <v>20</v>
      </c>
      <c r="T669" s="2" t="s">
        <v>33</v>
      </c>
      <c r="U669" s="4" t="n">
        <f aca="false">(M669+N669+O669+P669)/L669</f>
        <v>0.102577808662185</v>
      </c>
      <c r="V669" s="2" t="str">
        <f aca="false">IF(S669&lt;=5,"Late night (0-5)",IF(S669&lt;=11,"Morning (6-11)",IF(S669&lt;=17,"Afternoon (12-17)","Evening (18-23)")))</f>
        <v>Evening (18-23)</v>
      </c>
    </row>
    <row r="670" customFormat="false" ht="15" hidden="false" customHeight="false" outlineLevel="0" collapsed="false">
      <c r="A670" s="2" t="s">
        <v>1297</v>
      </c>
      <c r="B670" s="2" t="s">
        <v>83</v>
      </c>
      <c r="C670" s="2" t="s">
        <v>84</v>
      </c>
      <c r="D670" s="3" t="n">
        <v>46022</v>
      </c>
      <c r="E670" s="2" t="s">
        <v>37</v>
      </c>
      <c r="F670" s="2" t="s">
        <v>38</v>
      </c>
      <c r="G670" s="2" t="n">
        <v>17918</v>
      </c>
      <c r="H670" s="2" t="n">
        <v>19</v>
      </c>
      <c r="I670" s="2" t="n">
        <v>116</v>
      </c>
      <c r="J670" s="2" t="n">
        <v>1</v>
      </c>
      <c r="K670" s="2" t="n">
        <v>16930</v>
      </c>
      <c r="L670" s="2" t="n">
        <v>14065</v>
      </c>
      <c r="M670" s="2" t="n">
        <v>754</v>
      </c>
      <c r="N670" s="2" t="n">
        <v>54</v>
      </c>
      <c r="O670" s="2" t="n">
        <v>67</v>
      </c>
      <c r="P670" s="2" t="n">
        <v>65</v>
      </c>
      <c r="Q670" s="2" t="n">
        <v>254</v>
      </c>
      <c r="R670" s="2" t="n">
        <v>75</v>
      </c>
      <c r="S670" s="2" t="n">
        <v>8</v>
      </c>
      <c r="T670" s="2" t="s">
        <v>66</v>
      </c>
      <c r="U670" s="4" t="n">
        <f aca="false">(M670+N670+O670+P670)/L670</f>
        <v>0.0668325630998934</v>
      </c>
      <c r="V670" s="2" t="str">
        <f aca="false">IF(S670&lt;=5,"Late night (0-5)",IF(S670&lt;=11,"Morning (6-11)",IF(S670&lt;=17,"Afternoon (12-17)","Evening (18-23)")))</f>
        <v>Morning (6-11)</v>
      </c>
    </row>
    <row r="671" customFormat="false" ht="15" hidden="false" customHeight="false" outlineLevel="0" collapsed="false">
      <c r="A671" s="2" t="s">
        <v>1298</v>
      </c>
      <c r="B671" s="2" t="s">
        <v>310</v>
      </c>
      <c r="C671" s="2" t="s">
        <v>91</v>
      </c>
      <c r="D671" s="3" t="n">
        <v>45705</v>
      </c>
      <c r="E671" s="2" t="s">
        <v>1299</v>
      </c>
      <c r="F671" s="2" t="s">
        <v>38</v>
      </c>
      <c r="G671" s="2" t="n">
        <v>56571</v>
      </c>
      <c r="H671" s="2" t="n">
        <v>18</v>
      </c>
      <c r="I671" s="2" t="n">
        <v>111</v>
      </c>
      <c r="J671" s="2" t="n">
        <v>0</v>
      </c>
      <c r="K671" s="2" t="n">
        <v>56474</v>
      </c>
      <c r="L671" s="2" t="n">
        <v>31668</v>
      </c>
      <c r="M671" s="2" t="n">
        <v>1012</v>
      </c>
      <c r="N671" s="2" t="n">
        <v>64</v>
      </c>
      <c r="O671" s="2" t="n">
        <v>163</v>
      </c>
      <c r="P671" s="2" t="n">
        <v>67</v>
      </c>
      <c r="Q671" s="2" t="n">
        <v>294</v>
      </c>
      <c r="R671" s="2" t="n">
        <v>42</v>
      </c>
      <c r="S671" s="2" t="n">
        <v>20</v>
      </c>
      <c r="T671" s="2" t="s">
        <v>33</v>
      </c>
      <c r="U671" s="4" t="n">
        <f aca="false">(M671+N671+O671+P671)/L671</f>
        <v>0.0412403688265757</v>
      </c>
      <c r="V671" s="2" t="str">
        <f aca="false">IF(S671&lt;=5,"Late night (0-5)",IF(S671&lt;=11,"Morning (6-11)",IF(S671&lt;=17,"Afternoon (12-17)","Evening (18-23)")))</f>
        <v>Evening (18-23)</v>
      </c>
    </row>
    <row r="672" customFormat="false" ht="15" hidden="false" customHeight="false" outlineLevel="0" collapsed="false">
      <c r="A672" s="2" t="s">
        <v>1300</v>
      </c>
      <c r="B672" s="2" t="s">
        <v>409</v>
      </c>
      <c r="C672" s="2" t="s">
        <v>48</v>
      </c>
      <c r="D672" s="3" t="n">
        <v>45856</v>
      </c>
      <c r="E672" s="2" t="s">
        <v>496</v>
      </c>
      <c r="F672" s="2" t="s">
        <v>32</v>
      </c>
      <c r="G672" s="2" t="n">
        <v>31525</v>
      </c>
      <c r="H672" s="2" t="n">
        <v>9</v>
      </c>
      <c r="I672" s="2" t="n">
        <v>211</v>
      </c>
      <c r="J672" s="2" t="n">
        <v>1</v>
      </c>
      <c r="K672" s="2" t="n">
        <v>40784</v>
      </c>
      <c r="L672" s="2" t="n">
        <v>26570</v>
      </c>
      <c r="M672" s="2" t="n">
        <v>1778</v>
      </c>
      <c r="N672" s="2" t="n">
        <v>75</v>
      </c>
      <c r="O672" s="2" t="n">
        <v>494</v>
      </c>
      <c r="P672" s="2" t="n">
        <v>334</v>
      </c>
      <c r="Q672" s="2" t="n">
        <v>723</v>
      </c>
      <c r="R672" s="2" t="n">
        <v>110</v>
      </c>
      <c r="S672" s="2" t="n">
        <v>18</v>
      </c>
      <c r="T672" s="2" t="s">
        <v>96</v>
      </c>
      <c r="U672" s="4" t="n">
        <f aca="false">(M672+N672+O672+P672)/L672</f>
        <v>0.10090327436959</v>
      </c>
      <c r="V672" s="2" t="str">
        <f aca="false">IF(S672&lt;=5,"Late night (0-5)",IF(S672&lt;=11,"Morning (6-11)",IF(S672&lt;=17,"Afternoon (12-17)","Evening (18-23)")))</f>
        <v>Evening (18-23)</v>
      </c>
    </row>
    <row r="673" customFormat="false" ht="15" hidden="false" customHeight="false" outlineLevel="0" collapsed="false">
      <c r="A673" s="2" t="s">
        <v>1301</v>
      </c>
      <c r="B673" s="2" t="s">
        <v>111</v>
      </c>
      <c r="C673" s="2" t="s">
        <v>48</v>
      </c>
      <c r="D673" s="3" t="n">
        <v>45852</v>
      </c>
      <c r="E673" s="2" t="s">
        <v>1302</v>
      </c>
      <c r="F673" s="2" t="s">
        <v>38</v>
      </c>
      <c r="G673" s="2" t="n">
        <v>16824</v>
      </c>
      <c r="H673" s="2" t="n">
        <v>0</v>
      </c>
      <c r="I673" s="2" t="n">
        <v>182</v>
      </c>
      <c r="J673" s="2" t="n">
        <v>0</v>
      </c>
      <c r="K673" s="2" t="n">
        <v>13044</v>
      </c>
      <c r="L673" s="2" t="n">
        <v>7957</v>
      </c>
      <c r="M673" s="2" t="n">
        <v>507</v>
      </c>
      <c r="N673" s="2" t="n">
        <v>27</v>
      </c>
      <c r="O673" s="2" t="n">
        <v>89</v>
      </c>
      <c r="P673" s="2" t="n">
        <v>79</v>
      </c>
      <c r="Q673" s="2" t="n">
        <v>217</v>
      </c>
      <c r="R673" s="2" t="n">
        <v>31</v>
      </c>
      <c r="S673" s="2" t="n">
        <v>10</v>
      </c>
      <c r="T673" s="2" t="s">
        <v>33</v>
      </c>
      <c r="U673" s="4" t="n">
        <f aca="false">(M673+N673+O673+P673)/L673</f>
        <v>0.0882242051024255</v>
      </c>
      <c r="V673" s="2" t="str">
        <f aca="false">IF(S673&lt;=5,"Late night (0-5)",IF(S673&lt;=11,"Morning (6-11)",IF(S673&lt;=17,"Afternoon (12-17)","Evening (18-23)")))</f>
        <v>Morning (6-11)</v>
      </c>
    </row>
    <row r="674" customFormat="false" ht="15" hidden="false" customHeight="false" outlineLevel="0" collapsed="false">
      <c r="A674" s="2" t="s">
        <v>1303</v>
      </c>
      <c r="B674" s="2" t="s">
        <v>74</v>
      </c>
      <c r="C674" s="2" t="s">
        <v>30</v>
      </c>
      <c r="D674" s="3" t="n">
        <v>45912</v>
      </c>
      <c r="E674" s="2" t="s">
        <v>1304</v>
      </c>
      <c r="F674" s="2" t="s">
        <v>38</v>
      </c>
      <c r="G674" s="2" t="n">
        <v>20432</v>
      </c>
      <c r="H674" s="2" t="n">
        <v>19</v>
      </c>
      <c r="I674" s="2" t="n">
        <v>176</v>
      </c>
      <c r="J674" s="2" t="n">
        <v>0</v>
      </c>
      <c r="K674" s="2" t="n">
        <v>26524</v>
      </c>
      <c r="L674" s="2" t="n">
        <v>21940</v>
      </c>
      <c r="M674" s="2" t="n">
        <v>967</v>
      </c>
      <c r="N674" s="2" t="n">
        <v>35</v>
      </c>
      <c r="O674" s="2" t="n">
        <v>66</v>
      </c>
      <c r="P674" s="2" t="n">
        <v>212</v>
      </c>
      <c r="Q674" s="2" t="n">
        <v>515</v>
      </c>
      <c r="R674" s="2" t="n">
        <v>84</v>
      </c>
      <c r="S674" s="2" t="n">
        <v>5</v>
      </c>
      <c r="T674" s="2" t="s">
        <v>96</v>
      </c>
      <c r="U674" s="4" t="n">
        <f aca="false">(M674+N674+O674+P674)/L674</f>
        <v>0.0583409298085688</v>
      </c>
      <c r="V674" s="2" t="str">
        <f aca="false">IF(S674&lt;=5,"Late night (0-5)",IF(S674&lt;=11,"Morning (6-11)",IF(S674&lt;=17,"Afternoon (12-17)","Evening (18-23)")))</f>
        <v>Late night (0-5)</v>
      </c>
    </row>
    <row r="675" customFormat="false" ht="15" hidden="false" customHeight="false" outlineLevel="0" collapsed="false">
      <c r="A675" s="2" t="s">
        <v>1305</v>
      </c>
      <c r="B675" s="2" t="s">
        <v>90</v>
      </c>
      <c r="C675" s="2" t="s">
        <v>91</v>
      </c>
      <c r="D675" s="3" t="n">
        <v>45988</v>
      </c>
      <c r="E675" s="2" t="s">
        <v>1306</v>
      </c>
      <c r="F675" s="2" t="s">
        <v>32</v>
      </c>
      <c r="G675" s="2" t="n">
        <v>54788</v>
      </c>
      <c r="H675" s="2" t="n">
        <v>14</v>
      </c>
      <c r="I675" s="2" t="n">
        <v>192</v>
      </c>
      <c r="J675" s="2" t="n">
        <v>1</v>
      </c>
      <c r="K675" s="2" t="n">
        <v>64835</v>
      </c>
      <c r="L675" s="2" t="n">
        <v>41574</v>
      </c>
      <c r="M675" s="2" t="n">
        <v>2847</v>
      </c>
      <c r="N675" s="2" t="n">
        <v>164</v>
      </c>
      <c r="O675" s="2" t="n">
        <v>243</v>
      </c>
      <c r="P675" s="2" t="n">
        <v>621</v>
      </c>
      <c r="Q675" s="2" t="n">
        <v>489</v>
      </c>
      <c r="R675" s="2" t="n">
        <v>57</v>
      </c>
      <c r="S675" s="2" t="n">
        <v>12</v>
      </c>
      <c r="T675" s="2" t="s">
        <v>79</v>
      </c>
      <c r="U675" s="4" t="n">
        <f aca="false">(M675+N675+O675+P675)/L675</f>
        <v>0.0932072930196758</v>
      </c>
      <c r="V675" s="2" t="str">
        <f aca="false">IF(S675&lt;=5,"Late night (0-5)",IF(S675&lt;=11,"Morning (6-11)",IF(S675&lt;=17,"Afternoon (12-17)","Evening (18-23)")))</f>
        <v>Afternoon (12-17)</v>
      </c>
    </row>
    <row r="676" customFormat="false" ht="15" hidden="false" customHeight="false" outlineLevel="0" collapsed="false">
      <c r="A676" s="2" t="s">
        <v>1307</v>
      </c>
      <c r="B676" s="2" t="s">
        <v>35</v>
      </c>
      <c r="C676" s="2" t="s">
        <v>36</v>
      </c>
      <c r="D676" s="3" t="n">
        <v>45993</v>
      </c>
      <c r="E676" s="2" t="s">
        <v>434</v>
      </c>
      <c r="F676" s="2" t="s">
        <v>32</v>
      </c>
      <c r="G676" s="2" t="n">
        <v>33933</v>
      </c>
      <c r="H676" s="2" t="n">
        <v>20</v>
      </c>
      <c r="I676" s="2" t="n">
        <v>178</v>
      </c>
      <c r="J676" s="2" t="n">
        <v>0</v>
      </c>
      <c r="K676" s="2" t="n">
        <v>83381</v>
      </c>
      <c r="L676" s="2" t="n">
        <v>73364</v>
      </c>
      <c r="M676" s="2" t="n">
        <v>3130</v>
      </c>
      <c r="N676" s="2" t="n">
        <v>79</v>
      </c>
      <c r="O676" s="2" t="n">
        <v>901</v>
      </c>
      <c r="P676" s="2" t="n">
        <v>691</v>
      </c>
      <c r="Q676" s="2" t="n">
        <v>1151</v>
      </c>
      <c r="R676" s="2" t="n">
        <v>115</v>
      </c>
      <c r="S676" s="2" t="n">
        <v>20</v>
      </c>
      <c r="T676" s="2" t="s">
        <v>51</v>
      </c>
      <c r="U676" s="4" t="n">
        <f aca="false">(M676+N676+O676+P676)/L676</f>
        <v>0.0654408156589063</v>
      </c>
      <c r="V676" s="2" t="str">
        <f aca="false">IF(S676&lt;=5,"Late night (0-5)",IF(S676&lt;=11,"Morning (6-11)",IF(S676&lt;=17,"Afternoon (12-17)","Evening (18-23)")))</f>
        <v>Evening (18-23)</v>
      </c>
    </row>
    <row r="677" customFormat="false" ht="15" hidden="false" customHeight="false" outlineLevel="0" collapsed="false">
      <c r="A677" s="2" t="s">
        <v>1308</v>
      </c>
      <c r="B677" s="2" t="s">
        <v>188</v>
      </c>
      <c r="C677" s="2" t="s">
        <v>30</v>
      </c>
      <c r="D677" s="3" t="n">
        <v>45821</v>
      </c>
      <c r="E677" s="2" t="s">
        <v>1309</v>
      </c>
      <c r="F677" s="2" t="s">
        <v>32</v>
      </c>
      <c r="G677" s="2" t="n">
        <v>38900</v>
      </c>
      <c r="H677" s="2" t="n">
        <v>3</v>
      </c>
      <c r="I677" s="2" t="n">
        <v>66</v>
      </c>
      <c r="J677" s="2" t="n">
        <v>0</v>
      </c>
      <c r="K677" s="2" t="n">
        <v>99049</v>
      </c>
      <c r="L677" s="2" t="n">
        <v>57816</v>
      </c>
      <c r="M677" s="2" t="n">
        <v>5933</v>
      </c>
      <c r="N677" s="2" t="n">
        <v>192</v>
      </c>
      <c r="O677" s="2" t="n">
        <v>563</v>
      </c>
      <c r="P677" s="2" t="n">
        <v>1113</v>
      </c>
      <c r="Q677" s="2" t="n">
        <v>1727</v>
      </c>
      <c r="R677" s="2" t="n">
        <v>297</v>
      </c>
      <c r="S677" s="2" t="n">
        <v>14</v>
      </c>
      <c r="T677" s="2" t="s">
        <v>96</v>
      </c>
      <c r="U677" s="4" t="n">
        <f aca="false">(M677+N677+O677+P677)/L677</f>
        <v>0.13492804759928</v>
      </c>
      <c r="V677" s="2" t="str">
        <f aca="false">IF(S677&lt;=5,"Late night (0-5)",IF(S677&lt;=11,"Morning (6-11)",IF(S677&lt;=17,"Afternoon (12-17)","Evening (18-23)")))</f>
        <v>Afternoon (12-17)</v>
      </c>
    </row>
    <row r="678" customFormat="false" ht="15" hidden="false" customHeight="false" outlineLevel="0" collapsed="false">
      <c r="A678" s="2" t="s">
        <v>1310</v>
      </c>
      <c r="B678" s="2" t="s">
        <v>83</v>
      </c>
      <c r="C678" s="2" t="s">
        <v>84</v>
      </c>
      <c r="D678" s="3" t="n">
        <v>45873</v>
      </c>
      <c r="E678" s="2" t="s">
        <v>1311</v>
      </c>
      <c r="F678" s="2" t="s">
        <v>38</v>
      </c>
      <c r="G678" s="2" t="n">
        <v>17918</v>
      </c>
      <c r="H678" s="2" t="n">
        <v>11</v>
      </c>
      <c r="I678" s="2" t="n">
        <v>169</v>
      </c>
      <c r="J678" s="2" t="n">
        <v>1</v>
      </c>
      <c r="K678" s="2" t="n">
        <v>10840</v>
      </c>
      <c r="L678" s="2" t="n">
        <v>9211</v>
      </c>
      <c r="M678" s="2" t="n">
        <v>728</v>
      </c>
      <c r="N678" s="2" t="n">
        <v>38</v>
      </c>
      <c r="O678" s="2" t="n">
        <v>47</v>
      </c>
      <c r="P678" s="2" t="n">
        <v>176</v>
      </c>
      <c r="Q678" s="2" t="n">
        <v>54</v>
      </c>
      <c r="R678" s="2" t="n">
        <v>10</v>
      </c>
      <c r="S678" s="2" t="n">
        <v>4</v>
      </c>
      <c r="T678" s="2" t="s">
        <v>33</v>
      </c>
      <c r="U678" s="4" t="n">
        <f aca="false">(M678+N678+O678+P678)/L678</f>
        <v>0.107371620888069</v>
      </c>
      <c r="V678" s="2" t="str">
        <f aca="false">IF(S678&lt;=5,"Late night (0-5)",IF(S678&lt;=11,"Morning (6-11)",IF(S678&lt;=17,"Afternoon (12-17)","Evening (18-23)")))</f>
        <v>Late night (0-5)</v>
      </c>
    </row>
    <row r="679" customFormat="false" ht="15" hidden="false" customHeight="false" outlineLevel="0" collapsed="false">
      <c r="A679" s="2" t="s">
        <v>1312</v>
      </c>
      <c r="B679" s="2" t="s">
        <v>68</v>
      </c>
      <c r="C679" s="2" t="s">
        <v>54</v>
      </c>
      <c r="D679" s="3" t="n">
        <v>45917</v>
      </c>
      <c r="E679" s="2" t="s">
        <v>1313</v>
      </c>
      <c r="F679" s="2" t="s">
        <v>38</v>
      </c>
      <c r="G679" s="2" t="n">
        <v>35922</v>
      </c>
      <c r="H679" s="2" t="n">
        <v>4</v>
      </c>
      <c r="I679" s="2" t="n">
        <v>48</v>
      </c>
      <c r="J679" s="2" t="n">
        <v>0</v>
      </c>
      <c r="K679" s="2" t="n">
        <v>15819</v>
      </c>
      <c r="L679" s="2" t="n">
        <v>13011</v>
      </c>
      <c r="M679" s="2" t="n">
        <v>794</v>
      </c>
      <c r="N679" s="2" t="n">
        <v>61</v>
      </c>
      <c r="O679" s="2" t="n">
        <v>81</v>
      </c>
      <c r="P679" s="2" t="n">
        <v>124</v>
      </c>
      <c r="Q679" s="2" t="n">
        <v>215</v>
      </c>
      <c r="R679" s="2" t="n">
        <v>25</v>
      </c>
      <c r="S679" s="2" t="n">
        <v>0</v>
      </c>
      <c r="T679" s="2" t="s">
        <v>66</v>
      </c>
      <c r="U679" s="4" t="n">
        <f aca="false">(M679+N679+O679+P679)/L679</f>
        <v>0.0814695257858735</v>
      </c>
      <c r="V679" s="2" t="str">
        <f aca="false">IF(S679&lt;=5,"Late night (0-5)",IF(S679&lt;=11,"Morning (6-11)",IF(S679&lt;=17,"Afternoon (12-17)","Evening (18-23)")))</f>
        <v>Late night (0-5)</v>
      </c>
    </row>
    <row r="680" customFormat="false" ht="15" hidden="false" customHeight="false" outlineLevel="0" collapsed="false">
      <c r="A680" s="2" t="s">
        <v>1314</v>
      </c>
      <c r="B680" s="2" t="s">
        <v>94</v>
      </c>
      <c r="C680" s="2" t="s">
        <v>30</v>
      </c>
      <c r="D680" s="3" t="n">
        <v>45676</v>
      </c>
      <c r="E680" s="2" t="s">
        <v>1101</v>
      </c>
      <c r="F680" s="2" t="s">
        <v>26</v>
      </c>
      <c r="G680" s="2" t="n">
        <v>58559</v>
      </c>
      <c r="H680" s="2" t="n">
        <v>20</v>
      </c>
      <c r="I680" s="2" t="n">
        <v>95</v>
      </c>
      <c r="J680" s="2" t="n">
        <v>1</v>
      </c>
      <c r="K680" s="2" t="n">
        <v>45937</v>
      </c>
      <c r="L680" s="2" t="n">
        <v>31508</v>
      </c>
      <c r="M680" s="2" t="n">
        <v>1732</v>
      </c>
      <c r="N680" s="2" t="n">
        <v>126</v>
      </c>
      <c r="O680" s="2" t="n">
        <v>55</v>
      </c>
      <c r="P680" s="2" t="n">
        <v>169</v>
      </c>
      <c r="Q680" s="2" t="n">
        <v>413</v>
      </c>
      <c r="R680" s="2" t="n">
        <v>37</v>
      </c>
      <c r="S680" s="2" t="n">
        <v>6</v>
      </c>
      <c r="T680" s="2" t="s">
        <v>27</v>
      </c>
      <c r="U680" s="4" t="n">
        <f aca="false">(M680+N680+O680+P680)/L680</f>
        <v>0.0660784562650755</v>
      </c>
      <c r="V680" s="2" t="str">
        <f aca="false">IF(S680&lt;=5,"Late night (0-5)",IF(S680&lt;=11,"Morning (6-11)",IF(S680&lt;=17,"Afternoon (12-17)","Evening (18-23)")))</f>
        <v>Morning (6-11)</v>
      </c>
    </row>
    <row r="681" customFormat="false" ht="15" hidden="false" customHeight="false" outlineLevel="0" collapsed="false">
      <c r="A681" s="2" t="s">
        <v>1315</v>
      </c>
      <c r="B681" s="2" t="s">
        <v>181</v>
      </c>
      <c r="C681" s="2" t="s">
        <v>91</v>
      </c>
      <c r="D681" s="3" t="n">
        <v>46017</v>
      </c>
      <c r="E681" s="2" t="s">
        <v>1316</v>
      </c>
      <c r="F681" s="2" t="s">
        <v>38</v>
      </c>
      <c r="G681" s="2" t="n">
        <v>31658</v>
      </c>
      <c r="H681" s="2" t="n">
        <v>1</v>
      </c>
      <c r="I681" s="2" t="n">
        <v>297</v>
      </c>
      <c r="J681" s="2" t="n">
        <v>0</v>
      </c>
      <c r="K681" s="2" t="n">
        <v>7357</v>
      </c>
      <c r="L681" s="2" t="n">
        <v>4566</v>
      </c>
      <c r="M681" s="2" t="n">
        <v>354</v>
      </c>
      <c r="N681" s="2" t="n">
        <v>26</v>
      </c>
      <c r="O681" s="2" t="n">
        <v>15</v>
      </c>
      <c r="P681" s="2" t="n">
        <v>68</v>
      </c>
      <c r="Q681" s="2" t="n">
        <v>108</v>
      </c>
      <c r="R681" s="2" t="n">
        <v>11</v>
      </c>
      <c r="S681" s="2" t="n">
        <v>17</v>
      </c>
      <c r="T681" s="2" t="s">
        <v>96</v>
      </c>
      <c r="U681" s="4" t="n">
        <f aca="false">(M681+N681+O681+P681)/L681</f>
        <v>0.101401664476566</v>
      </c>
      <c r="V681" s="2" t="str">
        <f aca="false">IF(S681&lt;=5,"Late night (0-5)",IF(S681&lt;=11,"Morning (6-11)",IF(S681&lt;=17,"Afternoon (12-17)","Evening (18-23)")))</f>
        <v>Afternoon (12-17)</v>
      </c>
    </row>
    <row r="682" customFormat="false" ht="15" hidden="false" customHeight="false" outlineLevel="0" collapsed="false">
      <c r="A682" s="2" t="s">
        <v>1317</v>
      </c>
      <c r="B682" s="2" t="s">
        <v>132</v>
      </c>
      <c r="C682" s="2" t="s">
        <v>36</v>
      </c>
      <c r="D682" s="3" t="n">
        <v>45766</v>
      </c>
      <c r="E682" s="2" t="s">
        <v>1318</v>
      </c>
      <c r="F682" s="2" t="s">
        <v>32</v>
      </c>
      <c r="G682" s="2" t="n">
        <v>83053</v>
      </c>
      <c r="H682" s="2" t="n">
        <v>7</v>
      </c>
      <c r="I682" s="2" t="n">
        <v>208</v>
      </c>
      <c r="J682" s="2" t="n">
        <v>0</v>
      </c>
      <c r="K682" s="2" t="n">
        <v>62488</v>
      </c>
      <c r="L682" s="2" t="n">
        <v>49306</v>
      </c>
      <c r="M682" s="2" t="n">
        <v>3622</v>
      </c>
      <c r="N682" s="2" t="n">
        <v>119</v>
      </c>
      <c r="O682" s="2" t="n">
        <v>684</v>
      </c>
      <c r="P682" s="2" t="n">
        <v>315</v>
      </c>
      <c r="Q682" s="2" t="n">
        <v>746</v>
      </c>
      <c r="R682" s="2" t="n">
        <v>132</v>
      </c>
      <c r="S682" s="2" t="n">
        <v>4</v>
      </c>
      <c r="T682" s="2" t="s">
        <v>62</v>
      </c>
      <c r="U682" s="4" t="n">
        <f aca="false">(M682+N682+O682+P682)/L682</f>
        <v>0.0961343447044984</v>
      </c>
      <c r="V682" s="2" t="str">
        <f aca="false">IF(S682&lt;=5,"Late night (0-5)",IF(S682&lt;=11,"Morning (6-11)",IF(S682&lt;=17,"Afternoon (12-17)","Evening (18-23)")))</f>
        <v>Late night (0-5)</v>
      </c>
    </row>
    <row r="683" customFormat="false" ht="15" hidden="false" customHeight="false" outlineLevel="0" collapsed="false">
      <c r="A683" s="2" t="s">
        <v>1319</v>
      </c>
      <c r="B683" s="2" t="s">
        <v>452</v>
      </c>
      <c r="C683" s="2" t="s">
        <v>91</v>
      </c>
      <c r="D683" s="3" t="n">
        <v>45838</v>
      </c>
      <c r="E683" s="2" t="s">
        <v>436</v>
      </c>
      <c r="F683" s="2" t="s">
        <v>32</v>
      </c>
      <c r="G683" s="2" t="n">
        <v>14201</v>
      </c>
      <c r="H683" s="2" t="n">
        <v>21</v>
      </c>
      <c r="I683" s="2" t="n">
        <v>83</v>
      </c>
      <c r="J683" s="2" t="n">
        <v>0</v>
      </c>
      <c r="K683" s="2" t="n">
        <v>41175</v>
      </c>
      <c r="L683" s="2" t="n">
        <v>35492</v>
      </c>
      <c r="M683" s="2" t="n">
        <v>2213</v>
      </c>
      <c r="N683" s="2" t="n">
        <v>109</v>
      </c>
      <c r="O683" s="2" t="n">
        <v>141</v>
      </c>
      <c r="P683" s="2" t="n">
        <v>588</v>
      </c>
      <c r="Q683" s="2" t="n">
        <v>655</v>
      </c>
      <c r="R683" s="2" t="n">
        <v>100</v>
      </c>
      <c r="S683" s="2" t="n">
        <v>20</v>
      </c>
      <c r="T683" s="2" t="s">
        <v>33</v>
      </c>
      <c r="U683" s="4" t="n">
        <f aca="false">(M683+N683+O683+P683)/L683</f>
        <v>0.0859630339231376</v>
      </c>
      <c r="V683" s="2" t="str">
        <f aca="false">IF(S683&lt;=5,"Late night (0-5)",IF(S683&lt;=11,"Morning (6-11)",IF(S683&lt;=17,"Afternoon (12-17)","Evening (18-23)")))</f>
        <v>Evening (18-23)</v>
      </c>
    </row>
    <row r="684" customFormat="false" ht="15" hidden="false" customHeight="false" outlineLevel="0" collapsed="false">
      <c r="A684" s="2" t="s">
        <v>1320</v>
      </c>
      <c r="B684" s="2" t="s">
        <v>374</v>
      </c>
      <c r="C684" s="2" t="s">
        <v>24</v>
      </c>
      <c r="D684" s="3" t="n">
        <v>45885</v>
      </c>
      <c r="E684" s="2" t="s">
        <v>1321</v>
      </c>
      <c r="F684" s="2" t="s">
        <v>38</v>
      </c>
      <c r="G684" s="2" t="n">
        <v>9509</v>
      </c>
      <c r="H684" s="2" t="n">
        <v>21</v>
      </c>
      <c r="I684" s="2" t="n">
        <v>280</v>
      </c>
      <c r="J684" s="2" t="n">
        <v>0</v>
      </c>
      <c r="K684" s="2" t="n">
        <v>8424</v>
      </c>
      <c r="L684" s="2" t="n">
        <v>6211</v>
      </c>
      <c r="M684" s="2" t="n">
        <v>305</v>
      </c>
      <c r="N684" s="2" t="n">
        <v>10</v>
      </c>
      <c r="O684" s="2" t="n">
        <v>38</v>
      </c>
      <c r="P684" s="2" t="n">
        <v>38</v>
      </c>
      <c r="Q684" s="2" t="n">
        <v>49</v>
      </c>
      <c r="R684" s="2" t="n">
        <v>12</v>
      </c>
      <c r="S684" s="2" t="n">
        <v>6</v>
      </c>
      <c r="T684" s="2" t="s">
        <v>62</v>
      </c>
      <c r="U684" s="4" t="n">
        <f aca="false">(M684+N684+O684+P684)/L684</f>
        <v>0.0629528256319433</v>
      </c>
      <c r="V684" s="2" t="str">
        <f aca="false">IF(S684&lt;=5,"Late night (0-5)",IF(S684&lt;=11,"Morning (6-11)",IF(S684&lt;=17,"Afternoon (12-17)","Evening (18-23)")))</f>
        <v>Morning (6-11)</v>
      </c>
    </row>
    <row r="685" customFormat="false" ht="15" hidden="false" customHeight="false" outlineLevel="0" collapsed="false">
      <c r="A685" s="2" t="s">
        <v>1322</v>
      </c>
      <c r="B685" s="2" t="s">
        <v>240</v>
      </c>
      <c r="C685" s="2" t="s">
        <v>41</v>
      </c>
      <c r="D685" s="3" t="n">
        <v>45701</v>
      </c>
      <c r="E685" s="2" t="s">
        <v>1323</v>
      </c>
      <c r="F685" s="2" t="s">
        <v>38</v>
      </c>
      <c r="G685" s="2" t="n">
        <v>83197</v>
      </c>
      <c r="H685" s="2" t="n">
        <v>10</v>
      </c>
      <c r="I685" s="2" t="n">
        <v>38</v>
      </c>
      <c r="J685" s="2" t="n">
        <v>1</v>
      </c>
      <c r="K685" s="2" t="n">
        <v>56812</v>
      </c>
      <c r="L685" s="2" t="n">
        <v>32198</v>
      </c>
      <c r="M685" s="2" t="n">
        <v>2243</v>
      </c>
      <c r="N685" s="2" t="n">
        <v>151</v>
      </c>
      <c r="O685" s="2" t="n">
        <v>436</v>
      </c>
      <c r="P685" s="2" t="n">
        <v>241</v>
      </c>
      <c r="Q685" s="2" t="n">
        <v>419</v>
      </c>
      <c r="R685" s="2" t="n">
        <v>88</v>
      </c>
      <c r="S685" s="2" t="n">
        <v>21</v>
      </c>
      <c r="T685" s="2" t="s">
        <v>79</v>
      </c>
      <c r="U685" s="4" t="n">
        <f aca="false">(M685+N685+O685+P685)/L685</f>
        <v>0.0953785949437853</v>
      </c>
      <c r="V685" s="2" t="str">
        <f aca="false">IF(S685&lt;=5,"Late night (0-5)",IF(S685&lt;=11,"Morning (6-11)",IF(S685&lt;=17,"Afternoon (12-17)","Evening (18-23)")))</f>
        <v>Evening (18-23)</v>
      </c>
    </row>
    <row r="686" customFormat="false" ht="15" hidden="false" customHeight="false" outlineLevel="0" collapsed="false">
      <c r="A686" s="2" t="s">
        <v>1324</v>
      </c>
      <c r="B686" s="2" t="s">
        <v>240</v>
      </c>
      <c r="C686" s="2" t="s">
        <v>41</v>
      </c>
      <c r="D686" s="3" t="n">
        <v>45804</v>
      </c>
      <c r="E686" s="2" t="s">
        <v>1001</v>
      </c>
      <c r="F686" s="2" t="s">
        <v>50</v>
      </c>
      <c r="G686" s="2" t="n">
        <v>83197</v>
      </c>
      <c r="H686" s="2" t="n">
        <v>12</v>
      </c>
      <c r="I686" s="2" t="n">
        <v>320</v>
      </c>
      <c r="J686" s="2" t="n">
        <v>0</v>
      </c>
      <c r="K686" s="2" t="n">
        <v>93570</v>
      </c>
      <c r="L686" s="2" t="n">
        <v>67123</v>
      </c>
      <c r="M686" s="2" t="n">
        <v>3972</v>
      </c>
      <c r="N686" s="2" t="n">
        <v>160</v>
      </c>
      <c r="O686" s="2" t="n">
        <v>336</v>
      </c>
      <c r="P686" s="2" t="n">
        <v>225</v>
      </c>
      <c r="Q686" s="2" t="n">
        <v>1462</v>
      </c>
      <c r="R686" s="2" t="n">
        <v>298</v>
      </c>
      <c r="S686" s="2" t="n">
        <v>22</v>
      </c>
      <c r="T686" s="2" t="s">
        <v>51</v>
      </c>
      <c r="U686" s="4" t="n">
        <f aca="false">(M686+N686+O686+P686)/L686</f>
        <v>0.0699164220907886</v>
      </c>
      <c r="V686" s="2" t="str">
        <f aca="false">IF(S686&lt;=5,"Late night (0-5)",IF(S686&lt;=11,"Morning (6-11)",IF(S686&lt;=17,"Afternoon (12-17)","Evening (18-23)")))</f>
        <v>Evening (18-23)</v>
      </c>
    </row>
    <row r="687" customFormat="false" ht="15" hidden="false" customHeight="false" outlineLevel="0" collapsed="false">
      <c r="A687" s="2" t="s">
        <v>1325</v>
      </c>
      <c r="B687" s="2" t="s">
        <v>126</v>
      </c>
      <c r="C687" s="2" t="s">
        <v>36</v>
      </c>
      <c r="D687" s="3" t="n">
        <v>45995</v>
      </c>
      <c r="E687" s="2" t="s">
        <v>1326</v>
      </c>
      <c r="F687" s="2" t="s">
        <v>32</v>
      </c>
      <c r="G687" s="2" t="n">
        <v>28784</v>
      </c>
      <c r="H687" s="2" t="n">
        <v>10</v>
      </c>
      <c r="I687" s="2" t="n">
        <v>210</v>
      </c>
      <c r="J687" s="2" t="n">
        <v>0</v>
      </c>
      <c r="K687" s="2" t="n">
        <v>56136</v>
      </c>
      <c r="L687" s="2" t="n">
        <v>48051</v>
      </c>
      <c r="M687" s="2" t="n">
        <v>2798</v>
      </c>
      <c r="N687" s="2" t="n">
        <v>164</v>
      </c>
      <c r="O687" s="2" t="n">
        <v>332</v>
      </c>
      <c r="P687" s="2" t="n">
        <v>239</v>
      </c>
      <c r="Q687" s="2" t="n">
        <v>894</v>
      </c>
      <c r="R687" s="2" t="n">
        <v>213</v>
      </c>
      <c r="S687" s="2" t="n">
        <v>8</v>
      </c>
      <c r="T687" s="2" t="s">
        <v>79</v>
      </c>
      <c r="U687" s="4" t="n">
        <f aca="false">(M687+N687+O687+P687)/L687</f>
        <v>0.0735260452435954</v>
      </c>
      <c r="V687" s="2" t="str">
        <f aca="false">IF(S687&lt;=5,"Late night (0-5)",IF(S687&lt;=11,"Morning (6-11)",IF(S687&lt;=17,"Afternoon (12-17)","Evening (18-23)")))</f>
        <v>Morning (6-11)</v>
      </c>
    </row>
    <row r="688" customFormat="false" ht="15" hidden="false" customHeight="false" outlineLevel="0" collapsed="false">
      <c r="A688" s="2" t="s">
        <v>1327</v>
      </c>
      <c r="B688" s="2" t="s">
        <v>77</v>
      </c>
      <c r="C688" s="2" t="s">
        <v>30</v>
      </c>
      <c r="D688" s="3" t="n">
        <v>45769</v>
      </c>
      <c r="E688" s="2" t="s">
        <v>1328</v>
      </c>
      <c r="F688" s="2" t="s">
        <v>32</v>
      </c>
      <c r="G688" s="2" t="n">
        <v>17548</v>
      </c>
      <c r="H688" s="2" t="n">
        <v>16</v>
      </c>
      <c r="I688" s="2" t="n">
        <v>37</v>
      </c>
      <c r="J688" s="2" t="n">
        <v>1</v>
      </c>
      <c r="K688" s="2" t="n">
        <v>28391</v>
      </c>
      <c r="L688" s="2" t="n">
        <v>17309</v>
      </c>
      <c r="M688" s="2" t="n">
        <v>1094</v>
      </c>
      <c r="N688" s="2" t="n">
        <v>76</v>
      </c>
      <c r="O688" s="2" t="n">
        <v>108</v>
      </c>
      <c r="P688" s="2" t="n">
        <v>55</v>
      </c>
      <c r="Q688" s="2" t="n">
        <v>333</v>
      </c>
      <c r="R688" s="2" t="n">
        <v>99</v>
      </c>
      <c r="S688" s="2" t="n">
        <v>16</v>
      </c>
      <c r="T688" s="2" t="s">
        <v>51</v>
      </c>
      <c r="U688" s="4" t="n">
        <f aca="false">(M688+N688+O688+P688)/L688</f>
        <v>0.0770119590964238</v>
      </c>
      <c r="V688" s="2" t="str">
        <f aca="false">IF(S688&lt;=5,"Late night (0-5)",IF(S688&lt;=11,"Morning (6-11)",IF(S688&lt;=17,"Afternoon (12-17)","Evening (18-23)")))</f>
        <v>Afternoon (12-17)</v>
      </c>
    </row>
    <row r="689" customFormat="false" ht="15" hidden="false" customHeight="false" outlineLevel="0" collapsed="false">
      <c r="A689" s="2" t="s">
        <v>1329</v>
      </c>
      <c r="B689" s="2" t="s">
        <v>264</v>
      </c>
      <c r="C689" s="2" t="s">
        <v>36</v>
      </c>
      <c r="D689" s="3" t="n">
        <v>46013</v>
      </c>
      <c r="E689" s="2" t="s">
        <v>477</v>
      </c>
      <c r="F689" s="2" t="s">
        <v>38</v>
      </c>
      <c r="G689" s="2" t="n">
        <v>22362</v>
      </c>
      <c r="H689" s="2" t="n">
        <v>12</v>
      </c>
      <c r="I689" s="2" t="n">
        <v>304</v>
      </c>
      <c r="J689" s="2" t="n">
        <v>0</v>
      </c>
      <c r="K689" s="2" t="n">
        <v>11293</v>
      </c>
      <c r="L689" s="2" t="n">
        <v>6653</v>
      </c>
      <c r="M689" s="2" t="n">
        <v>358</v>
      </c>
      <c r="N689" s="2" t="n">
        <v>24</v>
      </c>
      <c r="O689" s="2" t="n">
        <v>44</v>
      </c>
      <c r="P689" s="2" t="n">
        <v>73</v>
      </c>
      <c r="Q689" s="2" t="n">
        <v>43</v>
      </c>
      <c r="R689" s="2" t="n">
        <v>4</v>
      </c>
      <c r="S689" s="2" t="n">
        <v>4</v>
      </c>
      <c r="T689" s="2" t="s">
        <v>33</v>
      </c>
      <c r="U689" s="4" t="n">
        <f aca="false">(M689+N689+O689+P689)/L689</f>
        <v>0.0750037577032918</v>
      </c>
      <c r="V689" s="2" t="str">
        <f aca="false">IF(S689&lt;=5,"Late night (0-5)",IF(S689&lt;=11,"Morning (6-11)",IF(S689&lt;=17,"Afternoon (12-17)","Evening (18-23)")))</f>
        <v>Late night (0-5)</v>
      </c>
    </row>
    <row r="690" customFormat="false" ht="15" hidden="false" customHeight="false" outlineLevel="0" collapsed="false">
      <c r="A690" s="2" t="s">
        <v>1330</v>
      </c>
      <c r="B690" s="2" t="s">
        <v>35</v>
      </c>
      <c r="C690" s="2" t="s">
        <v>36</v>
      </c>
      <c r="D690" s="3" t="n">
        <v>45674</v>
      </c>
      <c r="E690" s="2" t="s">
        <v>1331</v>
      </c>
      <c r="F690" s="2" t="s">
        <v>32</v>
      </c>
      <c r="G690" s="2" t="n">
        <v>33933</v>
      </c>
      <c r="H690" s="2" t="n">
        <v>5</v>
      </c>
      <c r="I690" s="2" t="n">
        <v>234</v>
      </c>
      <c r="J690" s="2" t="n">
        <v>0</v>
      </c>
      <c r="K690" s="2" t="n">
        <v>44948</v>
      </c>
      <c r="L690" s="2" t="n">
        <v>33647</v>
      </c>
      <c r="M690" s="2" t="n">
        <v>2815</v>
      </c>
      <c r="N690" s="2" t="n">
        <v>162</v>
      </c>
      <c r="O690" s="2" t="n">
        <v>801</v>
      </c>
      <c r="P690" s="2" t="n">
        <v>817</v>
      </c>
      <c r="Q690" s="2" t="n">
        <v>740</v>
      </c>
      <c r="R690" s="2" t="n">
        <v>188</v>
      </c>
      <c r="S690" s="2" t="n">
        <v>8</v>
      </c>
      <c r="T690" s="2" t="s">
        <v>96</v>
      </c>
      <c r="U690" s="4" t="n">
        <f aca="false">(M690+N690+O690+P690)/L690</f>
        <v>0.136564924064553</v>
      </c>
      <c r="V690" s="2" t="str">
        <f aca="false">IF(S690&lt;=5,"Late night (0-5)",IF(S690&lt;=11,"Morning (6-11)",IF(S690&lt;=17,"Afternoon (12-17)","Evening (18-23)")))</f>
        <v>Morning (6-11)</v>
      </c>
    </row>
    <row r="691" customFormat="false" ht="15" hidden="false" customHeight="false" outlineLevel="0" collapsed="false">
      <c r="A691" s="2" t="s">
        <v>1332</v>
      </c>
      <c r="B691" s="2" t="s">
        <v>83</v>
      </c>
      <c r="C691" s="2" t="s">
        <v>84</v>
      </c>
      <c r="D691" s="3" t="n">
        <v>45846</v>
      </c>
      <c r="E691" s="2" t="s">
        <v>1333</v>
      </c>
      <c r="F691" s="2" t="s">
        <v>32</v>
      </c>
      <c r="G691" s="2" t="n">
        <v>17918</v>
      </c>
      <c r="H691" s="2" t="n">
        <v>14</v>
      </c>
      <c r="I691" s="2" t="n">
        <v>97</v>
      </c>
      <c r="J691" s="2" t="n">
        <v>0</v>
      </c>
      <c r="K691" s="2" t="n">
        <v>83566</v>
      </c>
      <c r="L691" s="2" t="n">
        <v>55179</v>
      </c>
      <c r="M691" s="2" t="n">
        <v>2703</v>
      </c>
      <c r="N691" s="2" t="n">
        <v>195</v>
      </c>
      <c r="O691" s="2" t="n">
        <v>155</v>
      </c>
      <c r="P691" s="2" t="n">
        <v>493</v>
      </c>
      <c r="Q691" s="2" t="n">
        <v>363</v>
      </c>
      <c r="R691" s="2" t="n">
        <v>81</v>
      </c>
      <c r="S691" s="2" t="n">
        <v>8</v>
      </c>
      <c r="T691" s="2" t="s">
        <v>51</v>
      </c>
      <c r="U691" s="4" t="n">
        <f aca="false">(M691+N691+O691+P691)/L691</f>
        <v>0.0642635785353124</v>
      </c>
      <c r="V691" s="2" t="str">
        <f aca="false">IF(S691&lt;=5,"Late night (0-5)",IF(S691&lt;=11,"Morning (6-11)",IF(S691&lt;=17,"Afternoon (12-17)","Evening (18-23)")))</f>
        <v>Morning (6-11)</v>
      </c>
    </row>
    <row r="692" customFormat="false" ht="15" hidden="false" customHeight="false" outlineLevel="0" collapsed="false">
      <c r="A692" s="2" t="s">
        <v>1334</v>
      </c>
      <c r="B692" s="2" t="s">
        <v>459</v>
      </c>
      <c r="C692" s="2" t="s">
        <v>84</v>
      </c>
      <c r="D692" s="3" t="n">
        <v>45822</v>
      </c>
      <c r="E692" s="2" t="s">
        <v>1335</v>
      </c>
      <c r="F692" s="2" t="s">
        <v>32</v>
      </c>
      <c r="G692" s="2" t="n">
        <v>19744</v>
      </c>
      <c r="H692" s="2" t="n">
        <v>11</v>
      </c>
      <c r="I692" s="2" t="n">
        <v>112</v>
      </c>
      <c r="J692" s="2" t="n">
        <v>0</v>
      </c>
      <c r="K692" s="2" t="n">
        <v>16056</v>
      </c>
      <c r="L692" s="2" t="n">
        <v>9878</v>
      </c>
      <c r="M692" s="2" t="n">
        <v>418</v>
      </c>
      <c r="N692" s="2" t="n">
        <v>23</v>
      </c>
      <c r="O692" s="2" t="n">
        <v>64</v>
      </c>
      <c r="P692" s="2" t="n">
        <v>34</v>
      </c>
      <c r="Q692" s="2" t="n">
        <v>206</v>
      </c>
      <c r="R692" s="2" t="n">
        <v>44</v>
      </c>
      <c r="S692" s="2" t="n">
        <v>4</v>
      </c>
      <c r="T692" s="2" t="s">
        <v>62</v>
      </c>
      <c r="U692" s="4" t="n">
        <f aca="false">(M692+N692+O692+P692)/L692</f>
        <v>0.0545657015590201</v>
      </c>
      <c r="V692" s="2" t="str">
        <f aca="false">IF(S692&lt;=5,"Late night (0-5)",IF(S692&lt;=11,"Morning (6-11)",IF(S692&lt;=17,"Afternoon (12-17)","Evening (18-23)")))</f>
        <v>Late night (0-5)</v>
      </c>
    </row>
    <row r="693" customFormat="false" ht="15" hidden="false" customHeight="false" outlineLevel="0" collapsed="false">
      <c r="A693" s="2" t="s">
        <v>1336</v>
      </c>
      <c r="B693" s="2" t="s">
        <v>35</v>
      </c>
      <c r="C693" s="2" t="s">
        <v>36</v>
      </c>
      <c r="D693" s="3" t="n">
        <v>45679</v>
      </c>
      <c r="E693" s="2" t="s">
        <v>1337</v>
      </c>
      <c r="F693" s="2" t="s">
        <v>32</v>
      </c>
      <c r="G693" s="2" t="n">
        <v>33933</v>
      </c>
      <c r="H693" s="2" t="n">
        <v>20</v>
      </c>
      <c r="I693" s="2" t="n">
        <v>111</v>
      </c>
      <c r="J693" s="2" t="n">
        <v>1</v>
      </c>
      <c r="K693" s="2" t="n">
        <v>67514</v>
      </c>
      <c r="L693" s="2" t="n">
        <v>53554</v>
      </c>
      <c r="M693" s="2" t="n">
        <v>5169</v>
      </c>
      <c r="N693" s="2" t="n">
        <v>211</v>
      </c>
      <c r="O693" s="2" t="n">
        <v>1021</v>
      </c>
      <c r="P693" s="2" t="n">
        <v>961</v>
      </c>
      <c r="Q693" s="2" t="n">
        <v>664</v>
      </c>
      <c r="R693" s="2" t="n">
        <v>106</v>
      </c>
      <c r="S693" s="2" t="n">
        <v>23</v>
      </c>
      <c r="T693" s="2" t="s">
        <v>66</v>
      </c>
      <c r="U693" s="4" t="n">
        <f aca="false">(M693+N693+O693+P693)/L693</f>
        <v>0.137468723157934</v>
      </c>
      <c r="V693" s="2" t="str">
        <f aca="false">IF(S693&lt;=5,"Late night (0-5)",IF(S693&lt;=11,"Morning (6-11)",IF(S693&lt;=17,"Afternoon (12-17)","Evening (18-23)")))</f>
        <v>Evening (18-23)</v>
      </c>
    </row>
    <row r="694" customFormat="false" ht="15" hidden="false" customHeight="false" outlineLevel="0" collapsed="false">
      <c r="A694" s="2" t="s">
        <v>1338</v>
      </c>
      <c r="B694" s="2" t="s">
        <v>35</v>
      </c>
      <c r="C694" s="2" t="s">
        <v>36</v>
      </c>
      <c r="D694" s="3" t="n">
        <v>45750</v>
      </c>
      <c r="E694" s="2" t="s">
        <v>1339</v>
      </c>
      <c r="F694" s="2" t="s">
        <v>50</v>
      </c>
      <c r="G694" s="2" t="n">
        <v>33933</v>
      </c>
      <c r="H694" s="2" t="n">
        <v>30</v>
      </c>
      <c r="I694" s="2" t="n">
        <v>182</v>
      </c>
      <c r="J694" s="2" t="n">
        <v>1</v>
      </c>
      <c r="K694" s="2" t="n">
        <v>24765</v>
      </c>
      <c r="L694" s="2" t="n">
        <v>15097</v>
      </c>
      <c r="M694" s="2" t="n">
        <v>1336</v>
      </c>
      <c r="N694" s="2" t="n">
        <v>28</v>
      </c>
      <c r="O694" s="2" t="n">
        <v>256</v>
      </c>
      <c r="P694" s="2" t="n">
        <v>197</v>
      </c>
      <c r="Q694" s="2" t="n">
        <v>391</v>
      </c>
      <c r="R694" s="2" t="n">
        <v>72</v>
      </c>
      <c r="S694" s="2" t="n">
        <v>21</v>
      </c>
      <c r="T694" s="2" t="s">
        <v>79</v>
      </c>
      <c r="U694" s="4" t="n">
        <f aca="false">(M694+N694+O694+P694)/L694</f>
        <v>0.120355037424654</v>
      </c>
      <c r="V694" s="2" t="str">
        <f aca="false">IF(S694&lt;=5,"Late night (0-5)",IF(S694&lt;=11,"Morning (6-11)",IF(S694&lt;=17,"Afternoon (12-17)","Evening (18-23)")))</f>
        <v>Evening (18-23)</v>
      </c>
    </row>
    <row r="695" customFormat="false" ht="15" hidden="false" customHeight="false" outlineLevel="0" collapsed="false">
      <c r="A695" s="2" t="s">
        <v>1340</v>
      </c>
      <c r="B695" s="2" t="s">
        <v>77</v>
      </c>
      <c r="C695" s="2" t="s">
        <v>30</v>
      </c>
      <c r="D695" s="3" t="n">
        <v>45842</v>
      </c>
      <c r="E695" s="2" t="s">
        <v>1341</v>
      </c>
      <c r="F695" s="2" t="s">
        <v>50</v>
      </c>
      <c r="G695" s="2" t="n">
        <v>17548</v>
      </c>
      <c r="H695" s="2" t="n">
        <v>17</v>
      </c>
      <c r="I695" s="2" t="n">
        <v>123</v>
      </c>
      <c r="J695" s="2" t="n">
        <v>0</v>
      </c>
      <c r="K695" s="2" t="n">
        <v>42972</v>
      </c>
      <c r="L695" s="2" t="n">
        <v>25356</v>
      </c>
      <c r="M695" s="2" t="n">
        <v>1206</v>
      </c>
      <c r="N695" s="2" t="n">
        <v>93</v>
      </c>
      <c r="O695" s="2" t="n">
        <v>117</v>
      </c>
      <c r="P695" s="2" t="n">
        <v>301</v>
      </c>
      <c r="Q695" s="2" t="n">
        <v>739</v>
      </c>
      <c r="R695" s="2" t="n">
        <v>166</v>
      </c>
      <c r="S695" s="2" t="n">
        <v>19</v>
      </c>
      <c r="T695" s="2" t="s">
        <v>96</v>
      </c>
      <c r="U695" s="4" t="n">
        <f aca="false">(M695+N695+O695+P695)/L695</f>
        <v>0.0677157280328127</v>
      </c>
      <c r="V695" s="2" t="str">
        <f aca="false">IF(S695&lt;=5,"Late night (0-5)",IF(S695&lt;=11,"Morning (6-11)",IF(S695&lt;=17,"Afternoon (12-17)","Evening (18-23)")))</f>
        <v>Evening (18-23)</v>
      </c>
    </row>
    <row r="696" customFormat="false" ht="15" hidden="false" customHeight="false" outlineLevel="0" collapsed="false">
      <c r="A696" s="2" t="s">
        <v>1342</v>
      </c>
      <c r="B696" s="2" t="s">
        <v>106</v>
      </c>
      <c r="C696" s="2" t="s">
        <v>91</v>
      </c>
      <c r="D696" s="3" t="n">
        <v>45772</v>
      </c>
      <c r="E696" s="2" t="s">
        <v>1343</v>
      </c>
      <c r="F696" s="2" t="s">
        <v>26</v>
      </c>
      <c r="G696" s="2" t="n">
        <v>59477</v>
      </c>
      <c r="H696" s="2" t="n">
        <v>10</v>
      </c>
      <c r="I696" s="2" t="n">
        <v>253</v>
      </c>
      <c r="J696" s="2" t="n">
        <v>1</v>
      </c>
      <c r="K696" s="2" t="n">
        <v>25724</v>
      </c>
      <c r="L696" s="2" t="n">
        <v>19424</v>
      </c>
      <c r="M696" s="2" t="n">
        <v>1595</v>
      </c>
      <c r="N696" s="2" t="n">
        <v>108</v>
      </c>
      <c r="O696" s="2" t="n">
        <v>75</v>
      </c>
      <c r="P696" s="2" t="n">
        <v>160</v>
      </c>
      <c r="Q696" s="2" t="n">
        <v>336</v>
      </c>
      <c r="R696" s="2" t="n">
        <v>40</v>
      </c>
      <c r="S696" s="2" t="n">
        <v>3</v>
      </c>
      <c r="T696" s="2" t="s">
        <v>96</v>
      </c>
      <c r="U696" s="4" t="n">
        <f aca="false">(M696+N696+O696+P696)/L696</f>
        <v>0.0997734761120264</v>
      </c>
      <c r="V696" s="2" t="str">
        <f aca="false">IF(S696&lt;=5,"Late night (0-5)",IF(S696&lt;=11,"Morning (6-11)",IF(S696&lt;=17,"Afternoon (12-17)","Evening (18-23)")))</f>
        <v>Late night (0-5)</v>
      </c>
    </row>
    <row r="697" customFormat="false" ht="15" hidden="false" customHeight="false" outlineLevel="0" collapsed="false">
      <c r="A697" s="2" t="s">
        <v>1344</v>
      </c>
      <c r="B697" s="2" t="s">
        <v>188</v>
      </c>
      <c r="C697" s="2" t="s">
        <v>30</v>
      </c>
      <c r="D697" s="3" t="n">
        <v>45956</v>
      </c>
      <c r="E697" s="2" t="s">
        <v>1318</v>
      </c>
      <c r="F697" s="2" t="s">
        <v>38</v>
      </c>
      <c r="G697" s="2" t="n">
        <v>38900</v>
      </c>
      <c r="H697" s="2" t="n">
        <v>4</v>
      </c>
      <c r="I697" s="2" t="n">
        <v>207</v>
      </c>
      <c r="J697" s="2" t="n">
        <v>0</v>
      </c>
      <c r="K697" s="2" t="n">
        <v>15855</v>
      </c>
      <c r="L697" s="2" t="n">
        <v>12746</v>
      </c>
      <c r="M697" s="2" t="n">
        <v>941</v>
      </c>
      <c r="N697" s="2" t="n">
        <v>51</v>
      </c>
      <c r="O697" s="2" t="n">
        <v>46</v>
      </c>
      <c r="P697" s="2" t="n">
        <v>257</v>
      </c>
      <c r="Q697" s="2" t="n">
        <v>160</v>
      </c>
      <c r="R697" s="2" t="n">
        <v>14</v>
      </c>
      <c r="S697" s="2" t="n">
        <v>4</v>
      </c>
      <c r="T697" s="2" t="s">
        <v>27</v>
      </c>
      <c r="U697" s="4" t="n">
        <f aca="false">(M697+N697+O697+P697)/L697</f>
        <v>0.101600502118312</v>
      </c>
      <c r="V697" s="2" t="str">
        <f aca="false">IF(S697&lt;=5,"Late night (0-5)",IF(S697&lt;=11,"Morning (6-11)",IF(S697&lt;=17,"Afternoon (12-17)","Evening (18-23)")))</f>
        <v>Late night (0-5)</v>
      </c>
    </row>
    <row r="698" customFormat="false" ht="15" hidden="false" customHeight="false" outlineLevel="0" collapsed="false">
      <c r="A698" s="2" t="s">
        <v>1345</v>
      </c>
      <c r="B698" s="2" t="s">
        <v>23</v>
      </c>
      <c r="C698" s="2" t="s">
        <v>24</v>
      </c>
      <c r="D698" s="3" t="n">
        <v>45841</v>
      </c>
      <c r="E698" s="2" t="s">
        <v>1246</v>
      </c>
      <c r="F698" s="2" t="s">
        <v>50</v>
      </c>
      <c r="G698" s="2" t="n">
        <v>63447</v>
      </c>
      <c r="H698" s="2" t="n">
        <v>0</v>
      </c>
      <c r="I698" s="2" t="n">
        <v>125</v>
      </c>
      <c r="J698" s="2" t="n">
        <v>0</v>
      </c>
      <c r="K698" s="2" t="n">
        <v>44825</v>
      </c>
      <c r="L698" s="2" t="n">
        <v>35687</v>
      </c>
      <c r="M698" s="2" t="n">
        <v>1184</v>
      </c>
      <c r="N698" s="2" t="n">
        <v>87</v>
      </c>
      <c r="O698" s="2" t="n">
        <v>36</v>
      </c>
      <c r="P698" s="2" t="n">
        <v>205</v>
      </c>
      <c r="Q698" s="2" t="n">
        <v>556</v>
      </c>
      <c r="R698" s="2" t="n">
        <v>118</v>
      </c>
      <c r="S698" s="2" t="n">
        <v>19</v>
      </c>
      <c r="T698" s="2" t="s">
        <v>79</v>
      </c>
      <c r="U698" s="4" t="n">
        <f aca="false">(M698+N698+O698+P698)/L698</f>
        <v>0.0423683694342478</v>
      </c>
      <c r="V698" s="2" t="str">
        <f aca="false">IF(S698&lt;=5,"Late night (0-5)",IF(S698&lt;=11,"Morning (6-11)",IF(S698&lt;=17,"Afternoon (12-17)","Evening (18-23)")))</f>
        <v>Evening (18-23)</v>
      </c>
    </row>
    <row r="699" customFormat="false" ht="15" hidden="false" customHeight="false" outlineLevel="0" collapsed="false">
      <c r="A699" s="2" t="s">
        <v>1346</v>
      </c>
      <c r="B699" s="2" t="s">
        <v>462</v>
      </c>
      <c r="C699" s="2" t="s">
        <v>84</v>
      </c>
      <c r="D699" s="3" t="n">
        <v>45714</v>
      </c>
      <c r="E699" s="2" t="s">
        <v>358</v>
      </c>
      <c r="F699" s="2" t="s">
        <v>26</v>
      </c>
      <c r="G699" s="2" t="n">
        <v>43510</v>
      </c>
      <c r="H699" s="2" t="n">
        <v>13</v>
      </c>
      <c r="I699" s="2" t="n">
        <v>183</v>
      </c>
      <c r="J699" s="2" t="n">
        <v>0</v>
      </c>
      <c r="K699" s="2" t="n">
        <v>39593</v>
      </c>
      <c r="L699" s="2" t="n">
        <v>22927</v>
      </c>
      <c r="M699" s="2" t="n">
        <v>2062</v>
      </c>
      <c r="N699" s="2" t="n">
        <v>85</v>
      </c>
      <c r="O699" s="2" t="n">
        <v>315</v>
      </c>
      <c r="P699" s="2" t="n">
        <v>534</v>
      </c>
      <c r="Q699" s="2" t="n">
        <v>375</v>
      </c>
      <c r="R699" s="2" t="n">
        <v>41</v>
      </c>
      <c r="S699" s="2" t="n">
        <v>1</v>
      </c>
      <c r="T699" s="2" t="s">
        <v>66</v>
      </c>
      <c r="U699" s="4" t="n">
        <f aca="false">(M699+N699+O699+P699)/L699</f>
        <v>0.130675622628342</v>
      </c>
      <c r="V699" s="2" t="str">
        <f aca="false">IF(S699&lt;=5,"Late night (0-5)",IF(S699&lt;=11,"Morning (6-11)",IF(S699&lt;=17,"Afternoon (12-17)","Evening (18-23)")))</f>
        <v>Late night (0-5)</v>
      </c>
    </row>
    <row r="700" customFormat="false" ht="15" hidden="false" customHeight="false" outlineLevel="0" collapsed="false">
      <c r="A700" s="2" t="s">
        <v>1347</v>
      </c>
      <c r="B700" s="2" t="s">
        <v>57</v>
      </c>
      <c r="C700" s="2" t="s">
        <v>24</v>
      </c>
      <c r="D700" s="3" t="n">
        <v>45675</v>
      </c>
      <c r="E700" s="2" t="s">
        <v>1348</v>
      </c>
      <c r="F700" s="2" t="s">
        <v>26</v>
      </c>
      <c r="G700" s="2" t="n">
        <v>31021</v>
      </c>
      <c r="H700" s="2" t="n">
        <v>10</v>
      </c>
      <c r="I700" s="2" t="n">
        <v>341</v>
      </c>
      <c r="J700" s="2" t="n">
        <v>0</v>
      </c>
      <c r="K700" s="2" t="n">
        <v>76174</v>
      </c>
      <c r="L700" s="2" t="n">
        <v>46707</v>
      </c>
      <c r="M700" s="2" t="n">
        <v>3378</v>
      </c>
      <c r="N700" s="2" t="n">
        <v>160</v>
      </c>
      <c r="O700" s="2" t="n">
        <v>286</v>
      </c>
      <c r="P700" s="2" t="n">
        <v>1095</v>
      </c>
      <c r="Q700" s="2" t="n">
        <v>664</v>
      </c>
      <c r="R700" s="2" t="n">
        <v>61</v>
      </c>
      <c r="S700" s="2" t="n">
        <v>20</v>
      </c>
      <c r="T700" s="2" t="s">
        <v>62</v>
      </c>
      <c r="U700" s="4" t="n">
        <f aca="false">(M700+N700+O700+P700)/L700</f>
        <v>0.105316119639454</v>
      </c>
      <c r="V700" s="2" t="str">
        <f aca="false">IF(S700&lt;=5,"Late night (0-5)",IF(S700&lt;=11,"Morning (6-11)",IF(S700&lt;=17,"Afternoon (12-17)","Evening (18-23)")))</f>
        <v>Evening (18-23)</v>
      </c>
    </row>
    <row r="701" customFormat="false" ht="15" hidden="false" customHeight="false" outlineLevel="0" collapsed="false">
      <c r="A701" s="2" t="s">
        <v>1349</v>
      </c>
      <c r="B701" s="2" t="s">
        <v>462</v>
      </c>
      <c r="C701" s="2" t="s">
        <v>84</v>
      </c>
      <c r="D701" s="3" t="n">
        <v>45755</v>
      </c>
      <c r="E701" s="2" t="s">
        <v>1052</v>
      </c>
      <c r="F701" s="2" t="s">
        <v>26</v>
      </c>
      <c r="G701" s="2" t="n">
        <v>43510</v>
      </c>
      <c r="H701" s="2" t="n">
        <v>19</v>
      </c>
      <c r="I701" s="2" t="n">
        <v>111</v>
      </c>
      <c r="J701" s="2" t="n">
        <v>0</v>
      </c>
      <c r="K701" s="2" t="n">
        <v>32776</v>
      </c>
      <c r="L701" s="2" t="n">
        <v>21379</v>
      </c>
      <c r="M701" s="2" t="n">
        <v>692</v>
      </c>
      <c r="N701" s="2" t="n">
        <v>33</v>
      </c>
      <c r="O701" s="2" t="n">
        <v>82</v>
      </c>
      <c r="P701" s="2" t="n">
        <v>100</v>
      </c>
      <c r="Q701" s="2" t="n">
        <v>181</v>
      </c>
      <c r="R701" s="2" t="n">
        <v>17</v>
      </c>
      <c r="S701" s="2" t="n">
        <v>1</v>
      </c>
      <c r="T701" s="2" t="s">
        <v>51</v>
      </c>
      <c r="U701" s="4" t="n">
        <f aca="false">(M701+N701+O701+P701)/L701</f>
        <v>0.0424248093923944</v>
      </c>
      <c r="V701" s="2" t="str">
        <f aca="false">IF(S701&lt;=5,"Late night (0-5)",IF(S701&lt;=11,"Morning (6-11)",IF(S701&lt;=17,"Afternoon (12-17)","Evening (18-23)")))</f>
        <v>Late night (0-5)</v>
      </c>
    </row>
    <row r="702" customFormat="false" ht="15" hidden="false" customHeight="false" outlineLevel="0" collapsed="false">
      <c r="A702" s="2" t="s">
        <v>1350</v>
      </c>
      <c r="B702" s="2" t="s">
        <v>141</v>
      </c>
      <c r="C702" s="2" t="s">
        <v>48</v>
      </c>
      <c r="D702" s="3" t="n">
        <v>45766</v>
      </c>
      <c r="E702" s="2" t="s">
        <v>1351</v>
      </c>
      <c r="F702" s="2" t="s">
        <v>38</v>
      </c>
      <c r="G702" s="2" t="n">
        <v>16119</v>
      </c>
      <c r="H702" s="2" t="n">
        <v>14</v>
      </c>
      <c r="I702" s="2" t="n">
        <v>144</v>
      </c>
      <c r="J702" s="2" t="n">
        <v>1</v>
      </c>
      <c r="K702" s="2" t="n">
        <v>8556</v>
      </c>
      <c r="L702" s="2" t="n">
        <v>6036</v>
      </c>
      <c r="M702" s="2" t="n">
        <v>262</v>
      </c>
      <c r="N702" s="2" t="n">
        <v>15</v>
      </c>
      <c r="O702" s="2" t="n">
        <v>38</v>
      </c>
      <c r="P702" s="2" t="n">
        <v>26</v>
      </c>
      <c r="Q702" s="2" t="n">
        <v>31</v>
      </c>
      <c r="R702" s="2" t="n">
        <v>2</v>
      </c>
      <c r="S702" s="2" t="n">
        <v>1</v>
      </c>
      <c r="T702" s="2" t="s">
        <v>62</v>
      </c>
      <c r="U702" s="4" t="n">
        <f aca="false">(M702+N702+O702+P702)/L702</f>
        <v>0.05649436713055</v>
      </c>
      <c r="V702" s="2" t="str">
        <f aca="false">IF(S702&lt;=5,"Late night (0-5)",IF(S702&lt;=11,"Morning (6-11)",IF(S702&lt;=17,"Afternoon (12-17)","Evening (18-23)")))</f>
        <v>Late night (0-5)</v>
      </c>
    </row>
    <row r="703" customFormat="false" ht="15" hidden="false" customHeight="false" outlineLevel="0" collapsed="false">
      <c r="A703" s="2" t="s">
        <v>1352</v>
      </c>
      <c r="B703" s="2" t="s">
        <v>94</v>
      </c>
      <c r="C703" s="2" t="s">
        <v>30</v>
      </c>
      <c r="D703" s="3" t="n">
        <v>45929</v>
      </c>
      <c r="E703" s="2" t="s">
        <v>161</v>
      </c>
      <c r="F703" s="2" t="s">
        <v>32</v>
      </c>
      <c r="G703" s="2" t="n">
        <v>58559</v>
      </c>
      <c r="H703" s="2" t="n">
        <v>14</v>
      </c>
      <c r="I703" s="2" t="n">
        <v>164</v>
      </c>
      <c r="J703" s="2" t="n">
        <v>1</v>
      </c>
      <c r="K703" s="2" t="n">
        <v>45538</v>
      </c>
      <c r="L703" s="2" t="n">
        <v>27248</v>
      </c>
      <c r="M703" s="2" t="n">
        <v>2411</v>
      </c>
      <c r="N703" s="2" t="n">
        <v>72</v>
      </c>
      <c r="O703" s="2" t="n">
        <v>159</v>
      </c>
      <c r="P703" s="2" t="n">
        <v>136</v>
      </c>
      <c r="Q703" s="2" t="n">
        <v>290</v>
      </c>
      <c r="R703" s="2" t="n">
        <v>49</v>
      </c>
      <c r="S703" s="2" t="n">
        <v>4</v>
      </c>
      <c r="T703" s="2" t="s">
        <v>33</v>
      </c>
      <c r="U703" s="4" t="n">
        <f aca="false">(M703+N703+O703+P703)/L703</f>
        <v>0.101952436876101</v>
      </c>
      <c r="V703" s="2" t="str">
        <f aca="false">IF(S703&lt;=5,"Late night (0-5)",IF(S703&lt;=11,"Morning (6-11)",IF(S703&lt;=17,"Afternoon (12-17)","Evening (18-23)")))</f>
        <v>Late night (0-5)</v>
      </c>
    </row>
    <row r="704" customFormat="false" ht="15" hidden="false" customHeight="false" outlineLevel="0" collapsed="false">
      <c r="A704" s="2" t="s">
        <v>1353</v>
      </c>
      <c r="B704" s="2" t="s">
        <v>103</v>
      </c>
      <c r="C704" s="2" t="s">
        <v>36</v>
      </c>
      <c r="D704" s="3" t="n">
        <v>45968</v>
      </c>
      <c r="E704" s="2" t="s">
        <v>1138</v>
      </c>
      <c r="F704" s="2" t="s">
        <v>32</v>
      </c>
      <c r="G704" s="2" t="n">
        <v>56979</v>
      </c>
      <c r="H704" s="2" t="n">
        <v>10</v>
      </c>
      <c r="I704" s="2" t="n">
        <v>81</v>
      </c>
      <c r="J704" s="2" t="n">
        <v>0</v>
      </c>
      <c r="K704" s="2" t="n">
        <v>260483</v>
      </c>
      <c r="L704" s="2" t="n">
        <v>159074</v>
      </c>
      <c r="M704" s="2" t="n">
        <v>13783</v>
      </c>
      <c r="N704" s="2" t="n">
        <v>664</v>
      </c>
      <c r="O704" s="2" t="n">
        <v>2190</v>
      </c>
      <c r="P704" s="2" t="n">
        <v>728</v>
      </c>
      <c r="Q704" s="2" t="n">
        <v>3181</v>
      </c>
      <c r="R704" s="2" t="n">
        <v>617</v>
      </c>
      <c r="S704" s="2" t="n">
        <v>17</v>
      </c>
      <c r="T704" s="2" t="s">
        <v>96</v>
      </c>
      <c r="U704" s="4" t="n">
        <f aca="false">(M704+N704+O704+P704)/L704</f>
        <v>0.109163031042156</v>
      </c>
      <c r="V704" s="2" t="str">
        <f aca="false">IF(S704&lt;=5,"Late night (0-5)",IF(S704&lt;=11,"Morning (6-11)",IF(S704&lt;=17,"Afternoon (12-17)","Evening (18-23)")))</f>
        <v>Afternoon (12-17)</v>
      </c>
    </row>
    <row r="705" customFormat="false" ht="15" hidden="false" customHeight="false" outlineLevel="0" collapsed="false">
      <c r="A705" s="2" t="s">
        <v>1354</v>
      </c>
      <c r="B705" s="2" t="s">
        <v>151</v>
      </c>
      <c r="C705" s="2" t="s">
        <v>36</v>
      </c>
      <c r="D705" s="3" t="n">
        <v>45690</v>
      </c>
      <c r="E705" s="2" t="s">
        <v>1355</v>
      </c>
      <c r="F705" s="2" t="s">
        <v>38</v>
      </c>
      <c r="G705" s="2" t="n">
        <v>19247</v>
      </c>
      <c r="H705" s="2" t="n">
        <v>12</v>
      </c>
      <c r="I705" s="2" t="n">
        <v>404</v>
      </c>
      <c r="J705" s="2" t="n">
        <v>0</v>
      </c>
      <c r="K705" s="2" t="n">
        <v>37050</v>
      </c>
      <c r="L705" s="2" t="n">
        <v>33265</v>
      </c>
      <c r="M705" s="2" t="n">
        <v>1116</v>
      </c>
      <c r="N705" s="2" t="n">
        <v>45</v>
      </c>
      <c r="O705" s="2" t="n">
        <v>121</v>
      </c>
      <c r="P705" s="2" t="n">
        <v>102</v>
      </c>
      <c r="Q705" s="2" t="n">
        <v>323</v>
      </c>
      <c r="R705" s="2" t="n">
        <v>34</v>
      </c>
      <c r="S705" s="2" t="n">
        <v>21</v>
      </c>
      <c r="T705" s="2" t="s">
        <v>27</v>
      </c>
      <c r="U705" s="4" t="n">
        <f aca="false">(M705+N705+O705+P705)/L705</f>
        <v>0.0416052908462348</v>
      </c>
      <c r="V705" s="2" t="str">
        <f aca="false">IF(S705&lt;=5,"Late night (0-5)",IF(S705&lt;=11,"Morning (6-11)",IF(S705&lt;=17,"Afternoon (12-17)","Evening (18-23)")))</f>
        <v>Evening (18-23)</v>
      </c>
    </row>
    <row r="706" customFormat="false" ht="15" hidden="false" customHeight="false" outlineLevel="0" collapsed="false">
      <c r="A706" s="2" t="s">
        <v>1356</v>
      </c>
      <c r="B706" s="2" t="s">
        <v>111</v>
      </c>
      <c r="C706" s="2" t="s">
        <v>48</v>
      </c>
      <c r="D706" s="3" t="n">
        <v>45941</v>
      </c>
      <c r="E706" s="2" t="s">
        <v>1357</v>
      </c>
      <c r="F706" s="2" t="s">
        <v>50</v>
      </c>
      <c r="G706" s="2" t="n">
        <v>16824</v>
      </c>
      <c r="H706" s="2" t="n">
        <v>14</v>
      </c>
      <c r="I706" s="2" t="n">
        <v>186</v>
      </c>
      <c r="J706" s="2" t="n">
        <v>0</v>
      </c>
      <c r="K706" s="2" t="n">
        <v>8688</v>
      </c>
      <c r="L706" s="2" t="n">
        <v>5065</v>
      </c>
      <c r="M706" s="2" t="n">
        <v>356</v>
      </c>
      <c r="N706" s="2" t="n">
        <v>21</v>
      </c>
      <c r="O706" s="2" t="n">
        <v>51</v>
      </c>
      <c r="P706" s="2" t="n">
        <v>78</v>
      </c>
      <c r="Q706" s="2" t="n">
        <v>119</v>
      </c>
      <c r="R706" s="2" t="n">
        <v>25</v>
      </c>
      <c r="S706" s="2" t="n">
        <v>17</v>
      </c>
      <c r="T706" s="2" t="s">
        <v>62</v>
      </c>
      <c r="U706" s="4" t="n">
        <f aca="false">(M706+N706+O706+P706)/L706</f>
        <v>0.0999012833168806</v>
      </c>
      <c r="V706" s="2" t="str">
        <f aca="false">IF(S706&lt;=5,"Late night (0-5)",IF(S706&lt;=11,"Morning (6-11)",IF(S706&lt;=17,"Afternoon (12-17)","Evening (18-23)")))</f>
        <v>Afternoon (12-17)</v>
      </c>
    </row>
    <row r="707" customFormat="false" ht="15" hidden="false" customHeight="false" outlineLevel="0" collapsed="false">
      <c r="A707" s="2" t="s">
        <v>1358</v>
      </c>
      <c r="B707" s="2" t="s">
        <v>114</v>
      </c>
      <c r="C707" s="2" t="s">
        <v>84</v>
      </c>
      <c r="D707" s="3" t="n">
        <v>45753</v>
      </c>
      <c r="E707" s="2" t="s">
        <v>1359</v>
      </c>
      <c r="F707" s="2" t="s">
        <v>32</v>
      </c>
      <c r="G707" s="2" t="n">
        <v>64307</v>
      </c>
      <c r="H707" s="2" t="n">
        <v>21</v>
      </c>
      <c r="I707" s="2" t="n">
        <v>270</v>
      </c>
      <c r="J707" s="2" t="n">
        <v>1</v>
      </c>
      <c r="K707" s="2" t="n">
        <v>68448</v>
      </c>
      <c r="L707" s="2" t="n">
        <v>54813</v>
      </c>
      <c r="M707" s="2" t="n">
        <v>2853</v>
      </c>
      <c r="N707" s="2" t="n">
        <v>115</v>
      </c>
      <c r="O707" s="2" t="n">
        <v>464</v>
      </c>
      <c r="P707" s="2" t="n">
        <v>509</v>
      </c>
      <c r="Q707" s="2" t="n">
        <v>1184</v>
      </c>
      <c r="R707" s="2" t="n">
        <v>233</v>
      </c>
      <c r="S707" s="2" t="n">
        <v>0</v>
      </c>
      <c r="T707" s="2" t="s">
        <v>27</v>
      </c>
      <c r="U707" s="4" t="n">
        <f aca="false">(M707+N707+O707+P707)/L707</f>
        <v>0.0718990020615547</v>
      </c>
      <c r="V707" s="2" t="str">
        <f aca="false">IF(S707&lt;=5,"Late night (0-5)",IF(S707&lt;=11,"Morning (6-11)",IF(S707&lt;=17,"Afternoon (12-17)","Evening (18-23)")))</f>
        <v>Late night (0-5)</v>
      </c>
    </row>
    <row r="708" customFormat="false" ht="15" hidden="false" customHeight="false" outlineLevel="0" collapsed="false">
      <c r="A708" s="2" t="s">
        <v>1360</v>
      </c>
      <c r="B708" s="2" t="s">
        <v>64</v>
      </c>
      <c r="C708" s="2" t="s">
        <v>36</v>
      </c>
      <c r="D708" s="3" t="n">
        <v>45969</v>
      </c>
      <c r="E708" s="2" t="s">
        <v>1361</v>
      </c>
      <c r="F708" s="2" t="s">
        <v>50</v>
      </c>
      <c r="G708" s="2" t="n">
        <v>43781</v>
      </c>
      <c r="H708" s="2" t="n">
        <v>15</v>
      </c>
      <c r="I708" s="2" t="n">
        <v>135</v>
      </c>
      <c r="J708" s="2" t="n">
        <v>1</v>
      </c>
      <c r="K708" s="2" t="n">
        <v>84643</v>
      </c>
      <c r="L708" s="2" t="n">
        <v>53892</v>
      </c>
      <c r="M708" s="2" t="n">
        <v>2906</v>
      </c>
      <c r="N708" s="2" t="n">
        <v>203</v>
      </c>
      <c r="O708" s="2" t="n">
        <v>402</v>
      </c>
      <c r="P708" s="2" t="n">
        <v>354</v>
      </c>
      <c r="Q708" s="2" t="n">
        <v>1075</v>
      </c>
      <c r="R708" s="2" t="n">
        <v>286</v>
      </c>
      <c r="S708" s="2" t="n">
        <v>11</v>
      </c>
      <c r="T708" s="2" t="s">
        <v>62</v>
      </c>
      <c r="U708" s="4" t="n">
        <f aca="false">(M708+N708+O708+P708)/L708</f>
        <v>0.0717175090922586</v>
      </c>
      <c r="V708" s="2" t="str">
        <f aca="false">IF(S708&lt;=5,"Late night (0-5)",IF(S708&lt;=11,"Morning (6-11)",IF(S708&lt;=17,"Afternoon (12-17)","Evening (18-23)")))</f>
        <v>Morning (6-11)</v>
      </c>
    </row>
    <row r="709" customFormat="false" ht="15" hidden="false" customHeight="false" outlineLevel="0" collapsed="false">
      <c r="A709" s="2" t="s">
        <v>1362</v>
      </c>
      <c r="B709" s="2" t="s">
        <v>68</v>
      </c>
      <c r="C709" s="2" t="s">
        <v>54</v>
      </c>
      <c r="D709" s="3" t="n">
        <v>45787</v>
      </c>
      <c r="E709" s="2" t="s">
        <v>42</v>
      </c>
      <c r="F709" s="2" t="s">
        <v>26</v>
      </c>
      <c r="G709" s="2" t="n">
        <v>35922</v>
      </c>
      <c r="H709" s="2" t="n">
        <v>16</v>
      </c>
      <c r="I709" s="2" t="n">
        <v>10</v>
      </c>
      <c r="J709" s="2" t="n">
        <v>0</v>
      </c>
      <c r="K709" s="2" t="n">
        <v>55490</v>
      </c>
      <c r="L709" s="2" t="n">
        <v>41834</v>
      </c>
      <c r="M709" s="2" t="n">
        <v>2643</v>
      </c>
      <c r="N709" s="2" t="n">
        <v>168</v>
      </c>
      <c r="O709" s="2" t="n">
        <v>430</v>
      </c>
      <c r="P709" s="2" t="n">
        <v>329</v>
      </c>
      <c r="Q709" s="2" t="n">
        <v>435</v>
      </c>
      <c r="R709" s="2" t="n">
        <v>102</v>
      </c>
      <c r="S709" s="2" t="n">
        <v>12</v>
      </c>
      <c r="T709" s="2" t="s">
        <v>62</v>
      </c>
      <c r="U709" s="4" t="n">
        <f aca="false">(M709+N709+O709+P709)/L709</f>
        <v>0.0853372854615863</v>
      </c>
      <c r="V709" s="2" t="str">
        <f aca="false">IF(S709&lt;=5,"Late night (0-5)",IF(S709&lt;=11,"Morning (6-11)",IF(S709&lt;=17,"Afternoon (12-17)","Evening (18-23)")))</f>
        <v>Afternoon (12-17)</v>
      </c>
    </row>
    <row r="710" customFormat="false" ht="15" hidden="false" customHeight="false" outlineLevel="0" collapsed="false">
      <c r="A710" s="2" t="s">
        <v>1363</v>
      </c>
      <c r="B710" s="2" t="s">
        <v>123</v>
      </c>
      <c r="C710" s="2" t="s">
        <v>24</v>
      </c>
      <c r="D710" s="3" t="n">
        <v>46008</v>
      </c>
      <c r="E710" s="2" t="s">
        <v>795</v>
      </c>
      <c r="F710" s="2" t="s">
        <v>26</v>
      </c>
      <c r="G710" s="2" t="n">
        <v>41391</v>
      </c>
      <c r="H710" s="2" t="n">
        <v>13</v>
      </c>
      <c r="I710" s="2" t="n">
        <v>198</v>
      </c>
      <c r="J710" s="2" t="n">
        <v>0</v>
      </c>
      <c r="K710" s="2" t="n">
        <v>22293</v>
      </c>
      <c r="L710" s="2" t="n">
        <v>19152</v>
      </c>
      <c r="M710" s="2" t="n">
        <v>769</v>
      </c>
      <c r="N710" s="2" t="n">
        <v>51</v>
      </c>
      <c r="O710" s="2" t="n">
        <v>142</v>
      </c>
      <c r="P710" s="2" t="n">
        <v>302</v>
      </c>
      <c r="Q710" s="2" t="n">
        <v>238</v>
      </c>
      <c r="R710" s="2" t="n">
        <v>61</v>
      </c>
      <c r="S710" s="2" t="n">
        <v>9</v>
      </c>
      <c r="T710" s="2" t="s">
        <v>66</v>
      </c>
      <c r="U710" s="4" t="n">
        <f aca="false">(M710+N710+O710+P710)/L710</f>
        <v>0.0659983291562239</v>
      </c>
      <c r="V710" s="2" t="str">
        <f aca="false">IF(S710&lt;=5,"Late night (0-5)",IF(S710&lt;=11,"Morning (6-11)",IF(S710&lt;=17,"Afternoon (12-17)","Evening (18-23)")))</f>
        <v>Morning (6-11)</v>
      </c>
    </row>
    <row r="711" customFormat="false" ht="15" hidden="false" customHeight="false" outlineLevel="0" collapsed="false">
      <c r="A711" s="2" t="s">
        <v>1364</v>
      </c>
      <c r="B711" s="2" t="s">
        <v>44</v>
      </c>
      <c r="C711" s="2" t="s">
        <v>36</v>
      </c>
      <c r="D711" s="3" t="n">
        <v>45881</v>
      </c>
      <c r="E711" s="2" t="s">
        <v>1365</v>
      </c>
      <c r="F711" s="2" t="s">
        <v>38</v>
      </c>
      <c r="G711" s="2" t="n">
        <v>6265</v>
      </c>
      <c r="H711" s="2" t="n">
        <v>2</v>
      </c>
      <c r="I711" s="2" t="n">
        <v>27</v>
      </c>
      <c r="J711" s="2" t="n">
        <v>0</v>
      </c>
      <c r="K711" s="2" t="n">
        <v>4816</v>
      </c>
      <c r="L711" s="2" t="n">
        <v>2716</v>
      </c>
      <c r="M711" s="2" t="n">
        <v>196</v>
      </c>
      <c r="N711" s="2" t="n">
        <v>3</v>
      </c>
      <c r="O711" s="2" t="n">
        <v>6</v>
      </c>
      <c r="P711" s="2" t="n">
        <v>43</v>
      </c>
      <c r="Q711" s="2" t="n">
        <v>41</v>
      </c>
      <c r="R711" s="2" t="n">
        <v>10</v>
      </c>
      <c r="S711" s="2" t="n">
        <v>5</v>
      </c>
      <c r="T711" s="2" t="s">
        <v>51</v>
      </c>
      <c r="U711" s="4" t="n">
        <f aca="false">(M711+N711+O711+P711)/L711</f>
        <v>0.0913107511045655</v>
      </c>
      <c r="V711" s="2" t="str">
        <f aca="false">IF(S711&lt;=5,"Late night (0-5)",IF(S711&lt;=11,"Morning (6-11)",IF(S711&lt;=17,"Afternoon (12-17)","Evening (18-23)")))</f>
        <v>Late night (0-5)</v>
      </c>
    </row>
    <row r="712" customFormat="false" ht="15" hidden="false" customHeight="false" outlineLevel="0" collapsed="false">
      <c r="A712" s="2" t="s">
        <v>1366</v>
      </c>
      <c r="B712" s="2" t="s">
        <v>106</v>
      </c>
      <c r="C712" s="2" t="s">
        <v>91</v>
      </c>
      <c r="D712" s="3" t="n">
        <v>45899</v>
      </c>
      <c r="E712" s="2" t="s">
        <v>1367</v>
      </c>
      <c r="F712" s="2" t="s">
        <v>32</v>
      </c>
      <c r="G712" s="2" t="n">
        <v>59477</v>
      </c>
      <c r="H712" s="2" t="n">
        <v>8</v>
      </c>
      <c r="I712" s="2" t="n">
        <v>88</v>
      </c>
      <c r="J712" s="2" t="n">
        <v>1</v>
      </c>
      <c r="K712" s="2" t="n">
        <v>59277</v>
      </c>
      <c r="L712" s="2" t="n">
        <v>47282</v>
      </c>
      <c r="M712" s="2" t="n">
        <v>3281</v>
      </c>
      <c r="N712" s="2" t="n">
        <v>251</v>
      </c>
      <c r="O712" s="2" t="n">
        <v>761</v>
      </c>
      <c r="P712" s="2" t="n">
        <v>340</v>
      </c>
      <c r="Q712" s="2" t="n">
        <v>1252</v>
      </c>
      <c r="R712" s="2" t="n">
        <v>180</v>
      </c>
      <c r="S712" s="2" t="n">
        <v>2</v>
      </c>
      <c r="T712" s="2" t="s">
        <v>62</v>
      </c>
      <c r="U712" s="4" t="n">
        <f aca="false">(M712+N712+O712+P712)/L712</f>
        <v>0.0979865487923523</v>
      </c>
      <c r="V712" s="2" t="str">
        <f aca="false">IF(S712&lt;=5,"Late night (0-5)",IF(S712&lt;=11,"Morning (6-11)",IF(S712&lt;=17,"Afternoon (12-17)","Evening (18-23)")))</f>
        <v>Late night (0-5)</v>
      </c>
    </row>
    <row r="713" customFormat="false" ht="15" hidden="false" customHeight="false" outlineLevel="0" collapsed="false">
      <c r="A713" s="2" t="s">
        <v>1368</v>
      </c>
      <c r="B713" s="2" t="s">
        <v>71</v>
      </c>
      <c r="C713" s="2" t="s">
        <v>48</v>
      </c>
      <c r="D713" s="3" t="n">
        <v>45801</v>
      </c>
      <c r="E713" s="2" t="s">
        <v>1369</v>
      </c>
      <c r="F713" s="2" t="s">
        <v>50</v>
      </c>
      <c r="G713" s="2" t="n">
        <v>7316</v>
      </c>
      <c r="H713" s="2" t="n">
        <v>6</v>
      </c>
      <c r="I713" s="2" t="n">
        <v>272</v>
      </c>
      <c r="J713" s="2" t="n">
        <v>1</v>
      </c>
      <c r="K713" s="2" t="n">
        <v>8767</v>
      </c>
      <c r="L713" s="2" t="n">
        <v>4877</v>
      </c>
      <c r="M713" s="2" t="n">
        <v>175</v>
      </c>
      <c r="N713" s="2" t="n">
        <v>4</v>
      </c>
      <c r="O713" s="2" t="n">
        <v>27</v>
      </c>
      <c r="P713" s="2" t="n">
        <v>11</v>
      </c>
      <c r="Q713" s="2" t="n">
        <v>32</v>
      </c>
      <c r="R713" s="2" t="n">
        <v>8</v>
      </c>
      <c r="S713" s="2" t="n">
        <v>16</v>
      </c>
      <c r="T713" s="2" t="s">
        <v>62</v>
      </c>
      <c r="U713" s="4" t="n">
        <f aca="false">(M713+N713+O713+P713)/L713</f>
        <v>0.0444945663317613</v>
      </c>
      <c r="V713" s="2" t="str">
        <f aca="false">IF(S713&lt;=5,"Late night (0-5)",IF(S713&lt;=11,"Morning (6-11)",IF(S713&lt;=17,"Afternoon (12-17)","Evening (18-23)")))</f>
        <v>Afternoon (12-17)</v>
      </c>
    </row>
    <row r="714" customFormat="false" ht="15" hidden="false" customHeight="false" outlineLevel="0" collapsed="false">
      <c r="A714" s="2" t="s">
        <v>1370</v>
      </c>
      <c r="B714" s="2" t="s">
        <v>129</v>
      </c>
      <c r="C714" s="2" t="s">
        <v>54</v>
      </c>
      <c r="D714" s="3" t="n">
        <v>45913</v>
      </c>
      <c r="E714" s="2" t="s">
        <v>756</v>
      </c>
      <c r="F714" s="2" t="s">
        <v>32</v>
      </c>
      <c r="G714" s="2" t="n">
        <v>10312</v>
      </c>
      <c r="H714" s="2" t="n">
        <v>0</v>
      </c>
      <c r="I714" s="2" t="n">
        <v>186</v>
      </c>
      <c r="J714" s="2" t="n">
        <v>1</v>
      </c>
      <c r="K714" s="2" t="n">
        <v>10473</v>
      </c>
      <c r="L714" s="2" t="n">
        <v>6734</v>
      </c>
      <c r="M714" s="2" t="n">
        <v>294</v>
      </c>
      <c r="N714" s="2" t="n">
        <v>17</v>
      </c>
      <c r="O714" s="2" t="n">
        <v>43</v>
      </c>
      <c r="P714" s="2" t="n">
        <v>64</v>
      </c>
      <c r="Q714" s="2" t="n">
        <v>97</v>
      </c>
      <c r="R714" s="2" t="n">
        <v>25</v>
      </c>
      <c r="S714" s="2" t="n">
        <v>10</v>
      </c>
      <c r="T714" s="2" t="s">
        <v>62</v>
      </c>
      <c r="U714" s="4" t="n">
        <f aca="false">(M714+N714+O714+P714)/L714</f>
        <v>0.0620730620730621</v>
      </c>
      <c r="V714" s="2" t="str">
        <f aca="false">IF(S714&lt;=5,"Late night (0-5)",IF(S714&lt;=11,"Morning (6-11)",IF(S714&lt;=17,"Afternoon (12-17)","Evening (18-23)")))</f>
        <v>Morning (6-11)</v>
      </c>
    </row>
    <row r="715" customFormat="false" ht="15" hidden="false" customHeight="false" outlineLevel="0" collapsed="false">
      <c r="A715" s="2" t="s">
        <v>1371</v>
      </c>
      <c r="B715" s="2" t="s">
        <v>148</v>
      </c>
      <c r="C715" s="2" t="s">
        <v>48</v>
      </c>
      <c r="D715" s="3" t="n">
        <v>45705</v>
      </c>
      <c r="E715" s="2" t="s">
        <v>1003</v>
      </c>
      <c r="F715" s="2" t="s">
        <v>32</v>
      </c>
      <c r="G715" s="2" t="n">
        <v>46311</v>
      </c>
      <c r="H715" s="2" t="n">
        <v>23</v>
      </c>
      <c r="I715" s="2" t="n">
        <v>210</v>
      </c>
      <c r="J715" s="2" t="n">
        <v>1</v>
      </c>
      <c r="K715" s="2" t="n">
        <v>31855</v>
      </c>
      <c r="L715" s="2" t="n">
        <v>19412</v>
      </c>
      <c r="M715" s="2" t="n">
        <v>1451</v>
      </c>
      <c r="N715" s="2" t="n">
        <v>45</v>
      </c>
      <c r="O715" s="2" t="n">
        <v>129</v>
      </c>
      <c r="P715" s="2" t="n">
        <v>181</v>
      </c>
      <c r="Q715" s="2" t="n">
        <v>244</v>
      </c>
      <c r="R715" s="2" t="n">
        <v>20</v>
      </c>
      <c r="S715" s="2" t="n">
        <v>2</v>
      </c>
      <c r="T715" s="2" t="s">
        <v>33</v>
      </c>
      <c r="U715" s="4" t="n">
        <f aca="false">(M715+N715+O715+P715)/L715</f>
        <v>0.0930352359365341</v>
      </c>
      <c r="V715" s="2" t="str">
        <f aca="false">IF(S715&lt;=5,"Late night (0-5)",IF(S715&lt;=11,"Morning (6-11)",IF(S715&lt;=17,"Afternoon (12-17)","Evening (18-23)")))</f>
        <v>Late night (0-5)</v>
      </c>
    </row>
    <row r="716" customFormat="false" ht="15" hidden="false" customHeight="false" outlineLevel="0" collapsed="false">
      <c r="A716" s="2" t="s">
        <v>1372</v>
      </c>
      <c r="B716" s="2" t="s">
        <v>94</v>
      </c>
      <c r="C716" s="2" t="s">
        <v>30</v>
      </c>
      <c r="D716" s="3" t="n">
        <v>45706</v>
      </c>
      <c r="E716" s="2" t="s">
        <v>1373</v>
      </c>
      <c r="F716" s="2" t="s">
        <v>32</v>
      </c>
      <c r="G716" s="2" t="n">
        <v>58559</v>
      </c>
      <c r="H716" s="2" t="n">
        <v>16</v>
      </c>
      <c r="I716" s="2" t="n">
        <v>155</v>
      </c>
      <c r="J716" s="2" t="n">
        <v>1</v>
      </c>
      <c r="K716" s="2" t="n">
        <v>45148</v>
      </c>
      <c r="L716" s="2" t="n">
        <v>35092</v>
      </c>
      <c r="M716" s="2" t="n">
        <v>3278</v>
      </c>
      <c r="N716" s="2" t="n">
        <v>67</v>
      </c>
      <c r="O716" s="2" t="n">
        <v>809</v>
      </c>
      <c r="P716" s="2" t="n">
        <v>486</v>
      </c>
      <c r="Q716" s="2" t="n">
        <v>179</v>
      </c>
      <c r="R716" s="2" t="n">
        <v>46</v>
      </c>
      <c r="S716" s="2" t="n">
        <v>2</v>
      </c>
      <c r="T716" s="2" t="s">
        <v>51</v>
      </c>
      <c r="U716" s="4" t="n">
        <f aca="false">(M716+N716+O716+P716)/L716</f>
        <v>0.13222386868802</v>
      </c>
      <c r="V716" s="2" t="str">
        <f aca="false">IF(S716&lt;=5,"Late night (0-5)",IF(S716&lt;=11,"Morning (6-11)",IF(S716&lt;=17,"Afternoon (12-17)","Evening (18-23)")))</f>
        <v>Late night (0-5)</v>
      </c>
    </row>
    <row r="717" customFormat="false" ht="15" hidden="false" customHeight="false" outlineLevel="0" collapsed="false">
      <c r="A717" s="2" t="s">
        <v>1374</v>
      </c>
      <c r="B717" s="2" t="s">
        <v>53</v>
      </c>
      <c r="C717" s="2" t="s">
        <v>54</v>
      </c>
      <c r="D717" s="3" t="n">
        <v>45824</v>
      </c>
      <c r="E717" s="2" t="s">
        <v>372</v>
      </c>
      <c r="F717" s="2" t="s">
        <v>38</v>
      </c>
      <c r="G717" s="2" t="n">
        <v>11318</v>
      </c>
      <c r="H717" s="2" t="n">
        <v>19</v>
      </c>
      <c r="I717" s="2" t="n">
        <v>10</v>
      </c>
      <c r="J717" s="2" t="n">
        <v>0</v>
      </c>
      <c r="K717" s="2" t="n">
        <v>8510</v>
      </c>
      <c r="L717" s="2" t="n">
        <v>5138</v>
      </c>
      <c r="M717" s="2" t="n">
        <v>412</v>
      </c>
      <c r="N717" s="2" t="n">
        <v>15</v>
      </c>
      <c r="O717" s="2" t="n">
        <v>33</v>
      </c>
      <c r="P717" s="2" t="n">
        <v>110</v>
      </c>
      <c r="Q717" s="2" t="n">
        <v>28</v>
      </c>
      <c r="R717" s="2" t="n">
        <v>5</v>
      </c>
      <c r="S717" s="2" t="n">
        <v>22</v>
      </c>
      <c r="T717" s="2" t="s">
        <v>33</v>
      </c>
      <c r="U717" s="4" t="n">
        <f aca="false">(M717+N717+O717+P717)/L717</f>
        <v>0.110938108213313</v>
      </c>
      <c r="V717" s="2" t="str">
        <f aca="false">IF(S717&lt;=5,"Late night (0-5)",IF(S717&lt;=11,"Morning (6-11)",IF(S717&lt;=17,"Afternoon (12-17)","Evening (18-23)")))</f>
        <v>Evening (18-23)</v>
      </c>
    </row>
    <row r="718" customFormat="false" ht="15" hidden="false" customHeight="false" outlineLevel="0" collapsed="false">
      <c r="A718" s="2" t="s">
        <v>1375</v>
      </c>
      <c r="B718" s="2" t="s">
        <v>374</v>
      </c>
      <c r="C718" s="2" t="s">
        <v>24</v>
      </c>
      <c r="D718" s="3" t="n">
        <v>45853</v>
      </c>
      <c r="E718" s="2" t="s">
        <v>747</v>
      </c>
      <c r="F718" s="2" t="s">
        <v>38</v>
      </c>
      <c r="G718" s="2" t="n">
        <v>9509</v>
      </c>
      <c r="H718" s="2" t="n">
        <v>14</v>
      </c>
      <c r="I718" s="2" t="n">
        <v>141</v>
      </c>
      <c r="J718" s="2" t="n">
        <v>0</v>
      </c>
      <c r="K718" s="2" t="n">
        <v>6311</v>
      </c>
      <c r="L718" s="2" t="n">
        <v>4494</v>
      </c>
      <c r="M718" s="2" t="n">
        <v>346</v>
      </c>
      <c r="N718" s="2" t="n">
        <v>8</v>
      </c>
      <c r="O718" s="2" t="n">
        <v>58</v>
      </c>
      <c r="P718" s="2" t="n">
        <v>87</v>
      </c>
      <c r="Q718" s="2" t="n">
        <v>48</v>
      </c>
      <c r="R718" s="2" t="n">
        <v>2</v>
      </c>
      <c r="S718" s="2" t="n">
        <v>17</v>
      </c>
      <c r="T718" s="2" t="s">
        <v>51</v>
      </c>
      <c r="U718" s="4" t="n">
        <f aca="false">(M718+N718+O718+P718)/L718</f>
        <v>0.111036938139742</v>
      </c>
      <c r="V718" s="2" t="str">
        <f aca="false">IF(S718&lt;=5,"Late night (0-5)",IF(S718&lt;=11,"Morning (6-11)",IF(S718&lt;=17,"Afternoon (12-17)","Evening (18-23)")))</f>
        <v>Afternoon (12-17)</v>
      </c>
    </row>
    <row r="719" customFormat="false" ht="15" hidden="false" customHeight="false" outlineLevel="0" collapsed="false">
      <c r="A719" s="2" t="s">
        <v>1376</v>
      </c>
      <c r="B719" s="2" t="s">
        <v>462</v>
      </c>
      <c r="C719" s="2" t="s">
        <v>84</v>
      </c>
      <c r="D719" s="3" t="n">
        <v>45680</v>
      </c>
      <c r="E719" s="2" t="s">
        <v>1377</v>
      </c>
      <c r="F719" s="2" t="s">
        <v>32</v>
      </c>
      <c r="G719" s="2" t="n">
        <v>43510</v>
      </c>
      <c r="H719" s="2" t="n">
        <v>19</v>
      </c>
      <c r="I719" s="2" t="n">
        <v>293</v>
      </c>
      <c r="J719" s="2" t="n">
        <v>0</v>
      </c>
      <c r="K719" s="2" t="n">
        <v>133610</v>
      </c>
      <c r="L719" s="2" t="n">
        <v>121246</v>
      </c>
      <c r="M719" s="2" t="n">
        <v>10257</v>
      </c>
      <c r="N719" s="2" t="n">
        <v>278</v>
      </c>
      <c r="O719" s="2" t="n">
        <v>1659</v>
      </c>
      <c r="P719" s="2" t="n">
        <v>2684</v>
      </c>
      <c r="Q719" s="2" t="n">
        <v>822</v>
      </c>
      <c r="R719" s="2" t="n">
        <v>244</v>
      </c>
      <c r="S719" s="2" t="n">
        <v>0</v>
      </c>
      <c r="T719" s="2" t="s">
        <v>79</v>
      </c>
      <c r="U719" s="4" t="n">
        <f aca="false">(M719+N719+O719+P719)/L719</f>
        <v>0.122709202777824</v>
      </c>
      <c r="V719" s="2" t="str">
        <f aca="false">IF(S719&lt;=5,"Late night (0-5)",IF(S719&lt;=11,"Morning (6-11)",IF(S719&lt;=17,"Afternoon (12-17)","Evening (18-23)")))</f>
        <v>Late night (0-5)</v>
      </c>
    </row>
    <row r="720" customFormat="false" ht="15" hidden="false" customHeight="false" outlineLevel="0" collapsed="false">
      <c r="A720" s="2" t="s">
        <v>1378</v>
      </c>
      <c r="B720" s="2" t="s">
        <v>360</v>
      </c>
      <c r="C720" s="2" t="s">
        <v>48</v>
      </c>
      <c r="D720" s="3" t="n">
        <v>46011</v>
      </c>
      <c r="E720" s="2" t="s">
        <v>1379</v>
      </c>
      <c r="F720" s="2" t="s">
        <v>32</v>
      </c>
      <c r="G720" s="2" t="n">
        <v>19542</v>
      </c>
      <c r="H720" s="2" t="n">
        <v>10</v>
      </c>
      <c r="I720" s="2" t="n">
        <v>167</v>
      </c>
      <c r="J720" s="2" t="n">
        <v>1</v>
      </c>
      <c r="K720" s="2" t="n">
        <v>27589</v>
      </c>
      <c r="L720" s="2" t="n">
        <v>22094</v>
      </c>
      <c r="M720" s="2" t="n">
        <v>2039</v>
      </c>
      <c r="N720" s="2" t="n">
        <v>108</v>
      </c>
      <c r="O720" s="2" t="n">
        <v>104</v>
      </c>
      <c r="P720" s="2" t="n">
        <v>503</v>
      </c>
      <c r="Q720" s="2" t="n">
        <v>612</v>
      </c>
      <c r="R720" s="2" t="n">
        <v>165</v>
      </c>
      <c r="S720" s="2" t="n">
        <v>10</v>
      </c>
      <c r="T720" s="2" t="s">
        <v>62</v>
      </c>
      <c r="U720" s="4" t="n">
        <f aca="false">(M720+N720+O720+P720)/L720</f>
        <v>0.124649226034217</v>
      </c>
      <c r="V720" s="2" t="str">
        <f aca="false">IF(S720&lt;=5,"Late night (0-5)",IF(S720&lt;=11,"Morning (6-11)",IF(S720&lt;=17,"Afternoon (12-17)","Evening (18-23)")))</f>
        <v>Morning (6-11)</v>
      </c>
    </row>
    <row r="721" customFormat="false" ht="15" hidden="false" customHeight="false" outlineLevel="0" collapsed="false">
      <c r="A721" s="2" t="s">
        <v>1380</v>
      </c>
      <c r="B721" s="2" t="s">
        <v>123</v>
      </c>
      <c r="C721" s="2" t="s">
        <v>24</v>
      </c>
      <c r="D721" s="3" t="n">
        <v>45882</v>
      </c>
      <c r="E721" s="2" t="s">
        <v>1381</v>
      </c>
      <c r="F721" s="2" t="s">
        <v>32</v>
      </c>
      <c r="G721" s="2" t="n">
        <v>41391</v>
      </c>
      <c r="H721" s="2" t="n">
        <v>7</v>
      </c>
      <c r="I721" s="2" t="n">
        <v>38</v>
      </c>
      <c r="J721" s="2" t="n">
        <v>0</v>
      </c>
      <c r="K721" s="2" t="n">
        <v>67557</v>
      </c>
      <c r="L721" s="2" t="n">
        <v>51733</v>
      </c>
      <c r="M721" s="2" t="n">
        <v>2790</v>
      </c>
      <c r="N721" s="2" t="n">
        <v>127</v>
      </c>
      <c r="O721" s="2" t="n">
        <v>695</v>
      </c>
      <c r="P721" s="2" t="n">
        <v>694</v>
      </c>
      <c r="Q721" s="2" t="n">
        <v>301</v>
      </c>
      <c r="R721" s="2" t="n">
        <v>37</v>
      </c>
      <c r="S721" s="2" t="n">
        <v>8</v>
      </c>
      <c r="T721" s="2" t="s">
        <v>66</v>
      </c>
      <c r="U721" s="4" t="n">
        <f aca="false">(M721+N721+O721+P721)/L721</f>
        <v>0.0832350723909304</v>
      </c>
      <c r="V721" s="2" t="str">
        <f aca="false">IF(S721&lt;=5,"Late night (0-5)",IF(S721&lt;=11,"Morning (6-11)",IF(S721&lt;=17,"Afternoon (12-17)","Evening (18-23)")))</f>
        <v>Morning (6-11)</v>
      </c>
    </row>
    <row r="722" customFormat="false" ht="15" hidden="false" customHeight="false" outlineLevel="0" collapsed="false">
      <c r="A722" s="2" t="s">
        <v>1382</v>
      </c>
      <c r="B722" s="2" t="s">
        <v>98</v>
      </c>
      <c r="C722" s="2" t="s">
        <v>54</v>
      </c>
      <c r="D722" s="3" t="n">
        <v>45690</v>
      </c>
      <c r="E722" s="2" t="s">
        <v>1383</v>
      </c>
      <c r="F722" s="2" t="s">
        <v>32</v>
      </c>
      <c r="G722" s="2" t="n">
        <v>18366</v>
      </c>
      <c r="H722" s="2" t="n">
        <v>6</v>
      </c>
      <c r="I722" s="2" t="n">
        <v>206</v>
      </c>
      <c r="J722" s="2" t="n">
        <v>1</v>
      </c>
      <c r="K722" s="2" t="n">
        <v>66493</v>
      </c>
      <c r="L722" s="2" t="n">
        <v>39612</v>
      </c>
      <c r="M722" s="2" t="n">
        <v>4012</v>
      </c>
      <c r="N722" s="2" t="n">
        <v>150</v>
      </c>
      <c r="O722" s="2" t="n">
        <v>1133</v>
      </c>
      <c r="P722" s="2" t="n">
        <v>810</v>
      </c>
      <c r="Q722" s="2" t="n">
        <v>701</v>
      </c>
      <c r="R722" s="2" t="n">
        <v>171</v>
      </c>
      <c r="S722" s="2" t="n">
        <v>9</v>
      </c>
      <c r="T722" s="2" t="s">
        <v>27</v>
      </c>
      <c r="U722" s="4" t="n">
        <f aca="false">(M722+N722+O722+P722)/L722</f>
        <v>0.15411996364738</v>
      </c>
      <c r="V722" s="2" t="str">
        <f aca="false">IF(S722&lt;=5,"Late night (0-5)",IF(S722&lt;=11,"Morning (6-11)",IF(S722&lt;=17,"Afternoon (12-17)","Evening (18-23)")))</f>
        <v>Morning (6-11)</v>
      </c>
    </row>
    <row r="723" customFormat="false" ht="15" hidden="false" customHeight="false" outlineLevel="0" collapsed="false">
      <c r="A723" s="2" t="s">
        <v>1384</v>
      </c>
      <c r="B723" s="2" t="s">
        <v>154</v>
      </c>
      <c r="C723" s="2" t="s">
        <v>41</v>
      </c>
      <c r="D723" s="3" t="n">
        <v>45668</v>
      </c>
      <c r="E723" s="2" t="s">
        <v>1385</v>
      </c>
      <c r="F723" s="2" t="s">
        <v>32</v>
      </c>
      <c r="G723" s="2" t="n">
        <v>33644</v>
      </c>
      <c r="H723" s="2" t="n">
        <v>10</v>
      </c>
      <c r="I723" s="2" t="n">
        <v>302</v>
      </c>
      <c r="J723" s="2" t="n">
        <v>1</v>
      </c>
      <c r="K723" s="2" t="n">
        <v>18068</v>
      </c>
      <c r="L723" s="2" t="n">
        <v>10208</v>
      </c>
      <c r="M723" s="2" t="n">
        <v>493</v>
      </c>
      <c r="N723" s="2" t="n">
        <v>32</v>
      </c>
      <c r="O723" s="2" t="n">
        <v>27</v>
      </c>
      <c r="P723" s="2" t="n">
        <v>53</v>
      </c>
      <c r="Q723" s="2" t="n">
        <v>117</v>
      </c>
      <c r="R723" s="2" t="n">
        <v>14</v>
      </c>
      <c r="S723" s="2" t="n">
        <v>23</v>
      </c>
      <c r="T723" s="2" t="s">
        <v>62</v>
      </c>
      <c r="U723" s="4" t="n">
        <f aca="false">(M723+N723+O723+P723)/L723</f>
        <v>0.0592672413793103</v>
      </c>
      <c r="V723" s="2" t="str">
        <f aca="false">IF(S723&lt;=5,"Late night (0-5)",IF(S723&lt;=11,"Morning (6-11)",IF(S723&lt;=17,"Afternoon (12-17)","Evening (18-23)")))</f>
        <v>Evening (18-23)</v>
      </c>
    </row>
    <row r="724" customFormat="false" ht="15" hidden="false" customHeight="false" outlineLevel="0" collapsed="false">
      <c r="A724" s="2" t="s">
        <v>1386</v>
      </c>
      <c r="B724" s="2" t="s">
        <v>23</v>
      </c>
      <c r="C724" s="2" t="s">
        <v>24</v>
      </c>
      <c r="D724" s="3" t="n">
        <v>45710</v>
      </c>
      <c r="E724" s="2" t="s">
        <v>1387</v>
      </c>
      <c r="F724" s="2" t="s">
        <v>26</v>
      </c>
      <c r="G724" s="2" t="n">
        <v>63447</v>
      </c>
      <c r="H724" s="2" t="n">
        <v>11</v>
      </c>
      <c r="I724" s="2" t="n">
        <v>260</v>
      </c>
      <c r="J724" s="2" t="n">
        <v>0</v>
      </c>
      <c r="K724" s="2" t="n">
        <v>43279</v>
      </c>
      <c r="L724" s="2" t="n">
        <v>29762</v>
      </c>
      <c r="M724" s="2" t="n">
        <v>1937</v>
      </c>
      <c r="N724" s="2" t="n">
        <v>63</v>
      </c>
      <c r="O724" s="2" t="n">
        <v>124</v>
      </c>
      <c r="P724" s="2" t="n">
        <v>665</v>
      </c>
      <c r="Q724" s="2" t="n">
        <v>648</v>
      </c>
      <c r="R724" s="2" t="n">
        <v>137</v>
      </c>
      <c r="S724" s="2" t="n">
        <v>23</v>
      </c>
      <c r="T724" s="2" t="s">
        <v>62</v>
      </c>
      <c r="U724" s="4" t="n">
        <f aca="false">(M724+N724+O724+P724)/L724</f>
        <v>0.0937101001276796</v>
      </c>
      <c r="V724" s="2" t="str">
        <f aca="false">IF(S724&lt;=5,"Late night (0-5)",IF(S724&lt;=11,"Morning (6-11)",IF(S724&lt;=17,"Afternoon (12-17)","Evening (18-23)")))</f>
        <v>Evening (18-23)</v>
      </c>
    </row>
    <row r="725" customFormat="false" ht="15" hidden="false" customHeight="false" outlineLevel="0" collapsed="false">
      <c r="A725" s="2" t="s">
        <v>1388</v>
      </c>
      <c r="B725" s="2" t="s">
        <v>90</v>
      </c>
      <c r="C725" s="2" t="s">
        <v>91</v>
      </c>
      <c r="D725" s="3" t="n">
        <v>45956</v>
      </c>
      <c r="E725" s="2" t="s">
        <v>1389</v>
      </c>
      <c r="F725" s="2" t="s">
        <v>32</v>
      </c>
      <c r="G725" s="2" t="n">
        <v>54788</v>
      </c>
      <c r="H725" s="2" t="n">
        <v>7</v>
      </c>
      <c r="I725" s="2" t="n">
        <v>20</v>
      </c>
      <c r="J725" s="2" t="n">
        <v>0</v>
      </c>
      <c r="K725" s="2" t="n">
        <v>34424</v>
      </c>
      <c r="L725" s="2" t="n">
        <v>20810</v>
      </c>
      <c r="M725" s="2" t="n">
        <v>1038</v>
      </c>
      <c r="N725" s="2" t="n">
        <v>40</v>
      </c>
      <c r="O725" s="2" t="n">
        <v>295</v>
      </c>
      <c r="P725" s="2" t="n">
        <v>100</v>
      </c>
      <c r="Q725" s="2" t="n">
        <v>162</v>
      </c>
      <c r="R725" s="2" t="n">
        <v>30</v>
      </c>
      <c r="S725" s="2" t="n">
        <v>0</v>
      </c>
      <c r="T725" s="2" t="s">
        <v>27</v>
      </c>
      <c r="U725" s="4" t="n">
        <f aca="false">(M725+N725+O725+P725)/L725</f>
        <v>0.070783277270543</v>
      </c>
      <c r="V725" s="2" t="str">
        <f aca="false">IF(S725&lt;=5,"Late night (0-5)",IF(S725&lt;=11,"Morning (6-11)",IF(S725&lt;=17,"Afternoon (12-17)","Evening (18-23)")))</f>
        <v>Late night (0-5)</v>
      </c>
    </row>
    <row r="726" customFormat="false" ht="15" hidden="false" customHeight="false" outlineLevel="0" collapsed="false">
      <c r="A726" s="2" t="s">
        <v>1390</v>
      </c>
      <c r="B726" s="2" t="s">
        <v>193</v>
      </c>
      <c r="C726" s="2" t="s">
        <v>36</v>
      </c>
      <c r="D726" s="3" t="n">
        <v>45861</v>
      </c>
      <c r="E726" s="2" t="s">
        <v>1391</v>
      </c>
      <c r="F726" s="2" t="s">
        <v>38</v>
      </c>
      <c r="G726" s="2" t="n">
        <v>26454</v>
      </c>
      <c r="H726" s="2" t="n">
        <v>13</v>
      </c>
      <c r="I726" s="2" t="n">
        <v>221</v>
      </c>
      <c r="J726" s="2" t="n">
        <v>0</v>
      </c>
      <c r="K726" s="2" t="n">
        <v>9843</v>
      </c>
      <c r="L726" s="2" t="n">
        <v>7865</v>
      </c>
      <c r="M726" s="2" t="n">
        <v>272</v>
      </c>
      <c r="N726" s="2" t="n">
        <v>17</v>
      </c>
      <c r="O726" s="2" t="n">
        <v>36</v>
      </c>
      <c r="P726" s="2" t="n">
        <v>40</v>
      </c>
      <c r="Q726" s="2" t="n">
        <v>175</v>
      </c>
      <c r="R726" s="2" t="n">
        <v>48</v>
      </c>
      <c r="S726" s="2" t="n">
        <v>0</v>
      </c>
      <c r="T726" s="2" t="s">
        <v>66</v>
      </c>
      <c r="U726" s="4" t="n">
        <f aca="false">(M726+N726+O726+P726)/L726</f>
        <v>0.0464081373172282</v>
      </c>
      <c r="V726" s="2" t="str">
        <f aca="false">IF(S726&lt;=5,"Late night (0-5)",IF(S726&lt;=11,"Morning (6-11)",IF(S726&lt;=17,"Afternoon (12-17)","Evening (18-23)")))</f>
        <v>Late night (0-5)</v>
      </c>
    </row>
    <row r="727" customFormat="false" ht="15" hidden="false" customHeight="false" outlineLevel="0" collapsed="false">
      <c r="A727" s="2" t="s">
        <v>1392</v>
      </c>
      <c r="B727" s="2" t="s">
        <v>68</v>
      </c>
      <c r="C727" s="2" t="s">
        <v>54</v>
      </c>
      <c r="D727" s="3" t="n">
        <v>45701</v>
      </c>
      <c r="E727" s="2" t="s">
        <v>1393</v>
      </c>
      <c r="F727" s="2" t="s">
        <v>26</v>
      </c>
      <c r="G727" s="2" t="n">
        <v>35922</v>
      </c>
      <c r="H727" s="2" t="n">
        <v>11</v>
      </c>
      <c r="I727" s="2" t="n">
        <v>327</v>
      </c>
      <c r="J727" s="2" t="n">
        <v>1</v>
      </c>
      <c r="K727" s="2" t="n">
        <v>54205</v>
      </c>
      <c r="L727" s="2" t="n">
        <v>30446</v>
      </c>
      <c r="M727" s="2" t="n">
        <v>1365</v>
      </c>
      <c r="N727" s="2" t="n">
        <v>47</v>
      </c>
      <c r="O727" s="2" t="n">
        <v>73</v>
      </c>
      <c r="P727" s="2" t="n">
        <v>506</v>
      </c>
      <c r="Q727" s="2" t="n">
        <v>324</v>
      </c>
      <c r="R727" s="2" t="n">
        <v>56</v>
      </c>
      <c r="S727" s="2" t="n">
        <v>9</v>
      </c>
      <c r="T727" s="2" t="s">
        <v>79</v>
      </c>
      <c r="U727" s="4" t="n">
        <f aca="false">(M727+N727+O727+P727)/L727</f>
        <v>0.0653944688957499</v>
      </c>
      <c r="V727" s="2" t="str">
        <f aca="false">IF(S727&lt;=5,"Late night (0-5)",IF(S727&lt;=11,"Morning (6-11)",IF(S727&lt;=17,"Afternoon (12-17)","Evening (18-23)")))</f>
        <v>Morning (6-11)</v>
      </c>
    </row>
    <row r="728" customFormat="false" ht="15" hidden="false" customHeight="false" outlineLevel="0" collapsed="false">
      <c r="A728" s="2" t="s">
        <v>1394</v>
      </c>
      <c r="B728" s="2" t="s">
        <v>220</v>
      </c>
      <c r="C728" s="2" t="s">
        <v>48</v>
      </c>
      <c r="D728" s="3" t="n">
        <v>45784</v>
      </c>
      <c r="E728" s="2" t="s">
        <v>1395</v>
      </c>
      <c r="F728" s="2" t="s">
        <v>26</v>
      </c>
      <c r="G728" s="2" t="n">
        <v>18917</v>
      </c>
      <c r="H728" s="2" t="n">
        <v>9</v>
      </c>
      <c r="I728" s="2" t="n">
        <v>215</v>
      </c>
      <c r="J728" s="2" t="n">
        <v>0</v>
      </c>
      <c r="K728" s="2" t="n">
        <v>16627</v>
      </c>
      <c r="L728" s="2" t="n">
        <v>11695</v>
      </c>
      <c r="M728" s="2" t="n">
        <v>797</v>
      </c>
      <c r="N728" s="2" t="n">
        <v>30</v>
      </c>
      <c r="O728" s="2" t="n">
        <v>48</v>
      </c>
      <c r="P728" s="2" t="n">
        <v>325</v>
      </c>
      <c r="Q728" s="2" t="n">
        <v>115</v>
      </c>
      <c r="R728" s="2" t="n">
        <v>12</v>
      </c>
      <c r="S728" s="2" t="n">
        <v>11</v>
      </c>
      <c r="T728" s="2" t="s">
        <v>66</v>
      </c>
      <c r="U728" s="4" t="n">
        <f aca="false">(M728+N728+O728+P728)/L728</f>
        <v>0.102607952116289</v>
      </c>
      <c r="V728" s="2" t="str">
        <f aca="false">IF(S728&lt;=5,"Late night (0-5)",IF(S728&lt;=11,"Morning (6-11)",IF(S728&lt;=17,"Afternoon (12-17)","Evening (18-23)")))</f>
        <v>Morning (6-11)</v>
      </c>
    </row>
    <row r="729" customFormat="false" ht="15" hidden="false" customHeight="false" outlineLevel="0" collapsed="false">
      <c r="A729" s="2" t="s">
        <v>1396</v>
      </c>
      <c r="B729" s="2" t="s">
        <v>77</v>
      </c>
      <c r="C729" s="2" t="s">
        <v>30</v>
      </c>
      <c r="D729" s="3" t="n">
        <v>45909</v>
      </c>
      <c r="E729" s="2" t="s">
        <v>1397</v>
      </c>
      <c r="F729" s="2" t="s">
        <v>32</v>
      </c>
      <c r="G729" s="2" t="n">
        <v>17548</v>
      </c>
      <c r="H729" s="2" t="n">
        <v>16</v>
      </c>
      <c r="I729" s="2" t="n">
        <v>248</v>
      </c>
      <c r="J729" s="2" t="n">
        <v>1</v>
      </c>
      <c r="K729" s="2" t="n">
        <v>19814</v>
      </c>
      <c r="L729" s="2" t="n">
        <v>12521</v>
      </c>
      <c r="M729" s="2" t="n">
        <v>957</v>
      </c>
      <c r="N729" s="2" t="n">
        <v>38</v>
      </c>
      <c r="O729" s="2" t="n">
        <v>182</v>
      </c>
      <c r="P729" s="2" t="n">
        <v>261</v>
      </c>
      <c r="Q729" s="2" t="n">
        <v>266</v>
      </c>
      <c r="R729" s="2" t="n">
        <v>53</v>
      </c>
      <c r="S729" s="2" t="n">
        <v>14</v>
      </c>
      <c r="T729" s="2" t="s">
        <v>51</v>
      </c>
      <c r="U729" s="4" t="n">
        <f aca="false">(M729+N729+O729+P729)/L729</f>
        <v>0.114847056944334</v>
      </c>
      <c r="V729" s="2" t="str">
        <f aca="false">IF(S729&lt;=5,"Late night (0-5)",IF(S729&lt;=11,"Morning (6-11)",IF(S729&lt;=17,"Afternoon (12-17)","Evening (18-23)")))</f>
        <v>Afternoon (12-17)</v>
      </c>
    </row>
    <row r="730" customFormat="false" ht="15" hidden="false" customHeight="false" outlineLevel="0" collapsed="false">
      <c r="A730" s="2" t="s">
        <v>1398</v>
      </c>
      <c r="B730" s="2" t="s">
        <v>324</v>
      </c>
      <c r="C730" s="2" t="s">
        <v>24</v>
      </c>
      <c r="D730" s="3" t="n">
        <v>45995</v>
      </c>
      <c r="E730" s="2" t="s">
        <v>1399</v>
      </c>
      <c r="F730" s="2" t="s">
        <v>32</v>
      </c>
      <c r="G730" s="2" t="n">
        <v>3823</v>
      </c>
      <c r="H730" s="2" t="n">
        <v>7</v>
      </c>
      <c r="I730" s="2" t="n">
        <v>132</v>
      </c>
      <c r="J730" s="2" t="n">
        <v>0</v>
      </c>
      <c r="K730" s="2" t="n">
        <v>6713</v>
      </c>
      <c r="L730" s="2" t="n">
        <v>4315</v>
      </c>
      <c r="M730" s="2" t="n">
        <v>341</v>
      </c>
      <c r="N730" s="2" t="n">
        <v>9</v>
      </c>
      <c r="O730" s="2" t="n">
        <v>53</v>
      </c>
      <c r="P730" s="2" t="n">
        <v>69</v>
      </c>
      <c r="Q730" s="2" t="n">
        <v>30</v>
      </c>
      <c r="R730" s="2" t="n">
        <v>2</v>
      </c>
      <c r="S730" s="2" t="n">
        <v>12</v>
      </c>
      <c r="T730" s="2" t="s">
        <v>79</v>
      </c>
      <c r="U730" s="4" t="n">
        <f aca="false">(M730+N730+O730+P730)/L730</f>
        <v>0.109385863267671</v>
      </c>
      <c r="V730" s="2" t="str">
        <f aca="false">IF(S730&lt;=5,"Late night (0-5)",IF(S730&lt;=11,"Morning (6-11)",IF(S730&lt;=17,"Afternoon (12-17)","Evening (18-23)")))</f>
        <v>Afternoon (12-17)</v>
      </c>
    </row>
    <row r="731" customFormat="false" ht="15" hidden="false" customHeight="false" outlineLevel="0" collapsed="false">
      <c r="A731" s="2" t="s">
        <v>1400</v>
      </c>
      <c r="B731" s="2" t="s">
        <v>74</v>
      </c>
      <c r="C731" s="2" t="s">
        <v>30</v>
      </c>
      <c r="D731" s="3" t="n">
        <v>45746</v>
      </c>
      <c r="E731" s="2" t="s">
        <v>92</v>
      </c>
      <c r="F731" s="2" t="s">
        <v>32</v>
      </c>
      <c r="G731" s="2" t="n">
        <v>20432</v>
      </c>
      <c r="H731" s="2" t="n">
        <v>14</v>
      </c>
      <c r="I731" s="2" t="n">
        <v>328</v>
      </c>
      <c r="J731" s="2" t="n">
        <v>1</v>
      </c>
      <c r="K731" s="2" t="n">
        <v>87108</v>
      </c>
      <c r="L731" s="2" t="n">
        <v>65565</v>
      </c>
      <c r="M731" s="2" t="n">
        <v>4290</v>
      </c>
      <c r="N731" s="2" t="n">
        <v>206</v>
      </c>
      <c r="O731" s="2" t="n">
        <v>762</v>
      </c>
      <c r="P731" s="2" t="n">
        <v>611</v>
      </c>
      <c r="Q731" s="2" t="n">
        <v>1144</v>
      </c>
      <c r="R731" s="2" t="n">
        <v>176</v>
      </c>
      <c r="S731" s="2" t="n">
        <v>21</v>
      </c>
      <c r="T731" s="2" t="s">
        <v>27</v>
      </c>
      <c r="U731" s="4" t="n">
        <f aca="false">(M731+N731+O731+P731)/L731</f>
        <v>0.089514222527263</v>
      </c>
      <c r="V731" s="2" t="str">
        <f aca="false">IF(S731&lt;=5,"Late night (0-5)",IF(S731&lt;=11,"Morning (6-11)",IF(S731&lt;=17,"Afternoon (12-17)","Evening (18-23)")))</f>
        <v>Evening (18-23)</v>
      </c>
    </row>
    <row r="732" customFormat="false" ht="15" hidden="false" customHeight="false" outlineLevel="0" collapsed="false">
      <c r="A732" s="2" t="s">
        <v>1401</v>
      </c>
      <c r="B732" s="2" t="s">
        <v>264</v>
      </c>
      <c r="C732" s="2" t="s">
        <v>36</v>
      </c>
      <c r="D732" s="3" t="n">
        <v>45822</v>
      </c>
      <c r="E732" s="2" t="s">
        <v>612</v>
      </c>
      <c r="F732" s="2" t="s">
        <v>26</v>
      </c>
      <c r="G732" s="2" t="n">
        <v>22362</v>
      </c>
      <c r="H732" s="2" t="n">
        <v>11</v>
      </c>
      <c r="I732" s="2" t="n">
        <v>326</v>
      </c>
      <c r="J732" s="2" t="n">
        <v>1</v>
      </c>
      <c r="K732" s="2" t="n">
        <v>35412</v>
      </c>
      <c r="L732" s="2" t="n">
        <v>25030</v>
      </c>
      <c r="M732" s="2" t="n">
        <v>1580</v>
      </c>
      <c r="N732" s="2" t="n">
        <v>86</v>
      </c>
      <c r="O732" s="2" t="n">
        <v>153</v>
      </c>
      <c r="P732" s="2" t="n">
        <v>275</v>
      </c>
      <c r="Q732" s="2" t="n">
        <v>364</v>
      </c>
      <c r="R732" s="2" t="n">
        <v>66</v>
      </c>
      <c r="S732" s="2" t="n">
        <v>19</v>
      </c>
      <c r="T732" s="2" t="s">
        <v>62</v>
      </c>
      <c r="U732" s="4" t="n">
        <f aca="false">(M732+N732+O732+P732)/L732</f>
        <v>0.0836596084698362</v>
      </c>
      <c r="V732" s="2" t="str">
        <f aca="false">IF(S732&lt;=5,"Late night (0-5)",IF(S732&lt;=11,"Morning (6-11)",IF(S732&lt;=17,"Afternoon (12-17)","Evening (18-23)")))</f>
        <v>Evening (18-23)</v>
      </c>
    </row>
    <row r="733" customFormat="false" ht="15" hidden="false" customHeight="false" outlineLevel="0" collapsed="false">
      <c r="A733" s="2" t="s">
        <v>1402</v>
      </c>
      <c r="B733" s="2" t="s">
        <v>227</v>
      </c>
      <c r="C733" s="2" t="s">
        <v>54</v>
      </c>
      <c r="D733" s="3" t="n">
        <v>45999</v>
      </c>
      <c r="E733" s="2" t="s">
        <v>1403</v>
      </c>
      <c r="F733" s="2" t="s">
        <v>32</v>
      </c>
      <c r="G733" s="2" t="n">
        <v>11796</v>
      </c>
      <c r="H733" s="2" t="n">
        <v>15</v>
      </c>
      <c r="I733" s="2" t="n">
        <v>168</v>
      </c>
      <c r="J733" s="2" t="n">
        <v>0</v>
      </c>
      <c r="K733" s="2" t="n">
        <v>47797</v>
      </c>
      <c r="L733" s="2" t="n">
        <v>34127</v>
      </c>
      <c r="M733" s="2" t="n">
        <v>2619</v>
      </c>
      <c r="N733" s="2" t="n">
        <v>157</v>
      </c>
      <c r="O733" s="2" t="n">
        <v>408</v>
      </c>
      <c r="P733" s="2" t="n">
        <v>424</v>
      </c>
      <c r="Q733" s="2" t="n">
        <v>769</v>
      </c>
      <c r="R733" s="2" t="n">
        <v>50</v>
      </c>
      <c r="S733" s="2" t="n">
        <v>16</v>
      </c>
      <c r="T733" s="2" t="s">
        <v>33</v>
      </c>
      <c r="U733" s="4" t="n">
        <f aca="false">(M733+N733+O733+P733)/L733</f>
        <v>0.105722741524306</v>
      </c>
      <c r="V733" s="2" t="str">
        <f aca="false">IF(S733&lt;=5,"Late night (0-5)",IF(S733&lt;=11,"Morning (6-11)",IF(S733&lt;=17,"Afternoon (12-17)","Evening (18-23)")))</f>
        <v>Afternoon (12-17)</v>
      </c>
    </row>
    <row r="734" customFormat="false" ht="15" hidden="false" customHeight="false" outlineLevel="0" collapsed="false">
      <c r="A734" s="2" t="s">
        <v>1404</v>
      </c>
      <c r="B734" s="2" t="s">
        <v>57</v>
      </c>
      <c r="C734" s="2" t="s">
        <v>24</v>
      </c>
      <c r="D734" s="3" t="n">
        <v>45798</v>
      </c>
      <c r="E734" s="2" t="s">
        <v>1405</v>
      </c>
      <c r="F734" s="2" t="s">
        <v>26</v>
      </c>
      <c r="G734" s="2" t="n">
        <v>31021</v>
      </c>
      <c r="H734" s="2" t="n">
        <v>6</v>
      </c>
      <c r="I734" s="2" t="n">
        <v>158</v>
      </c>
      <c r="J734" s="2" t="n">
        <v>1</v>
      </c>
      <c r="K734" s="2" t="n">
        <v>24609</v>
      </c>
      <c r="L734" s="2" t="n">
        <v>16218</v>
      </c>
      <c r="M734" s="2" t="n">
        <v>491</v>
      </c>
      <c r="N734" s="2" t="n">
        <v>26</v>
      </c>
      <c r="O734" s="2" t="n">
        <v>46</v>
      </c>
      <c r="P734" s="2" t="n">
        <v>142</v>
      </c>
      <c r="Q734" s="2" t="n">
        <v>448</v>
      </c>
      <c r="R734" s="2" t="n">
        <v>71</v>
      </c>
      <c r="S734" s="2" t="n">
        <v>9</v>
      </c>
      <c r="T734" s="2" t="s">
        <v>66</v>
      </c>
      <c r="U734" s="4" t="n">
        <f aca="false">(M734+N734+O734+P734)/L734</f>
        <v>0.0434702182759896</v>
      </c>
      <c r="V734" s="2" t="str">
        <f aca="false">IF(S734&lt;=5,"Late night (0-5)",IF(S734&lt;=11,"Morning (6-11)",IF(S734&lt;=17,"Afternoon (12-17)","Evening (18-23)")))</f>
        <v>Morning (6-11)</v>
      </c>
    </row>
    <row r="735" customFormat="false" ht="15" hidden="false" customHeight="false" outlineLevel="0" collapsed="false">
      <c r="A735" s="2" t="s">
        <v>1406</v>
      </c>
      <c r="B735" s="2" t="s">
        <v>106</v>
      </c>
      <c r="C735" s="2" t="s">
        <v>91</v>
      </c>
      <c r="D735" s="3" t="n">
        <v>45908</v>
      </c>
      <c r="E735" s="2" t="s">
        <v>1407</v>
      </c>
      <c r="F735" s="2" t="s">
        <v>38</v>
      </c>
      <c r="G735" s="2" t="n">
        <v>59477</v>
      </c>
      <c r="H735" s="2" t="n">
        <v>0</v>
      </c>
      <c r="I735" s="2" t="n">
        <v>234</v>
      </c>
      <c r="J735" s="2" t="n">
        <v>1</v>
      </c>
      <c r="K735" s="2" t="n">
        <v>11234</v>
      </c>
      <c r="L735" s="2" t="n">
        <v>10118</v>
      </c>
      <c r="M735" s="2" t="n">
        <v>739</v>
      </c>
      <c r="N735" s="2" t="n">
        <v>18</v>
      </c>
      <c r="O735" s="2" t="n">
        <v>64</v>
      </c>
      <c r="P735" s="2" t="n">
        <v>181</v>
      </c>
      <c r="Q735" s="2" t="n">
        <v>240</v>
      </c>
      <c r="R735" s="2" t="n">
        <v>50</v>
      </c>
      <c r="S735" s="2" t="n">
        <v>22</v>
      </c>
      <c r="T735" s="2" t="s">
        <v>33</v>
      </c>
      <c r="U735" s="4" t="n">
        <f aca="false">(M735+N735+O735+P735)/L735</f>
        <v>0.0990314291361929</v>
      </c>
      <c r="V735" s="2" t="str">
        <f aca="false">IF(S735&lt;=5,"Late night (0-5)",IF(S735&lt;=11,"Morning (6-11)",IF(S735&lt;=17,"Afternoon (12-17)","Evening (18-23)")))</f>
        <v>Evening (18-23)</v>
      </c>
    </row>
    <row r="736" customFormat="false" ht="15" hidden="false" customHeight="false" outlineLevel="0" collapsed="false">
      <c r="A736" s="2" t="s">
        <v>1408</v>
      </c>
      <c r="B736" s="2" t="s">
        <v>390</v>
      </c>
      <c r="C736" s="2" t="s">
        <v>36</v>
      </c>
      <c r="D736" s="3" t="n">
        <v>45969</v>
      </c>
      <c r="E736" s="2" t="s">
        <v>1409</v>
      </c>
      <c r="F736" s="2" t="s">
        <v>26</v>
      </c>
      <c r="G736" s="2" t="n">
        <v>30232</v>
      </c>
      <c r="H736" s="2" t="n">
        <v>15</v>
      </c>
      <c r="I736" s="2" t="n">
        <v>221</v>
      </c>
      <c r="J736" s="2" t="n">
        <v>1</v>
      </c>
      <c r="K736" s="2" t="n">
        <v>22276</v>
      </c>
      <c r="L736" s="2" t="n">
        <v>14546</v>
      </c>
      <c r="M736" s="2" t="n">
        <v>1129</v>
      </c>
      <c r="N736" s="2" t="n">
        <v>53</v>
      </c>
      <c r="O736" s="2" t="n">
        <v>70</v>
      </c>
      <c r="P736" s="2" t="n">
        <v>239</v>
      </c>
      <c r="Q736" s="2" t="n">
        <v>352</v>
      </c>
      <c r="R736" s="2" t="n">
        <v>27</v>
      </c>
      <c r="S736" s="2" t="n">
        <v>16</v>
      </c>
      <c r="T736" s="2" t="s">
        <v>62</v>
      </c>
      <c r="U736" s="4" t="n">
        <f aca="false">(M736+N736+O736+P736)/L736</f>
        <v>0.102502406159769</v>
      </c>
      <c r="V736" s="2" t="str">
        <f aca="false">IF(S736&lt;=5,"Late night (0-5)",IF(S736&lt;=11,"Morning (6-11)",IF(S736&lt;=17,"Afternoon (12-17)","Evening (18-23)")))</f>
        <v>Afternoon (12-17)</v>
      </c>
    </row>
    <row r="737" customFormat="false" ht="15" hidden="false" customHeight="false" outlineLevel="0" collapsed="false">
      <c r="A737" s="2" t="s">
        <v>1410</v>
      </c>
      <c r="B737" s="2" t="s">
        <v>151</v>
      </c>
      <c r="C737" s="2" t="s">
        <v>36</v>
      </c>
      <c r="D737" s="3" t="n">
        <v>45957</v>
      </c>
      <c r="E737" s="2" t="s">
        <v>1411</v>
      </c>
      <c r="F737" s="2" t="s">
        <v>32</v>
      </c>
      <c r="G737" s="2" t="n">
        <v>19247</v>
      </c>
      <c r="H737" s="2" t="n">
        <v>0</v>
      </c>
      <c r="I737" s="2" t="n">
        <v>222</v>
      </c>
      <c r="J737" s="2" t="n">
        <v>1</v>
      </c>
      <c r="K737" s="2" t="n">
        <v>43214</v>
      </c>
      <c r="L737" s="2" t="n">
        <v>27575</v>
      </c>
      <c r="M737" s="2" t="n">
        <v>2050</v>
      </c>
      <c r="N737" s="2" t="n">
        <v>57</v>
      </c>
      <c r="O737" s="2" t="n">
        <v>199</v>
      </c>
      <c r="P737" s="2" t="n">
        <v>194</v>
      </c>
      <c r="Q737" s="2" t="n">
        <v>542</v>
      </c>
      <c r="R737" s="2" t="n">
        <v>158</v>
      </c>
      <c r="S737" s="2" t="n">
        <v>7</v>
      </c>
      <c r="T737" s="2" t="s">
        <v>33</v>
      </c>
      <c r="U737" s="4" t="n">
        <f aca="false">(M737+N737+O737+P737)/L737</f>
        <v>0.0906618313689937</v>
      </c>
      <c r="V737" s="2" t="str">
        <f aca="false">IF(S737&lt;=5,"Late night (0-5)",IF(S737&lt;=11,"Morning (6-11)",IF(S737&lt;=17,"Afternoon (12-17)","Evening (18-23)")))</f>
        <v>Morning (6-11)</v>
      </c>
    </row>
    <row r="738" customFormat="false" ht="15" hidden="false" customHeight="false" outlineLevel="0" collapsed="false">
      <c r="A738" s="2" t="s">
        <v>1412</v>
      </c>
      <c r="B738" s="2" t="s">
        <v>240</v>
      </c>
      <c r="C738" s="2" t="s">
        <v>41</v>
      </c>
      <c r="D738" s="3" t="n">
        <v>45766</v>
      </c>
      <c r="E738" s="2" t="s">
        <v>1413</v>
      </c>
      <c r="F738" s="2" t="s">
        <v>38</v>
      </c>
      <c r="G738" s="2" t="n">
        <v>83197</v>
      </c>
      <c r="H738" s="2" t="n">
        <v>15</v>
      </c>
      <c r="I738" s="2" t="n">
        <v>157</v>
      </c>
      <c r="J738" s="2" t="n">
        <v>1</v>
      </c>
      <c r="K738" s="2" t="n">
        <v>59971</v>
      </c>
      <c r="L738" s="2" t="n">
        <v>49536</v>
      </c>
      <c r="M738" s="2" t="n">
        <v>2696</v>
      </c>
      <c r="N738" s="2" t="n">
        <v>161</v>
      </c>
      <c r="O738" s="2" t="n">
        <v>306</v>
      </c>
      <c r="P738" s="2" t="n">
        <v>390</v>
      </c>
      <c r="Q738" s="2" t="n">
        <v>1343</v>
      </c>
      <c r="R738" s="2" t="n">
        <v>326</v>
      </c>
      <c r="S738" s="2" t="n">
        <v>8</v>
      </c>
      <c r="T738" s="2" t="s">
        <v>62</v>
      </c>
      <c r="U738" s="4" t="n">
        <f aca="false">(M738+N738+O738+P738)/L738</f>
        <v>0.0717256136950904</v>
      </c>
      <c r="V738" s="2" t="str">
        <f aca="false">IF(S738&lt;=5,"Late night (0-5)",IF(S738&lt;=11,"Morning (6-11)",IF(S738&lt;=17,"Afternoon (12-17)","Evening (18-23)")))</f>
        <v>Morning (6-11)</v>
      </c>
    </row>
    <row r="739" customFormat="false" ht="15" hidden="false" customHeight="false" outlineLevel="0" collapsed="false">
      <c r="A739" s="2" t="s">
        <v>1414</v>
      </c>
      <c r="B739" s="2" t="s">
        <v>47</v>
      </c>
      <c r="C739" s="2" t="s">
        <v>48</v>
      </c>
      <c r="D739" s="3" t="n">
        <v>45903</v>
      </c>
      <c r="E739" s="2" t="s">
        <v>1415</v>
      </c>
      <c r="F739" s="2" t="s">
        <v>38</v>
      </c>
      <c r="G739" s="2" t="n">
        <v>19609</v>
      </c>
      <c r="H739" s="2" t="n">
        <v>10</v>
      </c>
      <c r="I739" s="2" t="n">
        <v>311</v>
      </c>
      <c r="J739" s="2" t="n">
        <v>0</v>
      </c>
      <c r="K739" s="2" t="n">
        <v>19430</v>
      </c>
      <c r="L739" s="2" t="n">
        <v>11875</v>
      </c>
      <c r="M739" s="2" t="n">
        <v>540</v>
      </c>
      <c r="N739" s="2" t="n">
        <v>35</v>
      </c>
      <c r="O739" s="2" t="n">
        <v>41</v>
      </c>
      <c r="P739" s="2" t="n">
        <v>91</v>
      </c>
      <c r="Q739" s="2" t="n">
        <v>278</v>
      </c>
      <c r="R739" s="2" t="n">
        <v>57</v>
      </c>
      <c r="S739" s="2" t="n">
        <v>19</v>
      </c>
      <c r="T739" s="2" t="s">
        <v>66</v>
      </c>
      <c r="U739" s="4" t="n">
        <f aca="false">(M739+N739+O739+P739)/L739</f>
        <v>0.0595368421052632</v>
      </c>
      <c r="V739" s="2" t="str">
        <f aca="false">IF(S739&lt;=5,"Late night (0-5)",IF(S739&lt;=11,"Morning (6-11)",IF(S739&lt;=17,"Afternoon (12-17)","Evening (18-23)")))</f>
        <v>Evening (18-23)</v>
      </c>
    </row>
    <row r="740" customFormat="false" ht="15" hidden="false" customHeight="false" outlineLevel="0" collapsed="false">
      <c r="A740" s="2" t="s">
        <v>1416</v>
      </c>
      <c r="B740" s="2" t="s">
        <v>360</v>
      </c>
      <c r="C740" s="2" t="s">
        <v>48</v>
      </c>
      <c r="D740" s="3" t="n">
        <v>45872</v>
      </c>
      <c r="E740" s="2" t="s">
        <v>1417</v>
      </c>
      <c r="F740" s="2" t="s">
        <v>50</v>
      </c>
      <c r="G740" s="2" t="n">
        <v>19542</v>
      </c>
      <c r="H740" s="2" t="n">
        <v>9</v>
      </c>
      <c r="I740" s="2" t="n">
        <v>81</v>
      </c>
      <c r="J740" s="2" t="n">
        <v>1</v>
      </c>
      <c r="K740" s="2" t="n">
        <v>16394</v>
      </c>
      <c r="L740" s="2" t="n">
        <v>13622</v>
      </c>
      <c r="M740" s="2" t="n">
        <v>567</v>
      </c>
      <c r="N740" s="2" t="n">
        <v>13</v>
      </c>
      <c r="O740" s="2" t="n">
        <v>17</v>
      </c>
      <c r="P740" s="2" t="n">
        <v>130</v>
      </c>
      <c r="Q740" s="2" t="n">
        <v>222</v>
      </c>
      <c r="R740" s="2" t="n">
        <v>13</v>
      </c>
      <c r="S740" s="2" t="n">
        <v>20</v>
      </c>
      <c r="T740" s="2" t="s">
        <v>27</v>
      </c>
      <c r="U740" s="4" t="n">
        <f aca="false">(M740+N740+O740+P740)/L740</f>
        <v>0.0533695492585523</v>
      </c>
      <c r="V740" s="2" t="str">
        <f aca="false">IF(S740&lt;=5,"Late night (0-5)",IF(S740&lt;=11,"Morning (6-11)",IF(S740&lt;=17,"Afternoon (12-17)","Evening (18-23)")))</f>
        <v>Evening (18-23)</v>
      </c>
    </row>
    <row r="741" customFormat="false" ht="15" hidden="false" customHeight="false" outlineLevel="0" collapsed="false">
      <c r="A741" s="2" t="s">
        <v>1418</v>
      </c>
      <c r="B741" s="2" t="s">
        <v>345</v>
      </c>
      <c r="C741" s="2" t="s">
        <v>30</v>
      </c>
      <c r="D741" s="3" t="n">
        <v>45876</v>
      </c>
      <c r="E741" s="2" t="s">
        <v>1355</v>
      </c>
      <c r="F741" s="2" t="s">
        <v>32</v>
      </c>
      <c r="G741" s="2" t="n">
        <v>8662</v>
      </c>
      <c r="H741" s="2" t="n">
        <v>8</v>
      </c>
      <c r="I741" s="2" t="n">
        <v>258</v>
      </c>
      <c r="J741" s="2" t="n">
        <v>0</v>
      </c>
      <c r="K741" s="2" t="n">
        <v>13472</v>
      </c>
      <c r="L741" s="2" t="n">
        <v>9023</v>
      </c>
      <c r="M741" s="2" t="n">
        <v>524</v>
      </c>
      <c r="N741" s="2" t="n">
        <v>23</v>
      </c>
      <c r="O741" s="2" t="n">
        <v>35</v>
      </c>
      <c r="P741" s="2" t="n">
        <v>118</v>
      </c>
      <c r="Q741" s="2" t="n">
        <v>50</v>
      </c>
      <c r="R741" s="2" t="n">
        <v>7</v>
      </c>
      <c r="S741" s="2" t="n">
        <v>21</v>
      </c>
      <c r="T741" s="2" t="s">
        <v>79</v>
      </c>
      <c r="U741" s="4" t="n">
        <f aca="false">(M741+N741+O741+P741)/L741</f>
        <v>0.0775795190069822</v>
      </c>
      <c r="V741" s="2" t="str">
        <f aca="false">IF(S741&lt;=5,"Late night (0-5)",IF(S741&lt;=11,"Morning (6-11)",IF(S741&lt;=17,"Afternoon (12-17)","Evening (18-23)")))</f>
        <v>Evening (18-23)</v>
      </c>
    </row>
    <row r="742" customFormat="false" ht="15" hidden="false" customHeight="false" outlineLevel="0" collapsed="false">
      <c r="A742" s="2" t="s">
        <v>1419</v>
      </c>
      <c r="B742" s="2" t="s">
        <v>29</v>
      </c>
      <c r="C742" s="2" t="s">
        <v>30</v>
      </c>
      <c r="D742" s="3" t="n">
        <v>45720</v>
      </c>
      <c r="E742" s="2" t="s">
        <v>320</v>
      </c>
      <c r="F742" s="2" t="s">
        <v>50</v>
      </c>
      <c r="G742" s="2" t="n">
        <v>11612</v>
      </c>
      <c r="H742" s="2" t="n">
        <v>15</v>
      </c>
      <c r="I742" s="2" t="n">
        <v>79</v>
      </c>
      <c r="J742" s="2" t="n">
        <v>0</v>
      </c>
      <c r="K742" s="2" t="n">
        <v>21550</v>
      </c>
      <c r="L742" s="2" t="n">
        <v>12523</v>
      </c>
      <c r="M742" s="2" t="n">
        <v>809</v>
      </c>
      <c r="N742" s="2" t="n">
        <v>21</v>
      </c>
      <c r="O742" s="2" t="n">
        <v>24</v>
      </c>
      <c r="P742" s="2" t="n">
        <v>140</v>
      </c>
      <c r="Q742" s="2" t="n">
        <v>359</v>
      </c>
      <c r="R742" s="2" t="n">
        <v>69</v>
      </c>
      <c r="S742" s="2" t="n">
        <v>12</v>
      </c>
      <c r="T742" s="2" t="s">
        <v>51</v>
      </c>
      <c r="U742" s="4" t="n">
        <f aca="false">(M742+N742+O742+P742)/L742</f>
        <v>0.0793739519284517</v>
      </c>
      <c r="V742" s="2" t="str">
        <f aca="false">IF(S742&lt;=5,"Late night (0-5)",IF(S742&lt;=11,"Morning (6-11)",IF(S742&lt;=17,"Afternoon (12-17)","Evening (18-23)")))</f>
        <v>Afternoon (12-17)</v>
      </c>
    </row>
    <row r="743" customFormat="false" ht="15" hidden="false" customHeight="false" outlineLevel="0" collapsed="false">
      <c r="A743" s="2" t="s">
        <v>1420</v>
      </c>
      <c r="B743" s="2" t="s">
        <v>114</v>
      </c>
      <c r="C743" s="2" t="s">
        <v>84</v>
      </c>
      <c r="D743" s="3" t="n">
        <v>45964</v>
      </c>
      <c r="E743" s="2" t="s">
        <v>1421</v>
      </c>
      <c r="F743" s="2" t="s">
        <v>32</v>
      </c>
      <c r="G743" s="2" t="n">
        <v>64307</v>
      </c>
      <c r="H743" s="2" t="n">
        <v>1</v>
      </c>
      <c r="I743" s="2" t="n">
        <v>334</v>
      </c>
      <c r="J743" s="2" t="n">
        <v>0</v>
      </c>
      <c r="K743" s="2" t="n">
        <v>161321</v>
      </c>
      <c r="L743" s="2" t="n">
        <v>139806</v>
      </c>
      <c r="M743" s="2" t="n">
        <v>11043</v>
      </c>
      <c r="N743" s="2" t="n">
        <v>586</v>
      </c>
      <c r="O743" s="2" t="n">
        <v>2110</v>
      </c>
      <c r="P743" s="2" t="n">
        <v>1859</v>
      </c>
      <c r="Q743" s="2" t="n">
        <v>3293</v>
      </c>
      <c r="R743" s="2" t="n">
        <v>981</v>
      </c>
      <c r="S743" s="2" t="n">
        <v>19</v>
      </c>
      <c r="T743" s="2" t="s">
        <v>33</v>
      </c>
      <c r="U743" s="4" t="n">
        <f aca="false">(M743+N743+O743+P743)/L743</f>
        <v>0.111568888316667</v>
      </c>
      <c r="V743" s="2" t="str">
        <f aca="false">IF(S743&lt;=5,"Late night (0-5)",IF(S743&lt;=11,"Morning (6-11)",IF(S743&lt;=17,"Afternoon (12-17)","Evening (18-23)")))</f>
        <v>Evening (18-23)</v>
      </c>
    </row>
    <row r="744" customFormat="false" ht="15" hidden="false" customHeight="false" outlineLevel="0" collapsed="false">
      <c r="A744" s="2" t="s">
        <v>1422</v>
      </c>
      <c r="B744" s="2" t="s">
        <v>103</v>
      </c>
      <c r="C744" s="2" t="s">
        <v>36</v>
      </c>
      <c r="D744" s="3" t="n">
        <v>45983</v>
      </c>
      <c r="E744" s="2" t="s">
        <v>534</v>
      </c>
      <c r="F744" s="2" t="s">
        <v>32</v>
      </c>
      <c r="G744" s="2" t="n">
        <v>56979</v>
      </c>
      <c r="H744" s="2" t="n">
        <v>14</v>
      </c>
      <c r="I744" s="2" t="n">
        <v>210</v>
      </c>
      <c r="J744" s="2" t="n">
        <v>0</v>
      </c>
      <c r="K744" s="2" t="n">
        <v>28752</v>
      </c>
      <c r="L744" s="2" t="n">
        <v>16985</v>
      </c>
      <c r="M744" s="2" t="n">
        <v>1108</v>
      </c>
      <c r="N744" s="2" t="n">
        <v>78</v>
      </c>
      <c r="O744" s="2" t="n">
        <v>192</v>
      </c>
      <c r="P744" s="2" t="n">
        <v>117</v>
      </c>
      <c r="Q744" s="2" t="n">
        <v>485</v>
      </c>
      <c r="R744" s="2" t="n">
        <v>57</v>
      </c>
      <c r="S744" s="2" t="n">
        <v>3</v>
      </c>
      <c r="T744" s="2" t="s">
        <v>62</v>
      </c>
      <c r="U744" s="4" t="n">
        <f aca="false">(M744+N744+O744+P744)/L744</f>
        <v>0.0880188401530763</v>
      </c>
      <c r="V744" s="2" t="str">
        <f aca="false">IF(S744&lt;=5,"Late night (0-5)",IF(S744&lt;=11,"Morning (6-11)",IF(S744&lt;=17,"Afternoon (12-17)","Evening (18-23)")))</f>
        <v>Late night (0-5)</v>
      </c>
    </row>
    <row r="745" customFormat="false" ht="15" hidden="false" customHeight="false" outlineLevel="0" collapsed="false">
      <c r="A745" s="2" t="s">
        <v>1423</v>
      </c>
      <c r="B745" s="2" t="s">
        <v>87</v>
      </c>
      <c r="C745" s="2" t="s">
        <v>36</v>
      </c>
      <c r="D745" s="3" t="n">
        <v>45668</v>
      </c>
      <c r="E745" s="2" t="s">
        <v>1369</v>
      </c>
      <c r="F745" s="2" t="s">
        <v>32</v>
      </c>
      <c r="G745" s="2" t="n">
        <v>25592</v>
      </c>
      <c r="H745" s="2" t="n">
        <v>8</v>
      </c>
      <c r="I745" s="2" t="n">
        <v>104</v>
      </c>
      <c r="J745" s="2" t="n">
        <v>1</v>
      </c>
      <c r="K745" s="2" t="n">
        <v>27501</v>
      </c>
      <c r="L745" s="2" t="n">
        <v>23030</v>
      </c>
      <c r="M745" s="2" t="n">
        <v>1430</v>
      </c>
      <c r="N745" s="2" t="n">
        <v>62</v>
      </c>
      <c r="O745" s="2" t="n">
        <v>105</v>
      </c>
      <c r="P745" s="2" t="n">
        <v>92</v>
      </c>
      <c r="Q745" s="2" t="n">
        <v>622</v>
      </c>
      <c r="R745" s="2" t="n">
        <v>169</v>
      </c>
      <c r="S745" s="2" t="n">
        <v>16</v>
      </c>
      <c r="T745" s="2" t="s">
        <v>62</v>
      </c>
      <c r="U745" s="4" t="n">
        <f aca="false">(M745+N745+O745+P745)/L745</f>
        <v>0.0733391228831958</v>
      </c>
      <c r="V745" s="2" t="str">
        <f aca="false">IF(S745&lt;=5,"Late night (0-5)",IF(S745&lt;=11,"Morning (6-11)",IF(S745&lt;=17,"Afternoon (12-17)","Evening (18-23)")))</f>
        <v>Afternoon (12-17)</v>
      </c>
    </row>
    <row r="746" customFormat="false" ht="15" hidden="false" customHeight="false" outlineLevel="0" collapsed="false">
      <c r="A746" s="2" t="s">
        <v>1424</v>
      </c>
      <c r="B746" s="2" t="s">
        <v>57</v>
      </c>
      <c r="C746" s="2" t="s">
        <v>24</v>
      </c>
      <c r="D746" s="3" t="n">
        <v>45979</v>
      </c>
      <c r="E746" s="2" t="s">
        <v>1425</v>
      </c>
      <c r="F746" s="2" t="s">
        <v>32</v>
      </c>
      <c r="G746" s="2" t="n">
        <v>31021</v>
      </c>
      <c r="H746" s="2" t="n">
        <v>2</v>
      </c>
      <c r="I746" s="2" t="n">
        <v>169</v>
      </c>
      <c r="J746" s="2" t="n">
        <v>0</v>
      </c>
      <c r="K746" s="2" t="n">
        <v>21348</v>
      </c>
      <c r="L746" s="2" t="n">
        <v>13704</v>
      </c>
      <c r="M746" s="2" t="n">
        <v>1281</v>
      </c>
      <c r="N746" s="2" t="n">
        <v>52</v>
      </c>
      <c r="O746" s="2" t="n">
        <v>225</v>
      </c>
      <c r="P746" s="2" t="n">
        <v>101</v>
      </c>
      <c r="Q746" s="2" t="n">
        <v>387</v>
      </c>
      <c r="R746" s="2" t="n">
        <v>29</v>
      </c>
      <c r="S746" s="2" t="n">
        <v>15</v>
      </c>
      <c r="T746" s="2" t="s">
        <v>51</v>
      </c>
      <c r="U746" s="4" t="n">
        <f aca="false">(M746+N746+O746+P746)/L746</f>
        <v>0.121059544658494</v>
      </c>
      <c r="V746" s="2" t="str">
        <f aca="false">IF(S746&lt;=5,"Late night (0-5)",IF(S746&lt;=11,"Morning (6-11)",IF(S746&lt;=17,"Afternoon (12-17)","Evening (18-23)")))</f>
        <v>Afternoon (12-17)</v>
      </c>
    </row>
    <row r="747" customFormat="false" ht="15" hidden="false" customHeight="false" outlineLevel="0" collapsed="false">
      <c r="A747" s="2" t="s">
        <v>1426</v>
      </c>
      <c r="B747" s="2" t="s">
        <v>240</v>
      </c>
      <c r="C747" s="2" t="s">
        <v>41</v>
      </c>
      <c r="D747" s="3" t="n">
        <v>45711</v>
      </c>
      <c r="E747" s="2" t="s">
        <v>986</v>
      </c>
      <c r="F747" s="2" t="s">
        <v>26</v>
      </c>
      <c r="G747" s="2" t="n">
        <v>83197</v>
      </c>
      <c r="H747" s="2" t="n">
        <v>15</v>
      </c>
      <c r="I747" s="2" t="n">
        <v>308</v>
      </c>
      <c r="J747" s="2" t="n">
        <v>0</v>
      </c>
      <c r="K747" s="2" t="n">
        <v>175125</v>
      </c>
      <c r="L747" s="2" t="n">
        <v>108300</v>
      </c>
      <c r="M747" s="2" t="n">
        <v>5103</v>
      </c>
      <c r="N747" s="2" t="n">
        <v>289</v>
      </c>
      <c r="O747" s="2" t="n">
        <v>851</v>
      </c>
      <c r="P747" s="2" t="n">
        <v>1940</v>
      </c>
      <c r="Q747" s="2" t="n">
        <v>1756</v>
      </c>
      <c r="R747" s="2" t="n">
        <v>250</v>
      </c>
      <c r="S747" s="2" t="n">
        <v>23</v>
      </c>
      <c r="T747" s="2" t="s">
        <v>27</v>
      </c>
      <c r="U747" s="4" t="n">
        <f aca="false">(M747+N747+O747+P747)/L747</f>
        <v>0.0755586334256694</v>
      </c>
      <c r="V747" s="2" t="str">
        <f aca="false">IF(S747&lt;=5,"Late night (0-5)",IF(S747&lt;=11,"Morning (6-11)",IF(S747&lt;=17,"Afternoon (12-17)","Evening (18-23)")))</f>
        <v>Evening (18-23)</v>
      </c>
    </row>
    <row r="748" customFormat="false" ht="15" hidden="false" customHeight="false" outlineLevel="0" collapsed="false">
      <c r="A748" s="2" t="s">
        <v>1427</v>
      </c>
      <c r="B748" s="2" t="s">
        <v>319</v>
      </c>
      <c r="C748" s="2" t="s">
        <v>84</v>
      </c>
      <c r="D748" s="3" t="n">
        <v>45701</v>
      </c>
      <c r="E748" s="2" t="s">
        <v>1264</v>
      </c>
      <c r="F748" s="2" t="s">
        <v>38</v>
      </c>
      <c r="G748" s="2" t="n">
        <v>49810</v>
      </c>
      <c r="H748" s="2" t="n">
        <v>12</v>
      </c>
      <c r="I748" s="2" t="n">
        <v>196</v>
      </c>
      <c r="J748" s="2" t="n">
        <v>0</v>
      </c>
      <c r="K748" s="2" t="n">
        <v>74592</v>
      </c>
      <c r="L748" s="2" t="n">
        <v>56276</v>
      </c>
      <c r="M748" s="2" t="n">
        <v>3687</v>
      </c>
      <c r="N748" s="2" t="n">
        <v>79</v>
      </c>
      <c r="O748" s="2" t="n">
        <v>115</v>
      </c>
      <c r="P748" s="2" t="n">
        <v>969</v>
      </c>
      <c r="Q748" s="2" t="n">
        <v>346</v>
      </c>
      <c r="R748" s="2" t="n">
        <v>62</v>
      </c>
      <c r="S748" s="2" t="n">
        <v>9</v>
      </c>
      <c r="T748" s="2" t="s">
        <v>79</v>
      </c>
      <c r="U748" s="4" t="n">
        <f aca="false">(M748+N748+O748+P748)/L748</f>
        <v>0.0861823868078755</v>
      </c>
      <c r="V748" s="2" t="str">
        <f aca="false">IF(S748&lt;=5,"Late night (0-5)",IF(S748&lt;=11,"Morning (6-11)",IF(S748&lt;=17,"Afternoon (12-17)","Evening (18-23)")))</f>
        <v>Morning (6-11)</v>
      </c>
    </row>
    <row r="749" customFormat="false" ht="15" hidden="false" customHeight="false" outlineLevel="0" collapsed="false">
      <c r="A749" s="2" t="s">
        <v>1428</v>
      </c>
      <c r="B749" s="2" t="s">
        <v>103</v>
      </c>
      <c r="C749" s="2" t="s">
        <v>36</v>
      </c>
      <c r="D749" s="3" t="n">
        <v>45771</v>
      </c>
      <c r="E749" s="2" t="s">
        <v>1429</v>
      </c>
      <c r="F749" s="2" t="s">
        <v>38</v>
      </c>
      <c r="G749" s="2" t="n">
        <v>56979</v>
      </c>
      <c r="H749" s="2" t="n">
        <v>15</v>
      </c>
      <c r="I749" s="2" t="n">
        <v>261</v>
      </c>
      <c r="J749" s="2" t="n">
        <v>0</v>
      </c>
      <c r="K749" s="2" t="n">
        <v>45450</v>
      </c>
      <c r="L749" s="2" t="n">
        <v>30436</v>
      </c>
      <c r="M749" s="2" t="n">
        <v>1621</v>
      </c>
      <c r="N749" s="2" t="n">
        <v>127</v>
      </c>
      <c r="O749" s="2" t="n">
        <v>176</v>
      </c>
      <c r="P749" s="2" t="n">
        <v>256</v>
      </c>
      <c r="Q749" s="2" t="n">
        <v>465</v>
      </c>
      <c r="R749" s="2" t="n">
        <v>59</v>
      </c>
      <c r="S749" s="2" t="n">
        <v>6</v>
      </c>
      <c r="T749" s="2" t="s">
        <v>79</v>
      </c>
      <c r="U749" s="4" t="n">
        <f aca="false">(M749+N749+O749+P749)/L749</f>
        <v>0.0716257064003154</v>
      </c>
      <c r="V749" s="2" t="str">
        <f aca="false">IF(S749&lt;=5,"Late night (0-5)",IF(S749&lt;=11,"Morning (6-11)",IF(S749&lt;=17,"Afternoon (12-17)","Evening (18-23)")))</f>
        <v>Morning (6-11)</v>
      </c>
    </row>
    <row r="750" customFormat="false" ht="15" hidden="false" customHeight="false" outlineLevel="0" collapsed="false">
      <c r="A750" s="2" t="s">
        <v>1430</v>
      </c>
      <c r="B750" s="2" t="s">
        <v>23</v>
      </c>
      <c r="C750" s="2" t="s">
        <v>24</v>
      </c>
      <c r="D750" s="3" t="n">
        <v>45716</v>
      </c>
      <c r="E750" s="2" t="s">
        <v>1431</v>
      </c>
      <c r="F750" s="2" t="s">
        <v>26</v>
      </c>
      <c r="G750" s="2" t="n">
        <v>63447</v>
      </c>
      <c r="H750" s="2" t="n">
        <v>15</v>
      </c>
      <c r="I750" s="2" t="n">
        <v>10</v>
      </c>
      <c r="J750" s="2" t="n">
        <v>0</v>
      </c>
      <c r="K750" s="2" t="n">
        <v>106873</v>
      </c>
      <c r="L750" s="2" t="n">
        <v>67398</v>
      </c>
      <c r="M750" s="2" t="n">
        <v>5449</v>
      </c>
      <c r="N750" s="2" t="n">
        <v>186</v>
      </c>
      <c r="O750" s="2" t="n">
        <v>302</v>
      </c>
      <c r="P750" s="2" t="n">
        <v>397</v>
      </c>
      <c r="Q750" s="2" t="n">
        <v>416</v>
      </c>
      <c r="R750" s="2" t="n">
        <v>100</v>
      </c>
      <c r="S750" s="2" t="n">
        <v>18</v>
      </c>
      <c r="T750" s="2" t="s">
        <v>96</v>
      </c>
      <c r="U750" s="4" t="n">
        <f aca="false">(M750+N750+O750+P750)/L750</f>
        <v>0.0939790498234369</v>
      </c>
      <c r="V750" s="2" t="str">
        <f aca="false">IF(S750&lt;=5,"Late night (0-5)",IF(S750&lt;=11,"Morning (6-11)",IF(S750&lt;=17,"Afternoon (12-17)","Evening (18-23)")))</f>
        <v>Evening (18-23)</v>
      </c>
    </row>
    <row r="751" customFormat="false" ht="15" hidden="false" customHeight="false" outlineLevel="0" collapsed="false">
      <c r="A751" s="2" t="s">
        <v>1432</v>
      </c>
      <c r="B751" s="2" t="s">
        <v>103</v>
      </c>
      <c r="C751" s="2" t="s">
        <v>36</v>
      </c>
      <c r="D751" s="3" t="n">
        <v>45855</v>
      </c>
      <c r="E751" s="2" t="s">
        <v>616</v>
      </c>
      <c r="F751" s="2" t="s">
        <v>38</v>
      </c>
      <c r="G751" s="2" t="n">
        <v>56979</v>
      </c>
      <c r="H751" s="2" t="n">
        <v>6</v>
      </c>
      <c r="I751" s="2" t="n">
        <v>337</v>
      </c>
      <c r="J751" s="2" t="n">
        <v>0</v>
      </c>
      <c r="K751" s="2" t="n">
        <v>20724</v>
      </c>
      <c r="L751" s="2" t="n">
        <v>14449</v>
      </c>
      <c r="M751" s="2" t="n">
        <v>982</v>
      </c>
      <c r="N751" s="2" t="n">
        <v>32</v>
      </c>
      <c r="O751" s="2" t="n">
        <v>65</v>
      </c>
      <c r="P751" s="2" t="n">
        <v>174</v>
      </c>
      <c r="Q751" s="2" t="n">
        <v>97</v>
      </c>
      <c r="R751" s="2" t="n">
        <v>10</v>
      </c>
      <c r="S751" s="2" t="n">
        <v>23</v>
      </c>
      <c r="T751" s="2" t="s">
        <v>79</v>
      </c>
      <c r="U751" s="4" t="n">
        <f aca="false">(M751+N751+O751+P751)/L751</f>
        <v>0.0867188040694858</v>
      </c>
      <c r="V751" s="2" t="str">
        <f aca="false">IF(S751&lt;=5,"Late night (0-5)",IF(S751&lt;=11,"Morning (6-11)",IF(S751&lt;=17,"Afternoon (12-17)","Evening (18-23)")))</f>
        <v>Evening (18-23)</v>
      </c>
    </row>
    <row r="752" customFormat="false" ht="15" hidden="false" customHeight="false" outlineLevel="0" collapsed="false">
      <c r="A752" s="2" t="s">
        <v>1433</v>
      </c>
      <c r="B752" s="2" t="s">
        <v>74</v>
      </c>
      <c r="C752" s="2" t="s">
        <v>30</v>
      </c>
      <c r="D752" s="3" t="n">
        <v>45699</v>
      </c>
      <c r="E752" s="2" t="s">
        <v>1434</v>
      </c>
      <c r="F752" s="2" t="s">
        <v>50</v>
      </c>
      <c r="G752" s="2" t="n">
        <v>20432</v>
      </c>
      <c r="H752" s="2" t="n">
        <v>13</v>
      </c>
      <c r="I752" s="2" t="n">
        <v>57</v>
      </c>
      <c r="J752" s="2" t="n">
        <v>1</v>
      </c>
      <c r="K752" s="2" t="n">
        <v>8867</v>
      </c>
      <c r="L752" s="2" t="n">
        <v>6303</v>
      </c>
      <c r="M752" s="2" t="n">
        <v>472</v>
      </c>
      <c r="N752" s="2" t="n">
        <v>24</v>
      </c>
      <c r="O752" s="2" t="n">
        <v>20</v>
      </c>
      <c r="P752" s="2" t="n">
        <v>52</v>
      </c>
      <c r="Q752" s="2" t="n">
        <v>170</v>
      </c>
      <c r="R752" s="2" t="n">
        <v>10</v>
      </c>
      <c r="S752" s="2" t="n">
        <v>12</v>
      </c>
      <c r="T752" s="2" t="s">
        <v>51</v>
      </c>
      <c r="U752" s="4" t="n">
        <f aca="false">(M752+N752+O752+P752)/L752</f>
        <v>0.090115817864509</v>
      </c>
      <c r="V752" s="2" t="str">
        <f aca="false">IF(S752&lt;=5,"Late night (0-5)",IF(S752&lt;=11,"Morning (6-11)",IF(S752&lt;=17,"Afternoon (12-17)","Evening (18-23)")))</f>
        <v>Afternoon (12-17)</v>
      </c>
    </row>
    <row r="753" customFormat="false" ht="15" hidden="false" customHeight="false" outlineLevel="0" collapsed="false">
      <c r="A753" s="2" t="s">
        <v>1435</v>
      </c>
      <c r="B753" s="2" t="s">
        <v>35</v>
      </c>
      <c r="C753" s="2" t="s">
        <v>36</v>
      </c>
      <c r="D753" s="3" t="n">
        <v>45823</v>
      </c>
      <c r="E753" s="2" t="s">
        <v>1436</v>
      </c>
      <c r="F753" s="2" t="s">
        <v>32</v>
      </c>
      <c r="G753" s="2" t="n">
        <v>33933</v>
      </c>
      <c r="H753" s="2" t="n">
        <v>13</v>
      </c>
      <c r="I753" s="2" t="n">
        <v>353</v>
      </c>
      <c r="J753" s="2" t="n">
        <v>0</v>
      </c>
      <c r="K753" s="2" t="n">
        <v>155241</v>
      </c>
      <c r="L753" s="2" t="n">
        <v>96727</v>
      </c>
      <c r="M753" s="2" t="n">
        <v>6756</v>
      </c>
      <c r="N753" s="2" t="n">
        <v>476</v>
      </c>
      <c r="O753" s="2" t="n">
        <v>1347</v>
      </c>
      <c r="P753" s="2" t="n">
        <v>2016</v>
      </c>
      <c r="Q753" s="2" t="n">
        <v>2455</v>
      </c>
      <c r="R753" s="2" t="n">
        <v>566</v>
      </c>
      <c r="S753" s="2" t="n">
        <v>19</v>
      </c>
      <c r="T753" s="2" t="s">
        <v>27</v>
      </c>
      <c r="U753" s="4" t="n">
        <f aca="false">(M753+N753+O753+P753)/L753</f>
        <v>0.109535083275611</v>
      </c>
      <c r="V753" s="2" t="str">
        <f aca="false">IF(S753&lt;=5,"Late night (0-5)",IF(S753&lt;=11,"Morning (6-11)",IF(S753&lt;=17,"Afternoon (12-17)","Evening (18-23)")))</f>
        <v>Evening (18-23)</v>
      </c>
    </row>
    <row r="754" customFormat="false" ht="15" hidden="false" customHeight="false" outlineLevel="0" collapsed="false">
      <c r="A754" s="2" t="s">
        <v>1437</v>
      </c>
      <c r="B754" s="2" t="s">
        <v>459</v>
      </c>
      <c r="C754" s="2" t="s">
        <v>84</v>
      </c>
      <c r="D754" s="3" t="n">
        <v>45970</v>
      </c>
      <c r="E754" s="2" t="s">
        <v>1438</v>
      </c>
      <c r="F754" s="2" t="s">
        <v>38</v>
      </c>
      <c r="G754" s="2" t="n">
        <v>19744</v>
      </c>
      <c r="H754" s="2" t="n">
        <v>9</v>
      </c>
      <c r="I754" s="2" t="n">
        <v>238</v>
      </c>
      <c r="J754" s="2" t="n">
        <v>1</v>
      </c>
      <c r="K754" s="2" t="n">
        <v>20623</v>
      </c>
      <c r="L754" s="2" t="n">
        <v>14187</v>
      </c>
      <c r="M754" s="2" t="n">
        <v>921</v>
      </c>
      <c r="N754" s="2" t="n">
        <v>40</v>
      </c>
      <c r="O754" s="2" t="n">
        <v>150</v>
      </c>
      <c r="P754" s="2" t="n">
        <v>256</v>
      </c>
      <c r="Q754" s="2" t="n">
        <v>158</v>
      </c>
      <c r="R754" s="2" t="n">
        <v>36</v>
      </c>
      <c r="S754" s="2" t="n">
        <v>15</v>
      </c>
      <c r="T754" s="2" t="s">
        <v>27</v>
      </c>
      <c r="U754" s="4" t="n">
        <f aca="false">(M754+N754+O754+P754)/L754</f>
        <v>0.0963558187072672</v>
      </c>
      <c r="V754" s="2" t="str">
        <f aca="false">IF(S754&lt;=5,"Late night (0-5)",IF(S754&lt;=11,"Morning (6-11)",IF(S754&lt;=17,"Afternoon (12-17)","Evening (18-23)")))</f>
        <v>Afternoon (12-17)</v>
      </c>
    </row>
    <row r="755" customFormat="false" ht="15" hidden="false" customHeight="false" outlineLevel="0" collapsed="false">
      <c r="A755" s="2" t="s">
        <v>1439</v>
      </c>
      <c r="B755" s="2" t="s">
        <v>141</v>
      </c>
      <c r="C755" s="2" t="s">
        <v>48</v>
      </c>
      <c r="D755" s="3" t="n">
        <v>45904</v>
      </c>
      <c r="E755" s="2" t="s">
        <v>315</v>
      </c>
      <c r="F755" s="2" t="s">
        <v>38</v>
      </c>
      <c r="G755" s="2" t="n">
        <v>16119</v>
      </c>
      <c r="H755" s="2" t="n">
        <v>2</v>
      </c>
      <c r="I755" s="2" t="n">
        <v>245</v>
      </c>
      <c r="J755" s="2" t="n">
        <v>0</v>
      </c>
      <c r="K755" s="2" t="n">
        <v>9290</v>
      </c>
      <c r="L755" s="2" t="n">
        <v>7099</v>
      </c>
      <c r="M755" s="2" t="n">
        <v>499</v>
      </c>
      <c r="N755" s="2" t="n">
        <v>31</v>
      </c>
      <c r="O755" s="2" t="n">
        <v>40</v>
      </c>
      <c r="P755" s="2" t="n">
        <v>68</v>
      </c>
      <c r="Q755" s="2" t="n">
        <v>63</v>
      </c>
      <c r="R755" s="2" t="n">
        <v>12</v>
      </c>
      <c r="S755" s="2" t="n">
        <v>9</v>
      </c>
      <c r="T755" s="2" t="s">
        <v>79</v>
      </c>
      <c r="U755" s="4" t="n">
        <f aca="false">(M755+N755+O755+P755)/L755</f>
        <v>0.0898718129313988</v>
      </c>
      <c r="V755" s="2" t="str">
        <f aca="false">IF(S755&lt;=5,"Late night (0-5)",IF(S755&lt;=11,"Morning (6-11)",IF(S755&lt;=17,"Afternoon (12-17)","Evening (18-23)")))</f>
        <v>Morning (6-11)</v>
      </c>
    </row>
    <row r="756" customFormat="false" ht="15" hidden="false" customHeight="false" outlineLevel="0" collapsed="false">
      <c r="A756" s="2" t="s">
        <v>1440</v>
      </c>
      <c r="B756" s="2" t="s">
        <v>68</v>
      </c>
      <c r="C756" s="2" t="s">
        <v>54</v>
      </c>
      <c r="D756" s="3" t="n">
        <v>45922</v>
      </c>
      <c r="E756" s="2" t="s">
        <v>1441</v>
      </c>
      <c r="F756" s="2" t="s">
        <v>50</v>
      </c>
      <c r="G756" s="2" t="n">
        <v>35922</v>
      </c>
      <c r="H756" s="2" t="n">
        <v>12</v>
      </c>
      <c r="I756" s="2" t="n">
        <v>67</v>
      </c>
      <c r="J756" s="2" t="n">
        <v>1</v>
      </c>
      <c r="K756" s="2" t="n">
        <v>22493</v>
      </c>
      <c r="L756" s="2" t="n">
        <v>15170</v>
      </c>
      <c r="M756" s="2" t="n">
        <v>714</v>
      </c>
      <c r="N756" s="2" t="n">
        <v>51</v>
      </c>
      <c r="O756" s="2" t="n">
        <v>28</v>
      </c>
      <c r="P756" s="2" t="n">
        <v>91</v>
      </c>
      <c r="Q756" s="2" t="n">
        <v>279</v>
      </c>
      <c r="R756" s="2" t="n">
        <v>37</v>
      </c>
      <c r="S756" s="2" t="n">
        <v>1</v>
      </c>
      <c r="T756" s="2" t="s">
        <v>33</v>
      </c>
      <c r="U756" s="4" t="n">
        <f aca="false">(M756+N756+O756+P756)/L756</f>
        <v>0.0582729070533949</v>
      </c>
      <c r="V756" s="2" t="str">
        <f aca="false">IF(S756&lt;=5,"Late night (0-5)",IF(S756&lt;=11,"Morning (6-11)",IF(S756&lt;=17,"Afternoon (12-17)","Evening (18-23)")))</f>
        <v>Late night (0-5)</v>
      </c>
    </row>
    <row r="757" customFormat="false" ht="15" hidden="false" customHeight="false" outlineLevel="0" collapsed="false">
      <c r="A757" s="2" t="s">
        <v>1442</v>
      </c>
      <c r="B757" s="2" t="s">
        <v>247</v>
      </c>
      <c r="C757" s="2" t="s">
        <v>24</v>
      </c>
      <c r="D757" s="3" t="n">
        <v>45746</v>
      </c>
      <c r="E757" s="2" t="s">
        <v>1443</v>
      </c>
      <c r="F757" s="2" t="s">
        <v>32</v>
      </c>
      <c r="G757" s="2" t="n">
        <v>70847</v>
      </c>
      <c r="H757" s="2" t="n">
        <v>12</v>
      </c>
      <c r="I757" s="2" t="n">
        <v>160</v>
      </c>
      <c r="J757" s="2" t="n">
        <v>0</v>
      </c>
      <c r="K757" s="2" t="n">
        <v>201053</v>
      </c>
      <c r="L757" s="2" t="n">
        <v>129538</v>
      </c>
      <c r="M757" s="2" t="n">
        <v>10569</v>
      </c>
      <c r="N757" s="2" t="n">
        <v>561</v>
      </c>
      <c r="O757" s="2" t="n">
        <v>2113</v>
      </c>
      <c r="P757" s="2" t="n">
        <v>2145</v>
      </c>
      <c r="Q757" s="2" t="n">
        <v>785</v>
      </c>
      <c r="R757" s="2" t="n">
        <v>56</v>
      </c>
      <c r="S757" s="2" t="n">
        <v>7</v>
      </c>
      <c r="T757" s="2" t="s">
        <v>27</v>
      </c>
      <c r="U757" s="4" t="n">
        <f aca="false">(M757+N757+O757+P757)/L757</f>
        <v>0.118791397118992</v>
      </c>
      <c r="V757" s="2" t="str">
        <f aca="false">IF(S757&lt;=5,"Late night (0-5)",IF(S757&lt;=11,"Morning (6-11)",IF(S757&lt;=17,"Afternoon (12-17)","Evening (18-23)")))</f>
        <v>Morning (6-11)</v>
      </c>
    </row>
    <row r="758" customFormat="false" ht="15" hidden="false" customHeight="false" outlineLevel="0" collapsed="false">
      <c r="A758" s="2" t="s">
        <v>1444</v>
      </c>
      <c r="B758" s="2" t="s">
        <v>154</v>
      </c>
      <c r="C758" s="2" t="s">
        <v>41</v>
      </c>
      <c r="D758" s="3" t="n">
        <v>46020</v>
      </c>
      <c r="E758" s="2" t="s">
        <v>346</v>
      </c>
      <c r="F758" s="2" t="s">
        <v>26</v>
      </c>
      <c r="G758" s="2" t="n">
        <v>33644</v>
      </c>
      <c r="H758" s="2" t="n">
        <v>16</v>
      </c>
      <c r="I758" s="2" t="n">
        <v>267</v>
      </c>
      <c r="J758" s="2" t="n">
        <v>0</v>
      </c>
      <c r="K758" s="2" t="n">
        <v>62679</v>
      </c>
      <c r="L758" s="2" t="n">
        <v>35214</v>
      </c>
      <c r="M758" s="2" t="n">
        <v>2224</v>
      </c>
      <c r="N758" s="2" t="n">
        <v>80</v>
      </c>
      <c r="O758" s="2" t="n">
        <v>251</v>
      </c>
      <c r="P758" s="2" t="n">
        <v>184</v>
      </c>
      <c r="Q758" s="2" t="n">
        <v>883</v>
      </c>
      <c r="R758" s="2" t="n">
        <v>66</v>
      </c>
      <c r="S758" s="2" t="n">
        <v>5</v>
      </c>
      <c r="T758" s="2" t="s">
        <v>33</v>
      </c>
      <c r="U758" s="4" t="n">
        <f aca="false">(M758+N758+O758+P758)/L758</f>
        <v>0.0777815641506219</v>
      </c>
      <c r="V758" s="2" t="str">
        <f aca="false">IF(S758&lt;=5,"Late night (0-5)",IF(S758&lt;=11,"Morning (6-11)",IF(S758&lt;=17,"Afternoon (12-17)","Evening (18-23)")))</f>
        <v>Late night (0-5)</v>
      </c>
    </row>
    <row r="759" customFormat="false" ht="15" hidden="false" customHeight="false" outlineLevel="0" collapsed="false">
      <c r="A759" s="2" t="s">
        <v>1445</v>
      </c>
      <c r="B759" s="2" t="s">
        <v>409</v>
      </c>
      <c r="C759" s="2" t="s">
        <v>48</v>
      </c>
      <c r="D759" s="3" t="n">
        <v>45846</v>
      </c>
      <c r="E759" s="2" t="s">
        <v>1446</v>
      </c>
      <c r="F759" s="2" t="s">
        <v>32</v>
      </c>
      <c r="G759" s="2" t="n">
        <v>31525</v>
      </c>
      <c r="H759" s="2" t="n">
        <v>15</v>
      </c>
      <c r="I759" s="2" t="n">
        <v>345</v>
      </c>
      <c r="J759" s="2" t="n">
        <v>0</v>
      </c>
      <c r="K759" s="2" t="n">
        <v>36486</v>
      </c>
      <c r="L759" s="2" t="n">
        <v>28801</v>
      </c>
      <c r="M759" s="2" t="n">
        <v>1660</v>
      </c>
      <c r="N759" s="2" t="n">
        <v>124</v>
      </c>
      <c r="O759" s="2" t="n">
        <v>321</v>
      </c>
      <c r="P759" s="2" t="n">
        <v>376</v>
      </c>
      <c r="Q759" s="2" t="n">
        <v>630</v>
      </c>
      <c r="R759" s="2" t="n">
        <v>93</v>
      </c>
      <c r="S759" s="2" t="n">
        <v>17</v>
      </c>
      <c r="T759" s="2" t="s">
        <v>51</v>
      </c>
      <c r="U759" s="4" t="n">
        <f aca="false">(M759+N759+O759+P759)/L759</f>
        <v>0.0861428422624214</v>
      </c>
      <c r="V759" s="2" t="str">
        <f aca="false">IF(S759&lt;=5,"Late night (0-5)",IF(S759&lt;=11,"Morning (6-11)",IF(S759&lt;=17,"Afternoon (12-17)","Evening (18-23)")))</f>
        <v>Afternoon (12-17)</v>
      </c>
    </row>
    <row r="760" customFormat="false" ht="15" hidden="false" customHeight="false" outlineLevel="0" collapsed="false">
      <c r="A760" s="2" t="s">
        <v>1447</v>
      </c>
      <c r="B760" s="2" t="s">
        <v>324</v>
      </c>
      <c r="C760" s="2" t="s">
        <v>24</v>
      </c>
      <c r="D760" s="3" t="n">
        <v>45798</v>
      </c>
      <c r="E760" s="2" t="s">
        <v>691</v>
      </c>
      <c r="F760" s="2" t="s">
        <v>32</v>
      </c>
      <c r="G760" s="2" t="n">
        <v>3823</v>
      </c>
      <c r="H760" s="2" t="n">
        <v>10</v>
      </c>
      <c r="I760" s="2" t="n">
        <v>131</v>
      </c>
      <c r="J760" s="2" t="n">
        <v>0</v>
      </c>
      <c r="K760" s="2" t="n">
        <v>6600</v>
      </c>
      <c r="L760" s="2" t="n">
        <v>3838</v>
      </c>
      <c r="M760" s="2" t="n">
        <v>305</v>
      </c>
      <c r="N760" s="2" t="n">
        <v>21</v>
      </c>
      <c r="O760" s="2" t="n">
        <v>46</v>
      </c>
      <c r="P760" s="2" t="n">
        <v>80</v>
      </c>
      <c r="Q760" s="2" t="n">
        <v>105</v>
      </c>
      <c r="R760" s="2" t="n">
        <v>23</v>
      </c>
      <c r="S760" s="2" t="n">
        <v>11</v>
      </c>
      <c r="T760" s="2" t="s">
        <v>66</v>
      </c>
      <c r="U760" s="4" t="n">
        <f aca="false">(M760+N760+O760+P760)/L760</f>
        <v>0.117769671704013</v>
      </c>
      <c r="V760" s="2" t="str">
        <f aca="false">IF(S760&lt;=5,"Late night (0-5)",IF(S760&lt;=11,"Morning (6-11)",IF(S760&lt;=17,"Afternoon (12-17)","Evening (18-23)")))</f>
        <v>Morning (6-11)</v>
      </c>
    </row>
    <row r="761" customFormat="false" ht="15" hidden="false" customHeight="false" outlineLevel="0" collapsed="false">
      <c r="A761" s="2" t="s">
        <v>1448</v>
      </c>
      <c r="B761" s="2" t="s">
        <v>409</v>
      </c>
      <c r="C761" s="2" t="s">
        <v>48</v>
      </c>
      <c r="D761" s="3" t="n">
        <v>46006</v>
      </c>
      <c r="E761" s="2" t="s">
        <v>1449</v>
      </c>
      <c r="F761" s="2" t="s">
        <v>26</v>
      </c>
      <c r="G761" s="2" t="n">
        <v>31525</v>
      </c>
      <c r="H761" s="2" t="n">
        <v>9</v>
      </c>
      <c r="I761" s="2" t="n">
        <v>268</v>
      </c>
      <c r="J761" s="2" t="n">
        <v>0</v>
      </c>
      <c r="K761" s="2" t="n">
        <v>11014</v>
      </c>
      <c r="L761" s="2" t="n">
        <v>7165</v>
      </c>
      <c r="M761" s="2" t="n">
        <v>446</v>
      </c>
      <c r="N761" s="2" t="n">
        <v>25</v>
      </c>
      <c r="O761" s="2" t="n">
        <v>21</v>
      </c>
      <c r="P761" s="2" t="n">
        <v>73</v>
      </c>
      <c r="Q761" s="2" t="n">
        <v>130</v>
      </c>
      <c r="R761" s="2" t="n">
        <v>34</v>
      </c>
      <c r="S761" s="2" t="n">
        <v>3</v>
      </c>
      <c r="T761" s="2" t="s">
        <v>33</v>
      </c>
      <c r="U761" s="4" t="n">
        <f aca="false">(M761+N761+O761+P761)/L761</f>
        <v>0.0788555478018144</v>
      </c>
      <c r="V761" s="2" t="str">
        <f aca="false">IF(S761&lt;=5,"Late night (0-5)",IF(S761&lt;=11,"Morning (6-11)",IF(S761&lt;=17,"Afternoon (12-17)","Evening (18-23)")))</f>
        <v>Late night (0-5)</v>
      </c>
    </row>
    <row r="762" customFormat="false" ht="15" hidden="false" customHeight="false" outlineLevel="0" collapsed="false">
      <c r="A762" s="2" t="s">
        <v>1450</v>
      </c>
      <c r="B762" s="2" t="s">
        <v>181</v>
      </c>
      <c r="C762" s="2" t="s">
        <v>91</v>
      </c>
      <c r="D762" s="3" t="n">
        <v>45711</v>
      </c>
      <c r="E762" s="2" t="s">
        <v>1451</v>
      </c>
      <c r="F762" s="2" t="s">
        <v>38</v>
      </c>
      <c r="G762" s="2" t="n">
        <v>31658</v>
      </c>
      <c r="H762" s="2" t="n">
        <v>15</v>
      </c>
      <c r="I762" s="2" t="n">
        <v>202</v>
      </c>
      <c r="J762" s="2" t="n">
        <v>0</v>
      </c>
      <c r="K762" s="2" t="n">
        <v>11039</v>
      </c>
      <c r="L762" s="2" t="n">
        <v>10036</v>
      </c>
      <c r="M762" s="2" t="n">
        <v>793</v>
      </c>
      <c r="N762" s="2" t="n">
        <v>38</v>
      </c>
      <c r="O762" s="2" t="n">
        <v>33</v>
      </c>
      <c r="P762" s="2" t="n">
        <v>107</v>
      </c>
      <c r="Q762" s="2" t="n">
        <v>177</v>
      </c>
      <c r="R762" s="2" t="n">
        <v>14</v>
      </c>
      <c r="S762" s="2" t="n">
        <v>23</v>
      </c>
      <c r="T762" s="2" t="s">
        <v>27</v>
      </c>
      <c r="U762" s="4" t="n">
        <f aca="false">(M762+N762+O762+P762)/L762</f>
        <v>0.096751693901953</v>
      </c>
      <c r="V762" s="2" t="str">
        <f aca="false">IF(S762&lt;=5,"Late night (0-5)",IF(S762&lt;=11,"Morning (6-11)",IF(S762&lt;=17,"Afternoon (12-17)","Evening (18-23)")))</f>
        <v>Evening (18-23)</v>
      </c>
    </row>
    <row r="763" customFormat="false" ht="15" hidden="false" customHeight="false" outlineLevel="0" collapsed="false">
      <c r="A763" s="2" t="s">
        <v>1452</v>
      </c>
      <c r="B763" s="2" t="s">
        <v>60</v>
      </c>
      <c r="C763" s="2" t="s">
        <v>41</v>
      </c>
      <c r="D763" s="3" t="n">
        <v>45708</v>
      </c>
      <c r="E763" s="2" t="s">
        <v>1453</v>
      </c>
      <c r="F763" s="2" t="s">
        <v>50</v>
      </c>
      <c r="G763" s="2" t="n">
        <v>7512</v>
      </c>
      <c r="H763" s="2" t="n">
        <v>22</v>
      </c>
      <c r="I763" s="2" t="n">
        <v>128</v>
      </c>
      <c r="J763" s="2" t="n">
        <v>0</v>
      </c>
      <c r="K763" s="2" t="n">
        <v>8894</v>
      </c>
      <c r="L763" s="2" t="n">
        <v>7707</v>
      </c>
      <c r="M763" s="2" t="n">
        <v>430</v>
      </c>
      <c r="N763" s="2" t="n">
        <v>23</v>
      </c>
      <c r="O763" s="2" t="n">
        <v>62</v>
      </c>
      <c r="P763" s="2" t="n">
        <v>109</v>
      </c>
      <c r="Q763" s="2" t="n">
        <v>43</v>
      </c>
      <c r="R763" s="2" t="n">
        <v>10</v>
      </c>
      <c r="S763" s="2" t="n">
        <v>14</v>
      </c>
      <c r="T763" s="2" t="s">
        <v>79</v>
      </c>
      <c r="U763" s="4" t="n">
        <f aca="false">(M763+N763+O763+P763)/L763</f>
        <v>0.0809653561697158</v>
      </c>
      <c r="V763" s="2" t="str">
        <f aca="false">IF(S763&lt;=5,"Late night (0-5)",IF(S763&lt;=11,"Morning (6-11)",IF(S763&lt;=17,"Afternoon (12-17)","Evening (18-23)")))</f>
        <v>Afternoon (12-17)</v>
      </c>
    </row>
    <row r="764" customFormat="false" ht="15" hidden="false" customHeight="false" outlineLevel="0" collapsed="false">
      <c r="A764" s="2" t="s">
        <v>1454</v>
      </c>
      <c r="B764" s="2" t="s">
        <v>181</v>
      </c>
      <c r="C764" s="2" t="s">
        <v>91</v>
      </c>
      <c r="D764" s="3" t="n">
        <v>45797</v>
      </c>
      <c r="E764" s="2" t="s">
        <v>1455</v>
      </c>
      <c r="F764" s="2" t="s">
        <v>38</v>
      </c>
      <c r="G764" s="2" t="n">
        <v>31658</v>
      </c>
      <c r="H764" s="2" t="n">
        <v>0</v>
      </c>
      <c r="I764" s="2" t="n">
        <v>105</v>
      </c>
      <c r="J764" s="2" t="n">
        <v>0</v>
      </c>
      <c r="K764" s="2" t="n">
        <v>22879</v>
      </c>
      <c r="L764" s="2" t="n">
        <v>20396</v>
      </c>
      <c r="M764" s="2" t="n">
        <v>989</v>
      </c>
      <c r="N764" s="2" t="n">
        <v>31</v>
      </c>
      <c r="O764" s="2" t="n">
        <v>121</v>
      </c>
      <c r="P764" s="2" t="n">
        <v>276</v>
      </c>
      <c r="Q764" s="2" t="n">
        <v>545</v>
      </c>
      <c r="R764" s="2" t="n">
        <v>68</v>
      </c>
      <c r="S764" s="2" t="n">
        <v>21</v>
      </c>
      <c r="T764" s="2" t="s">
        <v>51</v>
      </c>
      <c r="U764" s="4" t="n">
        <f aca="false">(M764+N764+O764+P764)/L764</f>
        <v>0.0694744067464209</v>
      </c>
      <c r="V764" s="2" t="str">
        <f aca="false">IF(S764&lt;=5,"Late night (0-5)",IF(S764&lt;=11,"Morning (6-11)",IF(S764&lt;=17,"Afternoon (12-17)","Evening (18-23)")))</f>
        <v>Evening (18-23)</v>
      </c>
    </row>
    <row r="765" customFormat="false" ht="15" hidden="false" customHeight="false" outlineLevel="0" collapsed="false">
      <c r="A765" s="2" t="s">
        <v>1456</v>
      </c>
      <c r="B765" s="2" t="s">
        <v>247</v>
      </c>
      <c r="C765" s="2" t="s">
        <v>24</v>
      </c>
      <c r="D765" s="3" t="n">
        <v>45879</v>
      </c>
      <c r="E765" s="2" t="s">
        <v>1122</v>
      </c>
      <c r="F765" s="2" t="s">
        <v>32</v>
      </c>
      <c r="G765" s="2" t="n">
        <v>70847</v>
      </c>
      <c r="H765" s="2" t="n">
        <v>17</v>
      </c>
      <c r="I765" s="2" t="n">
        <v>105</v>
      </c>
      <c r="J765" s="2" t="n">
        <v>0</v>
      </c>
      <c r="K765" s="2" t="n">
        <v>210528</v>
      </c>
      <c r="L765" s="2" t="n">
        <v>117989</v>
      </c>
      <c r="M765" s="2" t="n">
        <v>5900</v>
      </c>
      <c r="N765" s="2" t="n">
        <v>136</v>
      </c>
      <c r="O765" s="2" t="n">
        <v>1534</v>
      </c>
      <c r="P765" s="2" t="n">
        <v>593</v>
      </c>
      <c r="Q765" s="2" t="n">
        <v>660</v>
      </c>
      <c r="R765" s="2" t="n">
        <v>123</v>
      </c>
      <c r="S765" s="2" t="n">
        <v>6</v>
      </c>
      <c r="T765" s="2" t="s">
        <v>27</v>
      </c>
      <c r="U765" s="4" t="n">
        <f aca="false">(M765+N765+O765+P765)/L765</f>
        <v>0.0691844154963598</v>
      </c>
      <c r="V765" s="2" t="str">
        <f aca="false">IF(S765&lt;=5,"Late night (0-5)",IF(S765&lt;=11,"Morning (6-11)",IF(S765&lt;=17,"Afternoon (12-17)","Evening (18-23)")))</f>
        <v>Morning (6-11)</v>
      </c>
    </row>
    <row r="766" customFormat="false" ht="15" hidden="false" customHeight="false" outlineLevel="0" collapsed="false">
      <c r="A766" s="2" t="s">
        <v>1457</v>
      </c>
      <c r="B766" s="2" t="s">
        <v>44</v>
      </c>
      <c r="C766" s="2" t="s">
        <v>36</v>
      </c>
      <c r="D766" s="3" t="n">
        <v>45825</v>
      </c>
      <c r="E766" s="2" t="s">
        <v>1458</v>
      </c>
      <c r="F766" s="2" t="s">
        <v>50</v>
      </c>
      <c r="G766" s="2" t="n">
        <v>6265</v>
      </c>
      <c r="H766" s="2" t="n">
        <v>1</v>
      </c>
      <c r="I766" s="2" t="n">
        <v>53</v>
      </c>
      <c r="J766" s="2" t="n">
        <v>0</v>
      </c>
      <c r="K766" s="2" t="n">
        <v>1325</v>
      </c>
      <c r="L766" s="2" t="n">
        <v>1124</v>
      </c>
      <c r="M766" s="2" t="n">
        <v>93</v>
      </c>
      <c r="N766" s="2" t="n">
        <v>2</v>
      </c>
      <c r="O766" s="2" t="n">
        <v>5</v>
      </c>
      <c r="P766" s="2" t="n">
        <v>24</v>
      </c>
      <c r="Q766" s="2" t="n">
        <v>12</v>
      </c>
      <c r="R766" s="2" t="n">
        <v>2</v>
      </c>
      <c r="S766" s="2" t="n">
        <v>6</v>
      </c>
      <c r="T766" s="2" t="s">
        <v>51</v>
      </c>
      <c r="U766" s="4" t="n">
        <f aca="false">(M766+N766+O766+P766)/L766</f>
        <v>0.110320284697509</v>
      </c>
      <c r="V766" s="2" t="str">
        <f aca="false">IF(S766&lt;=5,"Late night (0-5)",IF(S766&lt;=11,"Morning (6-11)",IF(S766&lt;=17,"Afternoon (12-17)","Evening (18-23)")))</f>
        <v>Morning (6-11)</v>
      </c>
    </row>
    <row r="767" customFormat="false" ht="15" hidden="false" customHeight="false" outlineLevel="0" collapsed="false">
      <c r="A767" s="2" t="s">
        <v>1459</v>
      </c>
      <c r="B767" s="2" t="s">
        <v>64</v>
      </c>
      <c r="C767" s="2" t="s">
        <v>36</v>
      </c>
      <c r="D767" s="3" t="n">
        <v>45993</v>
      </c>
      <c r="E767" s="2" t="s">
        <v>1460</v>
      </c>
      <c r="F767" s="2" t="s">
        <v>50</v>
      </c>
      <c r="G767" s="2" t="n">
        <v>43781</v>
      </c>
      <c r="H767" s="2" t="n">
        <v>7</v>
      </c>
      <c r="I767" s="2" t="n">
        <v>229</v>
      </c>
      <c r="J767" s="2" t="n">
        <v>1</v>
      </c>
      <c r="K767" s="2" t="n">
        <v>36659</v>
      </c>
      <c r="L767" s="2" t="n">
        <v>20818</v>
      </c>
      <c r="M767" s="2" t="n">
        <v>1377</v>
      </c>
      <c r="N767" s="2" t="n">
        <v>60</v>
      </c>
      <c r="O767" s="2" t="n">
        <v>170</v>
      </c>
      <c r="P767" s="2" t="n">
        <v>373</v>
      </c>
      <c r="Q767" s="2" t="n">
        <v>579</v>
      </c>
      <c r="R767" s="2" t="n">
        <v>86</v>
      </c>
      <c r="S767" s="2" t="n">
        <v>23</v>
      </c>
      <c r="T767" s="2" t="s">
        <v>51</v>
      </c>
      <c r="U767" s="4" t="n">
        <f aca="false">(M767+N767+O767+P767)/L767</f>
        <v>0.0951100009607071</v>
      </c>
      <c r="V767" s="2" t="str">
        <f aca="false">IF(S767&lt;=5,"Late night (0-5)",IF(S767&lt;=11,"Morning (6-11)",IF(S767&lt;=17,"Afternoon (12-17)","Evening (18-23)")))</f>
        <v>Evening (18-23)</v>
      </c>
    </row>
    <row r="768" customFormat="false" ht="15" hidden="false" customHeight="false" outlineLevel="0" collapsed="false">
      <c r="A768" s="2" t="s">
        <v>1461</v>
      </c>
      <c r="B768" s="2" t="s">
        <v>227</v>
      </c>
      <c r="C768" s="2" t="s">
        <v>54</v>
      </c>
      <c r="D768" s="3" t="n">
        <v>45965</v>
      </c>
      <c r="E768" s="2" t="s">
        <v>1462</v>
      </c>
      <c r="F768" s="2" t="s">
        <v>32</v>
      </c>
      <c r="G768" s="2" t="n">
        <v>11796</v>
      </c>
      <c r="H768" s="2" t="n">
        <v>8</v>
      </c>
      <c r="I768" s="2" t="n">
        <v>254</v>
      </c>
      <c r="J768" s="2" t="n">
        <v>0</v>
      </c>
      <c r="K768" s="2" t="n">
        <v>15832</v>
      </c>
      <c r="L768" s="2" t="n">
        <v>13149</v>
      </c>
      <c r="M768" s="2" t="n">
        <v>908</v>
      </c>
      <c r="N768" s="2" t="n">
        <v>72</v>
      </c>
      <c r="O768" s="2" t="n">
        <v>158</v>
      </c>
      <c r="P768" s="2" t="n">
        <v>158</v>
      </c>
      <c r="Q768" s="2" t="n">
        <v>249</v>
      </c>
      <c r="R768" s="2" t="n">
        <v>24</v>
      </c>
      <c r="S768" s="2" t="n">
        <v>21</v>
      </c>
      <c r="T768" s="2" t="s">
        <v>51</v>
      </c>
      <c r="U768" s="4" t="n">
        <f aca="false">(M768+N768+O768+P768)/L768</f>
        <v>0.0985626283367557</v>
      </c>
      <c r="V768" s="2" t="str">
        <f aca="false">IF(S768&lt;=5,"Late night (0-5)",IF(S768&lt;=11,"Morning (6-11)",IF(S768&lt;=17,"Afternoon (12-17)","Evening (18-23)")))</f>
        <v>Evening (18-23)</v>
      </c>
    </row>
    <row r="769" customFormat="false" ht="15" hidden="false" customHeight="false" outlineLevel="0" collapsed="false">
      <c r="A769" s="2" t="s">
        <v>1463</v>
      </c>
      <c r="B769" s="2" t="s">
        <v>371</v>
      </c>
      <c r="C769" s="2" t="s">
        <v>48</v>
      </c>
      <c r="D769" s="3" t="n">
        <v>45810</v>
      </c>
      <c r="E769" s="2" t="s">
        <v>1464</v>
      </c>
      <c r="F769" s="2" t="s">
        <v>50</v>
      </c>
      <c r="G769" s="2" t="n">
        <v>42479</v>
      </c>
      <c r="H769" s="2" t="n">
        <v>13</v>
      </c>
      <c r="I769" s="2" t="n">
        <v>134</v>
      </c>
      <c r="J769" s="2" t="n">
        <v>1</v>
      </c>
      <c r="K769" s="2" t="n">
        <v>48853</v>
      </c>
      <c r="L769" s="2" t="n">
        <v>39006</v>
      </c>
      <c r="M769" s="2" t="n">
        <v>1419</v>
      </c>
      <c r="N769" s="2" t="n">
        <v>111</v>
      </c>
      <c r="O769" s="2" t="n">
        <v>251</v>
      </c>
      <c r="P769" s="2" t="n">
        <v>178</v>
      </c>
      <c r="Q769" s="2" t="n">
        <v>853</v>
      </c>
      <c r="R769" s="2" t="n">
        <v>142</v>
      </c>
      <c r="S769" s="2" t="n">
        <v>23</v>
      </c>
      <c r="T769" s="2" t="s">
        <v>33</v>
      </c>
      <c r="U769" s="4" t="n">
        <f aca="false">(M769+N769+O769+P769)/L769</f>
        <v>0.0502230426088294</v>
      </c>
      <c r="V769" s="2" t="str">
        <f aca="false">IF(S769&lt;=5,"Late night (0-5)",IF(S769&lt;=11,"Morning (6-11)",IF(S769&lt;=17,"Afternoon (12-17)","Evening (18-23)")))</f>
        <v>Evening (18-23)</v>
      </c>
    </row>
    <row r="770" customFormat="false" ht="15" hidden="false" customHeight="false" outlineLevel="0" collapsed="false">
      <c r="A770" s="2" t="s">
        <v>1465</v>
      </c>
      <c r="B770" s="2" t="s">
        <v>29</v>
      </c>
      <c r="C770" s="2" t="s">
        <v>30</v>
      </c>
      <c r="D770" s="3" t="n">
        <v>45998</v>
      </c>
      <c r="E770" s="2" t="s">
        <v>1466</v>
      </c>
      <c r="F770" s="2" t="s">
        <v>50</v>
      </c>
      <c r="G770" s="2" t="n">
        <v>11612</v>
      </c>
      <c r="H770" s="2" t="n">
        <v>14</v>
      </c>
      <c r="I770" s="2" t="n">
        <v>170</v>
      </c>
      <c r="J770" s="2" t="n">
        <v>0</v>
      </c>
      <c r="K770" s="2" t="n">
        <v>13027</v>
      </c>
      <c r="L770" s="2" t="n">
        <v>9193</v>
      </c>
      <c r="M770" s="2" t="n">
        <v>748</v>
      </c>
      <c r="N770" s="2" t="n">
        <v>47</v>
      </c>
      <c r="O770" s="2" t="n">
        <v>82</v>
      </c>
      <c r="P770" s="2" t="n">
        <v>83</v>
      </c>
      <c r="Q770" s="2" t="n">
        <v>213</v>
      </c>
      <c r="R770" s="2" t="n">
        <v>56</v>
      </c>
      <c r="S770" s="2" t="n">
        <v>13</v>
      </c>
      <c r="T770" s="2" t="s">
        <v>27</v>
      </c>
      <c r="U770" s="4" t="n">
        <f aca="false">(M770+N770+O770+P770)/L770</f>
        <v>0.104427281627325</v>
      </c>
      <c r="V770" s="2" t="str">
        <f aca="false">IF(S770&lt;=5,"Late night (0-5)",IF(S770&lt;=11,"Morning (6-11)",IF(S770&lt;=17,"Afternoon (12-17)","Evening (18-23)")))</f>
        <v>Afternoon (12-17)</v>
      </c>
    </row>
    <row r="771" customFormat="false" ht="15" hidden="false" customHeight="false" outlineLevel="0" collapsed="false">
      <c r="A771" s="2" t="s">
        <v>1467</v>
      </c>
      <c r="B771" s="2" t="s">
        <v>390</v>
      </c>
      <c r="C771" s="2" t="s">
        <v>36</v>
      </c>
      <c r="D771" s="3" t="n">
        <v>46021</v>
      </c>
      <c r="E771" s="2" t="s">
        <v>1468</v>
      </c>
      <c r="F771" s="2" t="s">
        <v>38</v>
      </c>
      <c r="G771" s="2" t="n">
        <v>30232</v>
      </c>
      <c r="H771" s="2" t="n">
        <v>15</v>
      </c>
      <c r="I771" s="2" t="n">
        <v>236</v>
      </c>
      <c r="J771" s="2" t="n">
        <v>0</v>
      </c>
      <c r="K771" s="2" t="n">
        <v>4986</v>
      </c>
      <c r="L771" s="2" t="n">
        <v>4294</v>
      </c>
      <c r="M771" s="2" t="n">
        <v>382</v>
      </c>
      <c r="N771" s="2" t="n">
        <v>13</v>
      </c>
      <c r="O771" s="2" t="n">
        <v>44</v>
      </c>
      <c r="P771" s="2" t="n">
        <v>82</v>
      </c>
      <c r="Q771" s="2" t="n">
        <v>33</v>
      </c>
      <c r="R771" s="2" t="n">
        <v>7</v>
      </c>
      <c r="S771" s="2" t="n">
        <v>1</v>
      </c>
      <c r="T771" s="2" t="s">
        <v>51</v>
      </c>
      <c r="U771" s="4" t="n">
        <f aca="false">(M771+N771+O771+P771)/L771</f>
        <v>0.121332091290172</v>
      </c>
      <c r="V771" s="2" t="str">
        <f aca="false">IF(S771&lt;=5,"Late night (0-5)",IF(S771&lt;=11,"Morning (6-11)",IF(S771&lt;=17,"Afternoon (12-17)","Evening (18-23)")))</f>
        <v>Late night (0-5)</v>
      </c>
    </row>
    <row r="772" customFormat="false" ht="15" hidden="false" customHeight="false" outlineLevel="0" collapsed="false">
      <c r="A772" s="2" t="s">
        <v>1469</v>
      </c>
      <c r="B772" s="2" t="s">
        <v>77</v>
      </c>
      <c r="C772" s="2" t="s">
        <v>30</v>
      </c>
      <c r="D772" s="3" t="n">
        <v>45851</v>
      </c>
      <c r="E772" s="2" t="s">
        <v>236</v>
      </c>
      <c r="F772" s="2" t="s">
        <v>32</v>
      </c>
      <c r="G772" s="2" t="n">
        <v>17548</v>
      </c>
      <c r="H772" s="2" t="n">
        <v>18</v>
      </c>
      <c r="I772" s="2" t="n">
        <v>207</v>
      </c>
      <c r="J772" s="2" t="n">
        <v>0</v>
      </c>
      <c r="K772" s="2" t="n">
        <v>71354</v>
      </c>
      <c r="L772" s="2" t="n">
        <v>55930</v>
      </c>
      <c r="M772" s="2" t="n">
        <v>4127</v>
      </c>
      <c r="N772" s="2" t="n">
        <v>180</v>
      </c>
      <c r="O772" s="2" t="n">
        <v>1117</v>
      </c>
      <c r="P772" s="2" t="n">
        <v>791</v>
      </c>
      <c r="Q772" s="2" t="n">
        <v>827</v>
      </c>
      <c r="R772" s="2" t="n">
        <v>144</v>
      </c>
      <c r="S772" s="2" t="n">
        <v>23</v>
      </c>
      <c r="T772" s="2" t="s">
        <v>27</v>
      </c>
      <c r="U772" s="4" t="n">
        <f aca="false">(M772+N772+O772+P772)/L772</f>
        <v>0.111121044162346</v>
      </c>
      <c r="V772" s="2" t="str">
        <f aca="false">IF(S772&lt;=5,"Late night (0-5)",IF(S772&lt;=11,"Morning (6-11)",IF(S772&lt;=17,"Afternoon (12-17)","Evening (18-23)")))</f>
        <v>Evening (18-23)</v>
      </c>
    </row>
    <row r="773" customFormat="false" ht="15" hidden="false" customHeight="false" outlineLevel="0" collapsed="false">
      <c r="A773" s="2" t="s">
        <v>1470</v>
      </c>
      <c r="B773" s="2" t="s">
        <v>220</v>
      </c>
      <c r="C773" s="2" t="s">
        <v>48</v>
      </c>
      <c r="D773" s="3" t="n">
        <v>45764</v>
      </c>
      <c r="E773" s="2" t="s">
        <v>482</v>
      </c>
      <c r="F773" s="2" t="s">
        <v>26</v>
      </c>
      <c r="G773" s="2" t="n">
        <v>18917</v>
      </c>
      <c r="H773" s="2" t="n">
        <v>7</v>
      </c>
      <c r="I773" s="2" t="n">
        <v>224</v>
      </c>
      <c r="J773" s="2" t="n">
        <v>0</v>
      </c>
      <c r="K773" s="2" t="n">
        <v>9415</v>
      </c>
      <c r="L773" s="2" t="n">
        <v>7307</v>
      </c>
      <c r="M773" s="2" t="n">
        <v>505</v>
      </c>
      <c r="N773" s="2" t="n">
        <v>14</v>
      </c>
      <c r="O773" s="2" t="n">
        <v>57</v>
      </c>
      <c r="P773" s="2" t="n">
        <v>35</v>
      </c>
      <c r="Q773" s="2" t="n">
        <v>71</v>
      </c>
      <c r="R773" s="2" t="n">
        <v>14</v>
      </c>
      <c r="S773" s="2" t="n">
        <v>14</v>
      </c>
      <c r="T773" s="2" t="s">
        <v>79</v>
      </c>
      <c r="U773" s="4" t="n">
        <f aca="false">(M773+N773+O773+P773)/L773</f>
        <v>0.0836184480635008</v>
      </c>
      <c r="V773" s="2" t="str">
        <f aca="false">IF(S773&lt;=5,"Late night (0-5)",IF(S773&lt;=11,"Morning (6-11)",IF(S773&lt;=17,"Afternoon (12-17)","Evening (18-23)")))</f>
        <v>Afternoon (12-17)</v>
      </c>
    </row>
    <row r="774" customFormat="false" ht="15" hidden="false" customHeight="false" outlineLevel="0" collapsed="false">
      <c r="A774" s="2" t="s">
        <v>1471</v>
      </c>
      <c r="B774" s="2" t="s">
        <v>135</v>
      </c>
      <c r="C774" s="2" t="s">
        <v>36</v>
      </c>
      <c r="D774" s="3" t="n">
        <v>45847</v>
      </c>
      <c r="E774" s="2" t="s">
        <v>1472</v>
      </c>
      <c r="F774" s="2" t="s">
        <v>32</v>
      </c>
      <c r="G774" s="2" t="n">
        <v>45812</v>
      </c>
      <c r="H774" s="2" t="n">
        <v>25</v>
      </c>
      <c r="I774" s="2" t="n">
        <v>152</v>
      </c>
      <c r="J774" s="2" t="n">
        <v>0</v>
      </c>
      <c r="K774" s="2" t="n">
        <v>44182</v>
      </c>
      <c r="L774" s="2" t="n">
        <v>28749</v>
      </c>
      <c r="M774" s="2" t="n">
        <v>1291</v>
      </c>
      <c r="N774" s="2" t="n">
        <v>79</v>
      </c>
      <c r="O774" s="2" t="n">
        <v>150</v>
      </c>
      <c r="P774" s="2" t="n">
        <v>232</v>
      </c>
      <c r="Q774" s="2" t="n">
        <v>829</v>
      </c>
      <c r="R774" s="2" t="n">
        <v>221</v>
      </c>
      <c r="S774" s="2" t="n">
        <v>21</v>
      </c>
      <c r="T774" s="2" t="s">
        <v>66</v>
      </c>
      <c r="U774" s="4" t="n">
        <f aca="false">(M774+N774+O774+P774)/L774</f>
        <v>0.0609412501304393</v>
      </c>
      <c r="V774" s="2" t="str">
        <f aca="false">IF(S774&lt;=5,"Late night (0-5)",IF(S774&lt;=11,"Morning (6-11)",IF(S774&lt;=17,"Afternoon (12-17)","Evening (18-23)")))</f>
        <v>Evening (18-23)</v>
      </c>
    </row>
    <row r="775" customFormat="false" ht="15" hidden="false" customHeight="false" outlineLevel="0" collapsed="false">
      <c r="A775" s="2" t="s">
        <v>1473</v>
      </c>
      <c r="B775" s="2" t="s">
        <v>68</v>
      </c>
      <c r="C775" s="2" t="s">
        <v>54</v>
      </c>
      <c r="D775" s="3" t="n">
        <v>45735</v>
      </c>
      <c r="E775" s="2" t="s">
        <v>1474</v>
      </c>
      <c r="F775" s="2" t="s">
        <v>50</v>
      </c>
      <c r="G775" s="2" t="n">
        <v>35922</v>
      </c>
      <c r="H775" s="2" t="n">
        <v>6</v>
      </c>
      <c r="I775" s="2" t="n">
        <v>108</v>
      </c>
      <c r="J775" s="2" t="n">
        <v>1</v>
      </c>
      <c r="K775" s="2" t="n">
        <v>24129</v>
      </c>
      <c r="L775" s="2" t="n">
        <v>20938</v>
      </c>
      <c r="M775" s="2" t="n">
        <v>641</v>
      </c>
      <c r="N775" s="2" t="n">
        <v>18</v>
      </c>
      <c r="O775" s="2" t="n">
        <v>89</v>
      </c>
      <c r="P775" s="2" t="n">
        <v>63</v>
      </c>
      <c r="Q775" s="2" t="n">
        <v>302</v>
      </c>
      <c r="R775" s="2" t="n">
        <v>68</v>
      </c>
      <c r="S775" s="2" t="n">
        <v>8</v>
      </c>
      <c r="T775" s="2" t="s">
        <v>66</v>
      </c>
      <c r="U775" s="4" t="n">
        <f aca="false">(M775+N775+O775+P775)/L775</f>
        <v>0.0387334033814118</v>
      </c>
      <c r="V775" s="2" t="str">
        <f aca="false">IF(S775&lt;=5,"Late night (0-5)",IF(S775&lt;=11,"Morning (6-11)",IF(S775&lt;=17,"Afternoon (12-17)","Evening (18-23)")))</f>
        <v>Morning (6-11)</v>
      </c>
    </row>
    <row r="776" customFormat="false" ht="15" hidden="false" customHeight="false" outlineLevel="0" collapsed="false">
      <c r="A776" s="2" t="s">
        <v>1475</v>
      </c>
      <c r="B776" s="2" t="s">
        <v>71</v>
      </c>
      <c r="C776" s="2" t="s">
        <v>48</v>
      </c>
      <c r="D776" s="3" t="n">
        <v>45688</v>
      </c>
      <c r="E776" s="2" t="s">
        <v>1476</v>
      </c>
      <c r="F776" s="2" t="s">
        <v>32</v>
      </c>
      <c r="G776" s="2" t="n">
        <v>7316</v>
      </c>
      <c r="H776" s="2" t="n">
        <v>15</v>
      </c>
      <c r="I776" s="2" t="n">
        <v>356</v>
      </c>
      <c r="J776" s="2" t="n">
        <v>1</v>
      </c>
      <c r="K776" s="2" t="n">
        <v>33506</v>
      </c>
      <c r="L776" s="2" t="n">
        <v>26807</v>
      </c>
      <c r="M776" s="2" t="n">
        <v>2097</v>
      </c>
      <c r="N776" s="2" t="n">
        <v>57</v>
      </c>
      <c r="O776" s="2" t="n">
        <v>148</v>
      </c>
      <c r="P776" s="2" t="n">
        <v>537</v>
      </c>
      <c r="Q776" s="2" t="n">
        <v>213</v>
      </c>
      <c r="R776" s="2" t="n">
        <v>43</v>
      </c>
      <c r="S776" s="2" t="n">
        <v>22</v>
      </c>
      <c r="T776" s="2" t="s">
        <v>96</v>
      </c>
      <c r="U776" s="4" t="n">
        <f aca="false">(M776+N776+O776+P776)/L776</f>
        <v>0.105905174021711</v>
      </c>
      <c r="V776" s="2" t="str">
        <f aca="false">IF(S776&lt;=5,"Late night (0-5)",IF(S776&lt;=11,"Morning (6-11)",IF(S776&lt;=17,"Afternoon (12-17)","Evening (18-23)")))</f>
        <v>Evening (18-23)</v>
      </c>
    </row>
    <row r="777" customFormat="false" ht="15" hidden="false" customHeight="false" outlineLevel="0" collapsed="false">
      <c r="A777" s="2" t="s">
        <v>1477</v>
      </c>
      <c r="B777" s="2" t="s">
        <v>129</v>
      </c>
      <c r="C777" s="2" t="s">
        <v>54</v>
      </c>
      <c r="D777" s="3" t="n">
        <v>45967</v>
      </c>
      <c r="E777" s="2" t="s">
        <v>1434</v>
      </c>
      <c r="F777" s="2" t="s">
        <v>26</v>
      </c>
      <c r="G777" s="2" t="n">
        <v>10312</v>
      </c>
      <c r="H777" s="2" t="n">
        <v>7</v>
      </c>
      <c r="I777" s="2" t="n">
        <v>253</v>
      </c>
      <c r="J777" s="2" t="n">
        <v>0</v>
      </c>
      <c r="K777" s="2" t="n">
        <v>16488</v>
      </c>
      <c r="L777" s="2" t="n">
        <v>10814</v>
      </c>
      <c r="M777" s="2" t="n">
        <v>399</v>
      </c>
      <c r="N777" s="2" t="n">
        <v>12</v>
      </c>
      <c r="O777" s="2" t="n">
        <v>66</v>
      </c>
      <c r="P777" s="2" t="n">
        <v>60</v>
      </c>
      <c r="Q777" s="2" t="n">
        <v>253</v>
      </c>
      <c r="R777" s="2" t="n">
        <v>29</v>
      </c>
      <c r="S777" s="2" t="n">
        <v>12</v>
      </c>
      <c r="T777" s="2" t="s">
        <v>79</v>
      </c>
      <c r="U777" s="4" t="n">
        <f aca="false">(M777+N777+O777+P777)/L777</f>
        <v>0.0496578509339745</v>
      </c>
      <c r="V777" s="2" t="str">
        <f aca="false">IF(S777&lt;=5,"Late night (0-5)",IF(S777&lt;=11,"Morning (6-11)",IF(S777&lt;=17,"Afternoon (12-17)","Evening (18-23)")))</f>
        <v>Afternoon (12-17)</v>
      </c>
    </row>
    <row r="778" customFormat="false" ht="15" hidden="false" customHeight="false" outlineLevel="0" collapsed="false">
      <c r="A778" s="2" t="s">
        <v>1478</v>
      </c>
      <c r="B778" s="2" t="s">
        <v>90</v>
      </c>
      <c r="C778" s="2" t="s">
        <v>91</v>
      </c>
      <c r="D778" s="3" t="n">
        <v>45760</v>
      </c>
      <c r="E778" s="2" t="s">
        <v>1479</v>
      </c>
      <c r="F778" s="2" t="s">
        <v>50</v>
      </c>
      <c r="G778" s="2" t="n">
        <v>54788</v>
      </c>
      <c r="H778" s="2" t="n">
        <v>13</v>
      </c>
      <c r="I778" s="2" t="n">
        <v>94</v>
      </c>
      <c r="J778" s="2" t="n">
        <v>0</v>
      </c>
      <c r="K778" s="2" t="n">
        <v>41967</v>
      </c>
      <c r="L778" s="2" t="n">
        <v>31117</v>
      </c>
      <c r="M778" s="2" t="n">
        <v>1699</v>
      </c>
      <c r="N778" s="2" t="n">
        <v>51</v>
      </c>
      <c r="O778" s="2" t="n">
        <v>264</v>
      </c>
      <c r="P778" s="2" t="n">
        <v>418</v>
      </c>
      <c r="Q778" s="2" t="n">
        <v>261</v>
      </c>
      <c r="R778" s="2" t="n">
        <v>38</v>
      </c>
      <c r="S778" s="2" t="n">
        <v>15</v>
      </c>
      <c r="T778" s="2" t="s">
        <v>27</v>
      </c>
      <c r="U778" s="4" t="n">
        <f aca="false">(M778+N778+O778+P778)/L778</f>
        <v>0.0781566346370151</v>
      </c>
      <c r="V778" s="2" t="str">
        <f aca="false">IF(S778&lt;=5,"Late night (0-5)",IF(S778&lt;=11,"Morning (6-11)",IF(S778&lt;=17,"Afternoon (12-17)","Evening (18-23)")))</f>
        <v>Afternoon (12-17)</v>
      </c>
    </row>
    <row r="779" customFormat="false" ht="15" hidden="false" customHeight="false" outlineLevel="0" collapsed="false">
      <c r="A779" s="2" t="s">
        <v>1480</v>
      </c>
      <c r="B779" s="2" t="s">
        <v>77</v>
      </c>
      <c r="C779" s="2" t="s">
        <v>30</v>
      </c>
      <c r="D779" s="3" t="n">
        <v>45794</v>
      </c>
      <c r="E779" s="2" t="s">
        <v>1481</v>
      </c>
      <c r="F779" s="2" t="s">
        <v>38</v>
      </c>
      <c r="G779" s="2" t="n">
        <v>17548</v>
      </c>
      <c r="H779" s="2" t="n">
        <v>19</v>
      </c>
      <c r="I779" s="2" t="n">
        <v>189</v>
      </c>
      <c r="J779" s="2" t="n">
        <v>1</v>
      </c>
      <c r="K779" s="2" t="n">
        <v>19233</v>
      </c>
      <c r="L779" s="2" t="n">
        <v>11770</v>
      </c>
      <c r="M779" s="2" t="n">
        <v>523</v>
      </c>
      <c r="N779" s="2" t="n">
        <v>15</v>
      </c>
      <c r="O779" s="2" t="n">
        <v>43</v>
      </c>
      <c r="P779" s="2" t="n">
        <v>78</v>
      </c>
      <c r="Q779" s="2" t="n">
        <v>131</v>
      </c>
      <c r="R779" s="2" t="n">
        <v>39</v>
      </c>
      <c r="S779" s="2" t="n">
        <v>13</v>
      </c>
      <c r="T779" s="2" t="s">
        <v>62</v>
      </c>
      <c r="U779" s="4" t="n">
        <f aca="false">(M779+N779+O779+P779)/L779</f>
        <v>0.0559898045879354</v>
      </c>
      <c r="V779" s="2" t="str">
        <f aca="false">IF(S779&lt;=5,"Late night (0-5)",IF(S779&lt;=11,"Morning (6-11)",IF(S779&lt;=17,"Afternoon (12-17)","Evening (18-23)")))</f>
        <v>Afternoon (12-17)</v>
      </c>
    </row>
    <row r="780" customFormat="false" ht="15" hidden="false" customHeight="false" outlineLevel="0" collapsed="false">
      <c r="A780" s="2" t="s">
        <v>1482</v>
      </c>
      <c r="B780" s="2" t="s">
        <v>206</v>
      </c>
      <c r="C780" s="2" t="s">
        <v>48</v>
      </c>
      <c r="D780" s="3" t="n">
        <v>46015</v>
      </c>
      <c r="E780" s="2" t="s">
        <v>1483</v>
      </c>
      <c r="F780" s="2" t="s">
        <v>32</v>
      </c>
      <c r="G780" s="2" t="n">
        <v>42937</v>
      </c>
      <c r="H780" s="2" t="n">
        <v>2</v>
      </c>
      <c r="I780" s="2" t="n">
        <v>115</v>
      </c>
      <c r="J780" s="2" t="n">
        <v>0</v>
      </c>
      <c r="K780" s="2" t="n">
        <v>46519</v>
      </c>
      <c r="L780" s="2" t="n">
        <v>35108</v>
      </c>
      <c r="M780" s="2" t="n">
        <v>3082</v>
      </c>
      <c r="N780" s="2" t="n">
        <v>240</v>
      </c>
      <c r="O780" s="2" t="n">
        <v>419</v>
      </c>
      <c r="P780" s="2" t="n">
        <v>923</v>
      </c>
      <c r="Q780" s="2" t="n">
        <v>735</v>
      </c>
      <c r="R780" s="2" t="n">
        <v>174</v>
      </c>
      <c r="S780" s="2" t="n">
        <v>17</v>
      </c>
      <c r="T780" s="2" t="s">
        <v>66</v>
      </c>
      <c r="U780" s="4" t="n">
        <f aca="false">(M780+N780+O780+P780)/L780</f>
        <v>0.132847214310129</v>
      </c>
      <c r="V780" s="2" t="str">
        <f aca="false">IF(S780&lt;=5,"Late night (0-5)",IF(S780&lt;=11,"Morning (6-11)",IF(S780&lt;=17,"Afternoon (12-17)","Evening (18-23)")))</f>
        <v>Afternoon (12-17)</v>
      </c>
    </row>
    <row r="781" customFormat="false" ht="15" hidden="false" customHeight="false" outlineLevel="0" collapsed="false">
      <c r="A781" s="2" t="s">
        <v>1484</v>
      </c>
      <c r="B781" s="2" t="s">
        <v>459</v>
      </c>
      <c r="C781" s="2" t="s">
        <v>84</v>
      </c>
      <c r="D781" s="3" t="n">
        <v>45703</v>
      </c>
      <c r="E781" s="2" t="s">
        <v>713</v>
      </c>
      <c r="F781" s="2" t="s">
        <v>32</v>
      </c>
      <c r="G781" s="2" t="n">
        <v>19744</v>
      </c>
      <c r="H781" s="2" t="n">
        <v>7</v>
      </c>
      <c r="I781" s="2" t="n">
        <v>129</v>
      </c>
      <c r="J781" s="2" t="n">
        <v>0</v>
      </c>
      <c r="K781" s="2" t="n">
        <v>35940</v>
      </c>
      <c r="L781" s="2" t="n">
        <v>31267</v>
      </c>
      <c r="M781" s="2" t="n">
        <v>1194</v>
      </c>
      <c r="N781" s="2" t="n">
        <v>57</v>
      </c>
      <c r="O781" s="2" t="n">
        <v>344</v>
      </c>
      <c r="P781" s="2" t="n">
        <v>142</v>
      </c>
      <c r="Q781" s="2" t="n">
        <v>906</v>
      </c>
      <c r="R781" s="2" t="n">
        <v>246</v>
      </c>
      <c r="S781" s="2" t="n">
        <v>4</v>
      </c>
      <c r="T781" s="2" t="s">
        <v>62</v>
      </c>
      <c r="U781" s="4" t="n">
        <f aca="false">(M781+N781+O781+P781)/L781</f>
        <v>0.0555537787443631</v>
      </c>
      <c r="V781" s="2" t="str">
        <f aca="false">IF(S781&lt;=5,"Late night (0-5)",IF(S781&lt;=11,"Morning (6-11)",IF(S781&lt;=17,"Afternoon (12-17)","Evening (18-23)")))</f>
        <v>Late night (0-5)</v>
      </c>
    </row>
    <row r="782" customFormat="false" ht="15" hidden="false" customHeight="false" outlineLevel="0" collapsed="false">
      <c r="A782" s="2" t="s">
        <v>1485</v>
      </c>
      <c r="B782" s="2" t="s">
        <v>240</v>
      </c>
      <c r="C782" s="2" t="s">
        <v>41</v>
      </c>
      <c r="D782" s="3" t="n">
        <v>45803</v>
      </c>
      <c r="E782" s="2" t="s">
        <v>1486</v>
      </c>
      <c r="F782" s="2" t="s">
        <v>38</v>
      </c>
      <c r="G782" s="2" t="n">
        <v>83197</v>
      </c>
      <c r="H782" s="2" t="n">
        <v>10</v>
      </c>
      <c r="I782" s="2" t="n">
        <v>279</v>
      </c>
      <c r="J782" s="2" t="n">
        <v>0</v>
      </c>
      <c r="K782" s="2" t="n">
        <v>35076</v>
      </c>
      <c r="L782" s="2" t="n">
        <v>20984</v>
      </c>
      <c r="M782" s="2" t="n">
        <v>1375</v>
      </c>
      <c r="N782" s="2" t="n">
        <v>84</v>
      </c>
      <c r="O782" s="2" t="n">
        <v>154</v>
      </c>
      <c r="P782" s="2" t="n">
        <v>263</v>
      </c>
      <c r="Q782" s="2" t="n">
        <v>438</v>
      </c>
      <c r="R782" s="2" t="n">
        <v>47</v>
      </c>
      <c r="S782" s="2" t="n">
        <v>2</v>
      </c>
      <c r="T782" s="2" t="s">
        <v>33</v>
      </c>
      <c r="U782" s="4" t="n">
        <f aca="false">(M782+N782+O782+P782)/L782</f>
        <v>0.0894014487228365</v>
      </c>
      <c r="V782" s="2" t="str">
        <f aca="false">IF(S782&lt;=5,"Late night (0-5)",IF(S782&lt;=11,"Morning (6-11)",IF(S782&lt;=17,"Afternoon (12-17)","Evening (18-23)")))</f>
        <v>Late night (0-5)</v>
      </c>
    </row>
    <row r="783" customFormat="false" ht="15" hidden="false" customHeight="false" outlineLevel="0" collapsed="false">
      <c r="A783" s="2" t="s">
        <v>1487</v>
      </c>
      <c r="B783" s="2" t="s">
        <v>188</v>
      </c>
      <c r="C783" s="2" t="s">
        <v>30</v>
      </c>
      <c r="D783" s="3" t="n">
        <v>45777</v>
      </c>
      <c r="E783" s="2" t="s">
        <v>1488</v>
      </c>
      <c r="F783" s="2" t="s">
        <v>26</v>
      </c>
      <c r="G783" s="2" t="n">
        <v>38900</v>
      </c>
      <c r="H783" s="2" t="n">
        <v>0</v>
      </c>
      <c r="I783" s="2" t="n">
        <v>288</v>
      </c>
      <c r="J783" s="2" t="n">
        <v>0</v>
      </c>
      <c r="K783" s="2" t="n">
        <v>19134</v>
      </c>
      <c r="L783" s="2" t="n">
        <v>17216</v>
      </c>
      <c r="M783" s="2" t="n">
        <v>1134</v>
      </c>
      <c r="N783" s="2" t="n">
        <v>75</v>
      </c>
      <c r="O783" s="2" t="n">
        <v>159</v>
      </c>
      <c r="P783" s="2" t="n">
        <v>392</v>
      </c>
      <c r="Q783" s="2" t="n">
        <v>152</v>
      </c>
      <c r="R783" s="2" t="n">
        <v>44</v>
      </c>
      <c r="S783" s="2" t="n">
        <v>4</v>
      </c>
      <c r="T783" s="2" t="s">
        <v>66</v>
      </c>
      <c r="U783" s="4" t="n">
        <f aca="false">(M783+N783+O783+P783)/L783</f>
        <v>0.102230483271375</v>
      </c>
      <c r="V783" s="2" t="str">
        <f aca="false">IF(S783&lt;=5,"Late night (0-5)",IF(S783&lt;=11,"Morning (6-11)",IF(S783&lt;=17,"Afternoon (12-17)","Evening (18-23)")))</f>
        <v>Late night (0-5)</v>
      </c>
    </row>
    <row r="784" customFormat="false" ht="15" hidden="false" customHeight="false" outlineLevel="0" collapsed="false">
      <c r="A784" s="2" t="s">
        <v>1489</v>
      </c>
      <c r="B784" s="2" t="s">
        <v>87</v>
      </c>
      <c r="C784" s="2" t="s">
        <v>36</v>
      </c>
      <c r="D784" s="3" t="n">
        <v>45973</v>
      </c>
      <c r="E784" s="2" t="s">
        <v>1490</v>
      </c>
      <c r="F784" s="2" t="s">
        <v>26</v>
      </c>
      <c r="G784" s="2" t="n">
        <v>25592</v>
      </c>
      <c r="H784" s="2" t="n">
        <v>7</v>
      </c>
      <c r="I784" s="2" t="n">
        <v>273</v>
      </c>
      <c r="J784" s="2" t="n">
        <v>0</v>
      </c>
      <c r="K784" s="2" t="n">
        <v>17863</v>
      </c>
      <c r="L784" s="2" t="n">
        <v>11243</v>
      </c>
      <c r="M784" s="2" t="n">
        <v>960</v>
      </c>
      <c r="N784" s="2" t="n">
        <v>47</v>
      </c>
      <c r="O784" s="2" t="n">
        <v>45</v>
      </c>
      <c r="P784" s="2" t="n">
        <v>324</v>
      </c>
      <c r="Q784" s="2" t="n">
        <v>59</v>
      </c>
      <c r="R784" s="2" t="n">
        <v>14</v>
      </c>
      <c r="S784" s="2" t="n">
        <v>21</v>
      </c>
      <c r="T784" s="2" t="s">
        <v>66</v>
      </c>
      <c r="U784" s="4" t="n">
        <f aca="false">(M784+N784+O784+P784)/L784</f>
        <v>0.122387263185982</v>
      </c>
      <c r="V784" s="2" t="str">
        <f aca="false">IF(S784&lt;=5,"Late night (0-5)",IF(S784&lt;=11,"Morning (6-11)",IF(S784&lt;=17,"Afternoon (12-17)","Evening (18-23)")))</f>
        <v>Evening (18-23)</v>
      </c>
    </row>
    <row r="785" customFormat="false" ht="15" hidden="false" customHeight="false" outlineLevel="0" collapsed="false">
      <c r="A785" s="2" t="s">
        <v>1491</v>
      </c>
      <c r="B785" s="2" t="s">
        <v>390</v>
      </c>
      <c r="C785" s="2" t="s">
        <v>36</v>
      </c>
      <c r="D785" s="3" t="n">
        <v>45663</v>
      </c>
      <c r="E785" s="2" t="s">
        <v>536</v>
      </c>
      <c r="F785" s="2" t="s">
        <v>32</v>
      </c>
      <c r="G785" s="2" t="n">
        <v>30232</v>
      </c>
      <c r="H785" s="2" t="n">
        <v>9</v>
      </c>
      <c r="I785" s="2" t="n">
        <v>181</v>
      </c>
      <c r="J785" s="2" t="n">
        <v>1</v>
      </c>
      <c r="K785" s="2" t="n">
        <v>90674</v>
      </c>
      <c r="L785" s="2" t="n">
        <v>64361</v>
      </c>
      <c r="M785" s="2" t="n">
        <v>3553</v>
      </c>
      <c r="N785" s="2" t="n">
        <v>254</v>
      </c>
      <c r="O785" s="2" t="n">
        <v>635</v>
      </c>
      <c r="P785" s="2" t="n">
        <v>997</v>
      </c>
      <c r="Q785" s="2" t="n">
        <v>1343</v>
      </c>
      <c r="R785" s="2" t="n">
        <v>72</v>
      </c>
      <c r="S785" s="2" t="n">
        <v>8</v>
      </c>
      <c r="T785" s="2" t="s">
        <v>33</v>
      </c>
      <c r="U785" s="4" t="n">
        <f aca="false">(M785+N785+O785+P785)/L785</f>
        <v>0.0845076987616724</v>
      </c>
      <c r="V785" s="2" t="str">
        <f aca="false">IF(S785&lt;=5,"Late night (0-5)",IF(S785&lt;=11,"Morning (6-11)",IF(S785&lt;=17,"Afternoon (12-17)","Evening (18-23)")))</f>
        <v>Morning (6-11)</v>
      </c>
    </row>
    <row r="786" customFormat="false" ht="15" hidden="false" customHeight="false" outlineLevel="0" collapsed="false">
      <c r="A786" s="2" t="s">
        <v>1492</v>
      </c>
      <c r="B786" s="2" t="s">
        <v>243</v>
      </c>
      <c r="C786" s="2" t="s">
        <v>91</v>
      </c>
      <c r="D786" s="3" t="n">
        <v>45959</v>
      </c>
      <c r="E786" s="2" t="s">
        <v>1493</v>
      </c>
      <c r="F786" s="2" t="s">
        <v>32</v>
      </c>
      <c r="G786" s="2" t="n">
        <v>42046</v>
      </c>
      <c r="H786" s="2" t="n">
        <v>10</v>
      </c>
      <c r="I786" s="2" t="n">
        <v>203</v>
      </c>
      <c r="J786" s="2" t="n">
        <v>0</v>
      </c>
      <c r="K786" s="2" t="n">
        <v>68582</v>
      </c>
      <c r="L786" s="2" t="n">
        <v>45470</v>
      </c>
      <c r="M786" s="2" t="n">
        <v>2516</v>
      </c>
      <c r="N786" s="2" t="n">
        <v>86</v>
      </c>
      <c r="O786" s="2" t="n">
        <v>644</v>
      </c>
      <c r="P786" s="2" t="n">
        <v>377</v>
      </c>
      <c r="Q786" s="2" t="n">
        <v>538</v>
      </c>
      <c r="R786" s="2" t="n">
        <v>81</v>
      </c>
      <c r="S786" s="2" t="n">
        <v>23</v>
      </c>
      <c r="T786" s="2" t="s">
        <v>66</v>
      </c>
      <c r="U786" s="4" t="n">
        <f aca="false">(M786+N786+O786+P786)/L786</f>
        <v>0.0796789091708819</v>
      </c>
      <c r="V786" s="2" t="str">
        <f aca="false">IF(S786&lt;=5,"Late night (0-5)",IF(S786&lt;=11,"Morning (6-11)",IF(S786&lt;=17,"Afternoon (12-17)","Evening (18-23)")))</f>
        <v>Evening (18-23)</v>
      </c>
    </row>
    <row r="787" customFormat="false" ht="15" hidden="false" customHeight="false" outlineLevel="0" collapsed="false">
      <c r="A787" s="2" t="s">
        <v>1494</v>
      </c>
      <c r="B787" s="2" t="s">
        <v>243</v>
      </c>
      <c r="C787" s="2" t="s">
        <v>91</v>
      </c>
      <c r="D787" s="3" t="n">
        <v>45908</v>
      </c>
      <c r="E787" s="2" t="s">
        <v>260</v>
      </c>
      <c r="F787" s="2" t="s">
        <v>32</v>
      </c>
      <c r="G787" s="2" t="n">
        <v>42046</v>
      </c>
      <c r="H787" s="2" t="n">
        <v>10</v>
      </c>
      <c r="I787" s="2" t="n">
        <v>188</v>
      </c>
      <c r="J787" s="2" t="n">
        <v>1</v>
      </c>
      <c r="K787" s="2" t="n">
        <v>93404</v>
      </c>
      <c r="L787" s="2" t="n">
        <v>64231</v>
      </c>
      <c r="M787" s="2" t="n">
        <v>3822</v>
      </c>
      <c r="N787" s="2" t="n">
        <v>79</v>
      </c>
      <c r="O787" s="2" t="n">
        <v>206</v>
      </c>
      <c r="P787" s="2" t="n">
        <v>948</v>
      </c>
      <c r="Q787" s="2" t="n">
        <v>1107</v>
      </c>
      <c r="R787" s="2" t="n">
        <v>96</v>
      </c>
      <c r="S787" s="2" t="n">
        <v>10</v>
      </c>
      <c r="T787" s="2" t="s">
        <v>33</v>
      </c>
      <c r="U787" s="4" t="n">
        <f aca="false">(M787+N787+O787+P787)/L787</f>
        <v>0.0787003160467687</v>
      </c>
      <c r="V787" s="2" t="str">
        <f aca="false">IF(S787&lt;=5,"Late night (0-5)",IF(S787&lt;=11,"Morning (6-11)",IF(S787&lt;=17,"Afternoon (12-17)","Evening (18-23)")))</f>
        <v>Morning (6-11)</v>
      </c>
    </row>
    <row r="788" customFormat="false" ht="15" hidden="false" customHeight="false" outlineLevel="0" collapsed="false">
      <c r="A788" s="2" t="s">
        <v>1495</v>
      </c>
      <c r="B788" s="2" t="s">
        <v>57</v>
      </c>
      <c r="C788" s="2" t="s">
        <v>24</v>
      </c>
      <c r="D788" s="3" t="n">
        <v>45903</v>
      </c>
      <c r="E788" s="2" t="s">
        <v>1496</v>
      </c>
      <c r="F788" s="2" t="s">
        <v>50</v>
      </c>
      <c r="G788" s="2" t="n">
        <v>31021</v>
      </c>
      <c r="H788" s="2" t="n">
        <v>11</v>
      </c>
      <c r="I788" s="2" t="n">
        <v>180</v>
      </c>
      <c r="J788" s="2" t="n">
        <v>0</v>
      </c>
      <c r="K788" s="2" t="n">
        <v>41129</v>
      </c>
      <c r="L788" s="2" t="n">
        <v>36641</v>
      </c>
      <c r="M788" s="2" t="n">
        <v>1963</v>
      </c>
      <c r="N788" s="2" t="n">
        <v>141</v>
      </c>
      <c r="O788" s="2" t="n">
        <v>288</v>
      </c>
      <c r="P788" s="2" t="n">
        <v>359</v>
      </c>
      <c r="Q788" s="2" t="n">
        <v>538</v>
      </c>
      <c r="R788" s="2" t="n">
        <v>136</v>
      </c>
      <c r="S788" s="2" t="n">
        <v>8</v>
      </c>
      <c r="T788" s="2" t="s">
        <v>66</v>
      </c>
      <c r="U788" s="4" t="n">
        <f aca="false">(M788+N788+O788+P788)/L788</f>
        <v>0.0750798286072978</v>
      </c>
      <c r="V788" s="2" t="str">
        <f aca="false">IF(S788&lt;=5,"Late night (0-5)",IF(S788&lt;=11,"Morning (6-11)",IF(S788&lt;=17,"Afternoon (12-17)","Evening (18-23)")))</f>
        <v>Morning (6-11)</v>
      </c>
    </row>
    <row r="789" customFormat="false" ht="15" hidden="false" customHeight="false" outlineLevel="0" collapsed="false">
      <c r="A789" s="2" t="s">
        <v>1497</v>
      </c>
      <c r="B789" s="2" t="s">
        <v>220</v>
      </c>
      <c r="C789" s="2" t="s">
        <v>48</v>
      </c>
      <c r="D789" s="3" t="n">
        <v>45973</v>
      </c>
      <c r="E789" s="2" t="s">
        <v>1066</v>
      </c>
      <c r="F789" s="2" t="s">
        <v>32</v>
      </c>
      <c r="G789" s="2" t="n">
        <v>18917</v>
      </c>
      <c r="H789" s="2" t="n">
        <v>0</v>
      </c>
      <c r="I789" s="2" t="n">
        <v>90</v>
      </c>
      <c r="J789" s="2" t="n">
        <v>0</v>
      </c>
      <c r="K789" s="2" t="n">
        <v>17008</v>
      </c>
      <c r="L789" s="2" t="n">
        <v>12631</v>
      </c>
      <c r="M789" s="2" t="n">
        <v>481</v>
      </c>
      <c r="N789" s="2" t="n">
        <v>33</v>
      </c>
      <c r="O789" s="2" t="n">
        <v>98</v>
      </c>
      <c r="P789" s="2" t="n">
        <v>74</v>
      </c>
      <c r="Q789" s="2" t="n">
        <v>140</v>
      </c>
      <c r="R789" s="2" t="n">
        <v>33</v>
      </c>
      <c r="S789" s="2" t="n">
        <v>3</v>
      </c>
      <c r="T789" s="2" t="s">
        <v>66</v>
      </c>
      <c r="U789" s="4" t="n">
        <f aca="false">(M789+N789+O789+P789)/L789</f>
        <v>0.0543108225793682</v>
      </c>
      <c r="V789" s="2" t="str">
        <f aca="false">IF(S789&lt;=5,"Late night (0-5)",IF(S789&lt;=11,"Morning (6-11)",IF(S789&lt;=17,"Afternoon (12-17)","Evening (18-23)")))</f>
        <v>Late night (0-5)</v>
      </c>
    </row>
    <row r="790" customFormat="false" ht="15" hidden="false" customHeight="false" outlineLevel="0" collapsed="false">
      <c r="A790" s="2" t="s">
        <v>1498</v>
      </c>
      <c r="B790" s="2" t="s">
        <v>319</v>
      </c>
      <c r="C790" s="2" t="s">
        <v>84</v>
      </c>
      <c r="D790" s="3" t="n">
        <v>45828</v>
      </c>
      <c r="E790" s="2" t="s">
        <v>508</v>
      </c>
      <c r="F790" s="2" t="s">
        <v>26</v>
      </c>
      <c r="G790" s="2" t="n">
        <v>49810</v>
      </c>
      <c r="H790" s="2" t="n">
        <v>11</v>
      </c>
      <c r="I790" s="2" t="n">
        <v>251</v>
      </c>
      <c r="J790" s="2" t="n">
        <v>0</v>
      </c>
      <c r="K790" s="2" t="n">
        <v>41098</v>
      </c>
      <c r="L790" s="2" t="n">
        <v>28859</v>
      </c>
      <c r="M790" s="2" t="n">
        <v>1511</v>
      </c>
      <c r="N790" s="2" t="n">
        <v>90</v>
      </c>
      <c r="O790" s="2" t="n">
        <v>157</v>
      </c>
      <c r="P790" s="2" t="n">
        <v>517</v>
      </c>
      <c r="Q790" s="2" t="n">
        <v>451</v>
      </c>
      <c r="R790" s="2" t="n">
        <v>49</v>
      </c>
      <c r="S790" s="2" t="n">
        <v>2</v>
      </c>
      <c r="T790" s="2" t="s">
        <v>96</v>
      </c>
      <c r="U790" s="4" t="n">
        <f aca="false">(M790+N790+O790+P790)/L790</f>
        <v>0.0788315603451263</v>
      </c>
      <c r="V790" s="2" t="str">
        <f aca="false">IF(S790&lt;=5,"Late night (0-5)",IF(S790&lt;=11,"Morning (6-11)",IF(S790&lt;=17,"Afternoon (12-17)","Evening (18-23)")))</f>
        <v>Late night (0-5)</v>
      </c>
    </row>
    <row r="791" customFormat="false" ht="15" hidden="false" customHeight="false" outlineLevel="0" collapsed="false">
      <c r="A791" s="2" t="s">
        <v>1499</v>
      </c>
      <c r="B791" s="2" t="s">
        <v>71</v>
      </c>
      <c r="C791" s="2" t="s">
        <v>48</v>
      </c>
      <c r="D791" s="3" t="n">
        <v>45816</v>
      </c>
      <c r="E791" s="2" t="s">
        <v>1341</v>
      </c>
      <c r="F791" s="2" t="s">
        <v>32</v>
      </c>
      <c r="G791" s="2" t="n">
        <v>7316</v>
      </c>
      <c r="H791" s="2" t="n">
        <v>17</v>
      </c>
      <c r="I791" s="2" t="n">
        <v>169</v>
      </c>
      <c r="J791" s="2" t="n">
        <v>0</v>
      </c>
      <c r="K791" s="2" t="n">
        <v>22680</v>
      </c>
      <c r="L791" s="2" t="n">
        <v>13618</v>
      </c>
      <c r="M791" s="2" t="n">
        <v>1154</v>
      </c>
      <c r="N791" s="2" t="n">
        <v>36</v>
      </c>
      <c r="O791" s="2" t="n">
        <v>242</v>
      </c>
      <c r="P791" s="2" t="n">
        <v>197</v>
      </c>
      <c r="Q791" s="2" t="n">
        <v>217</v>
      </c>
      <c r="R791" s="2" t="n">
        <v>16</v>
      </c>
      <c r="S791" s="2" t="n">
        <v>19</v>
      </c>
      <c r="T791" s="2" t="s">
        <v>27</v>
      </c>
      <c r="U791" s="4" t="n">
        <f aca="false">(M791+N791+O791+P791)/L791</f>
        <v>0.119621089734175</v>
      </c>
      <c r="V791" s="2" t="str">
        <f aca="false">IF(S791&lt;=5,"Late night (0-5)",IF(S791&lt;=11,"Morning (6-11)",IF(S791&lt;=17,"Afternoon (12-17)","Evening (18-23)")))</f>
        <v>Evening (18-23)</v>
      </c>
    </row>
    <row r="792" customFormat="false" ht="15" hidden="false" customHeight="false" outlineLevel="0" collapsed="false">
      <c r="A792" s="2" t="s">
        <v>1500</v>
      </c>
      <c r="B792" s="2" t="s">
        <v>264</v>
      </c>
      <c r="C792" s="2" t="s">
        <v>36</v>
      </c>
      <c r="D792" s="3" t="n">
        <v>46004</v>
      </c>
      <c r="E792" s="2" t="s">
        <v>1501</v>
      </c>
      <c r="F792" s="2" t="s">
        <v>38</v>
      </c>
      <c r="G792" s="2" t="n">
        <v>22362</v>
      </c>
      <c r="H792" s="2" t="n">
        <v>9</v>
      </c>
      <c r="I792" s="2" t="n">
        <v>70</v>
      </c>
      <c r="J792" s="2" t="n">
        <v>0</v>
      </c>
      <c r="K792" s="2" t="n">
        <v>25070</v>
      </c>
      <c r="L792" s="2" t="n">
        <v>14880</v>
      </c>
      <c r="M792" s="2" t="n">
        <v>1307</v>
      </c>
      <c r="N792" s="2" t="n">
        <v>49</v>
      </c>
      <c r="O792" s="2" t="n">
        <v>213</v>
      </c>
      <c r="P792" s="2" t="n">
        <v>331</v>
      </c>
      <c r="Q792" s="2" t="n">
        <v>256</v>
      </c>
      <c r="R792" s="2" t="n">
        <v>18</v>
      </c>
      <c r="S792" s="2" t="n">
        <v>17</v>
      </c>
      <c r="T792" s="2" t="s">
        <v>62</v>
      </c>
      <c r="U792" s="4" t="n">
        <f aca="false">(M792+N792+O792+P792)/L792</f>
        <v>0.127688172043011</v>
      </c>
      <c r="V792" s="2" t="str">
        <f aca="false">IF(S792&lt;=5,"Late night (0-5)",IF(S792&lt;=11,"Morning (6-11)",IF(S792&lt;=17,"Afternoon (12-17)","Evening (18-23)")))</f>
        <v>Afternoon (12-17)</v>
      </c>
    </row>
    <row r="793" customFormat="false" ht="15" hidden="false" customHeight="false" outlineLevel="0" collapsed="false">
      <c r="A793" s="2" t="s">
        <v>1502</v>
      </c>
      <c r="B793" s="2" t="s">
        <v>193</v>
      </c>
      <c r="C793" s="2" t="s">
        <v>36</v>
      </c>
      <c r="D793" s="3" t="n">
        <v>45836</v>
      </c>
      <c r="E793" s="2" t="s">
        <v>1503</v>
      </c>
      <c r="F793" s="2" t="s">
        <v>32</v>
      </c>
      <c r="G793" s="2" t="n">
        <v>26454</v>
      </c>
      <c r="H793" s="2" t="n">
        <v>13</v>
      </c>
      <c r="I793" s="2" t="n">
        <v>10</v>
      </c>
      <c r="J793" s="2" t="n">
        <v>1</v>
      </c>
      <c r="K793" s="2" t="n">
        <v>27231</v>
      </c>
      <c r="L793" s="2" t="n">
        <v>19595</v>
      </c>
      <c r="M793" s="2" t="n">
        <v>1110</v>
      </c>
      <c r="N793" s="2" t="n">
        <v>82</v>
      </c>
      <c r="O793" s="2" t="n">
        <v>235</v>
      </c>
      <c r="P793" s="2" t="n">
        <v>225</v>
      </c>
      <c r="Q793" s="2" t="n">
        <v>532</v>
      </c>
      <c r="R793" s="2" t="n">
        <v>34</v>
      </c>
      <c r="S793" s="2" t="n">
        <v>4</v>
      </c>
      <c r="T793" s="2" t="s">
        <v>62</v>
      </c>
      <c r="U793" s="4" t="n">
        <f aca="false">(M793+N793+O793+P793)/L793</f>
        <v>0.0843072212299056</v>
      </c>
      <c r="V793" s="2" t="str">
        <f aca="false">IF(S793&lt;=5,"Late night (0-5)",IF(S793&lt;=11,"Morning (6-11)",IF(S793&lt;=17,"Afternoon (12-17)","Evening (18-23)")))</f>
        <v>Late night (0-5)</v>
      </c>
    </row>
    <row r="794" customFormat="false" ht="15" hidden="false" customHeight="false" outlineLevel="0" collapsed="false">
      <c r="A794" s="2" t="s">
        <v>1504</v>
      </c>
      <c r="B794" s="2" t="s">
        <v>426</v>
      </c>
      <c r="C794" s="2" t="s">
        <v>30</v>
      </c>
      <c r="D794" s="3" t="n">
        <v>45886</v>
      </c>
      <c r="E794" s="2" t="s">
        <v>438</v>
      </c>
      <c r="F794" s="2" t="s">
        <v>32</v>
      </c>
      <c r="G794" s="2" t="n">
        <v>40649</v>
      </c>
      <c r="H794" s="2" t="n">
        <v>7</v>
      </c>
      <c r="I794" s="2" t="n">
        <v>64</v>
      </c>
      <c r="J794" s="2" t="n">
        <v>1</v>
      </c>
      <c r="K794" s="2" t="n">
        <v>65062</v>
      </c>
      <c r="L794" s="2" t="n">
        <v>40563</v>
      </c>
      <c r="M794" s="2" t="n">
        <v>2230</v>
      </c>
      <c r="N794" s="2" t="n">
        <v>96</v>
      </c>
      <c r="O794" s="2" t="n">
        <v>405</v>
      </c>
      <c r="P794" s="2" t="n">
        <v>289</v>
      </c>
      <c r="Q794" s="2" t="n">
        <v>688</v>
      </c>
      <c r="R794" s="2" t="n">
        <v>183</v>
      </c>
      <c r="S794" s="2" t="n">
        <v>7</v>
      </c>
      <c r="T794" s="2" t="s">
        <v>27</v>
      </c>
      <c r="U794" s="4" t="n">
        <f aca="false">(M794+N794+O794+P794)/L794</f>
        <v>0.0744520868772034</v>
      </c>
      <c r="V794" s="2" t="str">
        <f aca="false">IF(S794&lt;=5,"Late night (0-5)",IF(S794&lt;=11,"Morning (6-11)",IF(S794&lt;=17,"Afternoon (12-17)","Evening (18-23)")))</f>
        <v>Morning (6-11)</v>
      </c>
    </row>
    <row r="795" customFormat="false" ht="15" hidden="false" customHeight="false" outlineLevel="0" collapsed="false">
      <c r="A795" s="2" t="s">
        <v>1505</v>
      </c>
      <c r="B795" s="2" t="s">
        <v>98</v>
      </c>
      <c r="C795" s="2" t="s">
        <v>54</v>
      </c>
      <c r="D795" s="3" t="n">
        <v>45701</v>
      </c>
      <c r="E795" s="2" t="s">
        <v>293</v>
      </c>
      <c r="F795" s="2" t="s">
        <v>26</v>
      </c>
      <c r="G795" s="2" t="n">
        <v>18366</v>
      </c>
      <c r="H795" s="2" t="n">
        <v>1</v>
      </c>
      <c r="I795" s="2" t="n">
        <v>278</v>
      </c>
      <c r="J795" s="2" t="n">
        <v>1</v>
      </c>
      <c r="K795" s="2" t="n">
        <v>26071</v>
      </c>
      <c r="L795" s="2" t="n">
        <v>15845</v>
      </c>
      <c r="M795" s="2" t="n">
        <v>1298</v>
      </c>
      <c r="N795" s="2" t="n">
        <v>54</v>
      </c>
      <c r="O795" s="2" t="n">
        <v>224</v>
      </c>
      <c r="P795" s="2" t="n">
        <v>233</v>
      </c>
      <c r="Q795" s="2" t="n">
        <v>461</v>
      </c>
      <c r="R795" s="2" t="n">
        <v>25</v>
      </c>
      <c r="S795" s="2" t="n">
        <v>10</v>
      </c>
      <c r="T795" s="2" t="s">
        <v>79</v>
      </c>
      <c r="U795" s="4" t="n">
        <f aca="false">(M795+N795+O795+P795)/L795</f>
        <v>0.114168507415589</v>
      </c>
      <c r="V795" s="2" t="str">
        <f aca="false">IF(S795&lt;=5,"Late night (0-5)",IF(S795&lt;=11,"Morning (6-11)",IF(S795&lt;=17,"Afternoon (12-17)","Evening (18-23)")))</f>
        <v>Morning (6-11)</v>
      </c>
    </row>
    <row r="796" customFormat="false" ht="15" hidden="false" customHeight="false" outlineLevel="0" collapsed="false">
      <c r="A796" s="2" t="s">
        <v>1506</v>
      </c>
      <c r="B796" s="2" t="s">
        <v>23</v>
      </c>
      <c r="C796" s="2" t="s">
        <v>24</v>
      </c>
      <c r="D796" s="3" t="n">
        <v>45876</v>
      </c>
      <c r="E796" s="2" t="s">
        <v>267</v>
      </c>
      <c r="F796" s="2" t="s">
        <v>38</v>
      </c>
      <c r="G796" s="2" t="n">
        <v>63447</v>
      </c>
      <c r="H796" s="2" t="n">
        <v>13</v>
      </c>
      <c r="I796" s="2" t="n">
        <v>58</v>
      </c>
      <c r="J796" s="2" t="n">
        <v>1</v>
      </c>
      <c r="K796" s="2" t="n">
        <v>190271</v>
      </c>
      <c r="L796" s="2" t="n">
        <v>116742</v>
      </c>
      <c r="M796" s="2" t="n">
        <v>10060</v>
      </c>
      <c r="N796" s="2" t="n">
        <v>748</v>
      </c>
      <c r="O796" s="2" t="n">
        <v>1282</v>
      </c>
      <c r="P796" s="2" t="n">
        <v>1959</v>
      </c>
      <c r="Q796" s="2" t="n">
        <v>1071</v>
      </c>
      <c r="R796" s="2" t="n">
        <v>314</v>
      </c>
      <c r="S796" s="2" t="n">
        <v>18</v>
      </c>
      <c r="T796" s="2" t="s">
        <v>79</v>
      </c>
      <c r="U796" s="4" t="n">
        <f aca="false">(M796+N796+O796+P796)/L796</f>
        <v>0.120342293262065</v>
      </c>
      <c r="V796" s="2" t="str">
        <f aca="false">IF(S796&lt;=5,"Late night (0-5)",IF(S796&lt;=11,"Morning (6-11)",IF(S796&lt;=17,"Afternoon (12-17)","Evening (18-23)")))</f>
        <v>Evening (18-23)</v>
      </c>
    </row>
    <row r="797" customFormat="false" ht="15" hidden="false" customHeight="false" outlineLevel="0" collapsed="false">
      <c r="A797" s="2" t="s">
        <v>1507</v>
      </c>
      <c r="B797" s="2" t="s">
        <v>154</v>
      </c>
      <c r="C797" s="2" t="s">
        <v>41</v>
      </c>
      <c r="D797" s="3" t="n">
        <v>45820</v>
      </c>
      <c r="E797" s="2" t="s">
        <v>1508</v>
      </c>
      <c r="F797" s="2" t="s">
        <v>32</v>
      </c>
      <c r="G797" s="2" t="n">
        <v>33644</v>
      </c>
      <c r="H797" s="2" t="n">
        <v>19</v>
      </c>
      <c r="I797" s="2" t="n">
        <v>192</v>
      </c>
      <c r="J797" s="2" t="n">
        <v>0</v>
      </c>
      <c r="K797" s="2" t="n">
        <v>23093</v>
      </c>
      <c r="L797" s="2" t="n">
        <v>19147</v>
      </c>
      <c r="M797" s="2" t="n">
        <v>2013</v>
      </c>
      <c r="N797" s="2" t="n">
        <v>156</v>
      </c>
      <c r="O797" s="2" t="n">
        <v>442</v>
      </c>
      <c r="P797" s="2" t="n">
        <v>567</v>
      </c>
      <c r="Q797" s="2" t="n">
        <v>173</v>
      </c>
      <c r="R797" s="2" t="n">
        <v>28</v>
      </c>
      <c r="S797" s="2" t="n">
        <v>4</v>
      </c>
      <c r="T797" s="2" t="s">
        <v>79</v>
      </c>
      <c r="U797" s="4" t="n">
        <f aca="false">(M797+N797+O797+P797)/L797</f>
        <v>0.165979004543793</v>
      </c>
      <c r="V797" s="2" t="str">
        <f aca="false">IF(S797&lt;=5,"Late night (0-5)",IF(S797&lt;=11,"Morning (6-11)",IF(S797&lt;=17,"Afternoon (12-17)","Evening (18-23)")))</f>
        <v>Late night (0-5)</v>
      </c>
    </row>
    <row r="798" customFormat="false" ht="15" hidden="false" customHeight="false" outlineLevel="0" collapsed="false">
      <c r="A798" s="2" t="s">
        <v>1509</v>
      </c>
      <c r="B798" s="2" t="s">
        <v>310</v>
      </c>
      <c r="C798" s="2" t="s">
        <v>91</v>
      </c>
      <c r="D798" s="3" t="n">
        <v>45851</v>
      </c>
      <c r="E798" s="2" t="s">
        <v>1510</v>
      </c>
      <c r="F798" s="2" t="s">
        <v>32</v>
      </c>
      <c r="G798" s="2" t="n">
        <v>56571</v>
      </c>
      <c r="H798" s="2" t="n">
        <v>7</v>
      </c>
      <c r="I798" s="2" t="n">
        <v>207</v>
      </c>
      <c r="J798" s="2" t="n">
        <v>1</v>
      </c>
      <c r="K798" s="2" t="n">
        <v>63419</v>
      </c>
      <c r="L798" s="2" t="n">
        <v>54589</v>
      </c>
      <c r="M798" s="2" t="n">
        <v>5296</v>
      </c>
      <c r="N798" s="2" t="n">
        <v>170</v>
      </c>
      <c r="O798" s="2" t="n">
        <v>1230</v>
      </c>
      <c r="P798" s="2" t="n">
        <v>1048</v>
      </c>
      <c r="Q798" s="2" t="n">
        <v>799</v>
      </c>
      <c r="R798" s="2" t="n">
        <v>93</v>
      </c>
      <c r="S798" s="2" t="n">
        <v>8</v>
      </c>
      <c r="T798" s="2" t="s">
        <v>27</v>
      </c>
      <c r="U798" s="4" t="n">
        <f aca="false">(M798+N798+O798+P798)/L798</f>
        <v>0.141860081701442</v>
      </c>
      <c r="V798" s="2" t="str">
        <f aca="false">IF(S798&lt;=5,"Late night (0-5)",IF(S798&lt;=11,"Morning (6-11)",IF(S798&lt;=17,"Afternoon (12-17)","Evening (18-23)")))</f>
        <v>Morning (6-11)</v>
      </c>
    </row>
    <row r="799" customFormat="false" ht="15" hidden="false" customHeight="false" outlineLevel="0" collapsed="false">
      <c r="A799" s="2" t="s">
        <v>1511</v>
      </c>
      <c r="B799" s="2" t="s">
        <v>74</v>
      </c>
      <c r="C799" s="2" t="s">
        <v>30</v>
      </c>
      <c r="D799" s="3" t="n">
        <v>46001</v>
      </c>
      <c r="E799" s="2" t="s">
        <v>1512</v>
      </c>
      <c r="F799" s="2" t="s">
        <v>26</v>
      </c>
      <c r="G799" s="2" t="n">
        <v>20432</v>
      </c>
      <c r="H799" s="2" t="n">
        <v>9</v>
      </c>
      <c r="I799" s="2" t="n">
        <v>312</v>
      </c>
      <c r="J799" s="2" t="n">
        <v>1</v>
      </c>
      <c r="K799" s="2" t="n">
        <v>8205</v>
      </c>
      <c r="L799" s="2" t="n">
        <v>5832</v>
      </c>
      <c r="M799" s="2" t="n">
        <v>216</v>
      </c>
      <c r="N799" s="2" t="n">
        <v>16</v>
      </c>
      <c r="O799" s="2" t="n">
        <v>9</v>
      </c>
      <c r="P799" s="2" t="n">
        <v>78</v>
      </c>
      <c r="Q799" s="2" t="n">
        <v>64</v>
      </c>
      <c r="R799" s="2" t="n">
        <v>16</v>
      </c>
      <c r="S799" s="2" t="n">
        <v>15</v>
      </c>
      <c r="T799" s="2" t="s">
        <v>66</v>
      </c>
      <c r="U799" s="4" t="n">
        <f aca="false">(M799+N799+O799+P799)/L799</f>
        <v>0.0546982167352538</v>
      </c>
      <c r="V799" s="2" t="str">
        <f aca="false">IF(S799&lt;=5,"Late night (0-5)",IF(S799&lt;=11,"Morning (6-11)",IF(S799&lt;=17,"Afternoon (12-17)","Evening (18-23)")))</f>
        <v>Afternoon (12-17)</v>
      </c>
    </row>
    <row r="800" customFormat="false" ht="15" hidden="false" customHeight="false" outlineLevel="0" collapsed="false">
      <c r="A800" s="2" t="s">
        <v>1513</v>
      </c>
      <c r="B800" s="2" t="s">
        <v>64</v>
      </c>
      <c r="C800" s="2" t="s">
        <v>36</v>
      </c>
      <c r="D800" s="3" t="n">
        <v>45797</v>
      </c>
      <c r="E800" s="2" t="s">
        <v>1514</v>
      </c>
      <c r="F800" s="2" t="s">
        <v>32</v>
      </c>
      <c r="G800" s="2" t="n">
        <v>43781</v>
      </c>
      <c r="H800" s="2" t="n">
        <v>6</v>
      </c>
      <c r="I800" s="2" t="n">
        <v>210</v>
      </c>
      <c r="J800" s="2" t="n">
        <v>1</v>
      </c>
      <c r="K800" s="2" t="n">
        <v>89956</v>
      </c>
      <c r="L800" s="2" t="n">
        <v>60793</v>
      </c>
      <c r="M800" s="2" t="n">
        <v>5749</v>
      </c>
      <c r="N800" s="2" t="n">
        <v>119</v>
      </c>
      <c r="O800" s="2" t="n">
        <v>1491</v>
      </c>
      <c r="P800" s="2" t="n">
        <v>1117</v>
      </c>
      <c r="Q800" s="2" t="n">
        <v>1453</v>
      </c>
      <c r="R800" s="2" t="n">
        <v>347</v>
      </c>
      <c r="S800" s="2" t="n">
        <v>22</v>
      </c>
      <c r="T800" s="2" t="s">
        <v>51</v>
      </c>
      <c r="U800" s="4" t="n">
        <f aca="false">(M800+N800+O800+P800)/L800</f>
        <v>0.139423946835984</v>
      </c>
      <c r="V800" s="2" t="str">
        <f aca="false">IF(S800&lt;=5,"Late night (0-5)",IF(S800&lt;=11,"Morning (6-11)",IF(S800&lt;=17,"Afternoon (12-17)","Evening (18-23)")))</f>
        <v>Evening (18-23)</v>
      </c>
    </row>
    <row r="801" customFormat="false" ht="15" hidden="false" customHeight="false" outlineLevel="0" collapsed="false">
      <c r="A801" s="2" t="s">
        <v>1515</v>
      </c>
      <c r="B801" s="2" t="s">
        <v>240</v>
      </c>
      <c r="C801" s="2" t="s">
        <v>41</v>
      </c>
      <c r="D801" s="3" t="n">
        <v>45669</v>
      </c>
      <c r="E801" s="2" t="s">
        <v>667</v>
      </c>
      <c r="F801" s="2" t="s">
        <v>38</v>
      </c>
      <c r="G801" s="2" t="n">
        <v>83197</v>
      </c>
      <c r="H801" s="2" t="n">
        <v>11</v>
      </c>
      <c r="I801" s="2" t="n">
        <v>320</v>
      </c>
      <c r="J801" s="2" t="n">
        <v>0</v>
      </c>
      <c r="K801" s="2" t="n">
        <v>109233</v>
      </c>
      <c r="L801" s="2" t="n">
        <v>90140</v>
      </c>
      <c r="M801" s="2" t="n">
        <v>4438</v>
      </c>
      <c r="N801" s="2" t="n">
        <v>345</v>
      </c>
      <c r="O801" s="2" t="n">
        <v>602</v>
      </c>
      <c r="P801" s="2" t="n">
        <v>529</v>
      </c>
      <c r="Q801" s="2" t="n">
        <v>1466</v>
      </c>
      <c r="R801" s="2" t="n">
        <v>379</v>
      </c>
      <c r="S801" s="2" t="n">
        <v>15</v>
      </c>
      <c r="T801" s="2" t="s">
        <v>27</v>
      </c>
      <c r="U801" s="4" t="n">
        <f aca="false">(M801+N801+O801+P801)/L801</f>
        <v>0.065609052584868</v>
      </c>
      <c r="V801" s="2" t="str">
        <f aca="false">IF(S801&lt;=5,"Late night (0-5)",IF(S801&lt;=11,"Morning (6-11)",IF(S801&lt;=17,"Afternoon (12-17)","Evening (18-23)")))</f>
        <v>Afternoon (12-17)</v>
      </c>
    </row>
    <row r="802" customFormat="false" ht="15" hidden="false" customHeight="false" outlineLevel="0" collapsed="false">
      <c r="A802" s="2" t="s">
        <v>1516</v>
      </c>
      <c r="B802" s="2" t="s">
        <v>371</v>
      </c>
      <c r="C802" s="2" t="s">
        <v>48</v>
      </c>
      <c r="D802" s="3" t="n">
        <v>45747</v>
      </c>
      <c r="E802" s="2" t="s">
        <v>1134</v>
      </c>
      <c r="F802" s="2" t="s">
        <v>26</v>
      </c>
      <c r="G802" s="2" t="n">
        <v>42479</v>
      </c>
      <c r="H802" s="2" t="n">
        <v>9</v>
      </c>
      <c r="I802" s="2" t="n">
        <v>258</v>
      </c>
      <c r="J802" s="2" t="n">
        <v>1</v>
      </c>
      <c r="K802" s="2" t="n">
        <v>30530</v>
      </c>
      <c r="L802" s="2" t="n">
        <v>26046</v>
      </c>
      <c r="M802" s="2" t="n">
        <v>1009</v>
      </c>
      <c r="N802" s="2" t="n">
        <v>21</v>
      </c>
      <c r="O802" s="2" t="n">
        <v>92</v>
      </c>
      <c r="P802" s="2" t="n">
        <v>296</v>
      </c>
      <c r="Q802" s="2" t="n">
        <v>469</v>
      </c>
      <c r="R802" s="2" t="n">
        <v>102</v>
      </c>
      <c r="S802" s="2" t="n">
        <v>9</v>
      </c>
      <c r="T802" s="2" t="s">
        <v>33</v>
      </c>
      <c r="U802" s="4" t="n">
        <f aca="false">(M802+N802+O802+P802)/L802</f>
        <v>0.0544421408277663</v>
      </c>
      <c r="V802" s="2" t="str">
        <f aca="false">IF(S802&lt;=5,"Late night (0-5)",IF(S802&lt;=11,"Morning (6-11)",IF(S802&lt;=17,"Afternoon (12-17)","Evening (18-23)")))</f>
        <v>Morning (6-11)</v>
      </c>
    </row>
    <row r="803" customFormat="false" ht="15" hidden="false" customHeight="false" outlineLevel="0" collapsed="false">
      <c r="A803" s="2" t="s">
        <v>1517</v>
      </c>
      <c r="B803" s="2" t="s">
        <v>35</v>
      </c>
      <c r="C803" s="2" t="s">
        <v>36</v>
      </c>
      <c r="D803" s="3" t="n">
        <v>45701</v>
      </c>
      <c r="E803" s="2" t="s">
        <v>1518</v>
      </c>
      <c r="F803" s="2" t="s">
        <v>32</v>
      </c>
      <c r="G803" s="2" t="n">
        <v>33933</v>
      </c>
      <c r="H803" s="2" t="n">
        <v>12</v>
      </c>
      <c r="I803" s="2" t="n">
        <v>235</v>
      </c>
      <c r="J803" s="2" t="n">
        <v>0</v>
      </c>
      <c r="K803" s="2" t="n">
        <v>99879</v>
      </c>
      <c r="L803" s="2" t="n">
        <v>61461</v>
      </c>
      <c r="M803" s="2" t="n">
        <v>2642</v>
      </c>
      <c r="N803" s="2" t="n">
        <v>120</v>
      </c>
      <c r="O803" s="2" t="n">
        <v>454</v>
      </c>
      <c r="P803" s="2" t="n">
        <v>681</v>
      </c>
      <c r="Q803" s="2" t="n">
        <v>1558</v>
      </c>
      <c r="R803" s="2" t="n">
        <v>408</v>
      </c>
      <c r="S803" s="2" t="n">
        <v>12</v>
      </c>
      <c r="T803" s="2" t="s">
        <v>79</v>
      </c>
      <c r="U803" s="4" t="n">
        <f aca="false">(M803+N803+O803+P803)/L803</f>
        <v>0.0634060623810221</v>
      </c>
      <c r="V803" s="2" t="str">
        <f aca="false">IF(S803&lt;=5,"Late night (0-5)",IF(S803&lt;=11,"Morning (6-11)",IF(S803&lt;=17,"Afternoon (12-17)","Evening (18-23)")))</f>
        <v>Afternoon (12-17)</v>
      </c>
    </row>
    <row r="804" customFormat="false" ht="15" hidden="false" customHeight="false" outlineLevel="0" collapsed="false">
      <c r="A804" s="2" t="s">
        <v>1519</v>
      </c>
      <c r="B804" s="2" t="s">
        <v>141</v>
      </c>
      <c r="C804" s="2" t="s">
        <v>48</v>
      </c>
      <c r="D804" s="3" t="n">
        <v>45673</v>
      </c>
      <c r="E804" s="2" t="s">
        <v>1520</v>
      </c>
      <c r="F804" s="2" t="s">
        <v>26</v>
      </c>
      <c r="G804" s="2" t="n">
        <v>16119</v>
      </c>
      <c r="H804" s="2" t="n">
        <v>18</v>
      </c>
      <c r="I804" s="2" t="n">
        <v>182</v>
      </c>
      <c r="J804" s="2" t="n">
        <v>1</v>
      </c>
      <c r="K804" s="2" t="n">
        <v>12334</v>
      </c>
      <c r="L804" s="2" t="n">
        <v>9565</v>
      </c>
      <c r="M804" s="2" t="n">
        <v>612</v>
      </c>
      <c r="N804" s="2" t="n">
        <v>29</v>
      </c>
      <c r="O804" s="2" t="n">
        <v>110</v>
      </c>
      <c r="P804" s="2" t="n">
        <v>244</v>
      </c>
      <c r="Q804" s="2" t="n">
        <v>100</v>
      </c>
      <c r="R804" s="2" t="n">
        <v>7</v>
      </c>
      <c r="S804" s="2" t="n">
        <v>20</v>
      </c>
      <c r="T804" s="2" t="s">
        <v>79</v>
      </c>
      <c r="U804" s="4" t="n">
        <f aca="false">(M804+N804+O804+P804)/L804</f>
        <v>0.104025091479352</v>
      </c>
      <c r="V804" s="2" t="str">
        <f aca="false">IF(S804&lt;=5,"Late night (0-5)",IF(S804&lt;=11,"Morning (6-11)",IF(S804&lt;=17,"Afternoon (12-17)","Evening (18-23)")))</f>
        <v>Evening (18-23)</v>
      </c>
    </row>
    <row r="805" customFormat="false" ht="15" hidden="false" customHeight="false" outlineLevel="0" collapsed="false">
      <c r="A805" s="2" t="s">
        <v>1521</v>
      </c>
      <c r="B805" s="2" t="s">
        <v>193</v>
      </c>
      <c r="C805" s="2" t="s">
        <v>36</v>
      </c>
      <c r="D805" s="3" t="n">
        <v>45989</v>
      </c>
      <c r="E805" s="2" t="s">
        <v>1522</v>
      </c>
      <c r="F805" s="2" t="s">
        <v>50</v>
      </c>
      <c r="G805" s="2" t="n">
        <v>26454</v>
      </c>
      <c r="H805" s="2" t="n">
        <v>7</v>
      </c>
      <c r="I805" s="2" t="n">
        <v>279</v>
      </c>
      <c r="J805" s="2" t="n">
        <v>0</v>
      </c>
      <c r="K805" s="2" t="n">
        <v>18071</v>
      </c>
      <c r="L805" s="2" t="n">
        <v>13538</v>
      </c>
      <c r="M805" s="2" t="n">
        <v>545</v>
      </c>
      <c r="N805" s="2" t="n">
        <v>26</v>
      </c>
      <c r="O805" s="2" t="n">
        <v>55</v>
      </c>
      <c r="P805" s="2" t="n">
        <v>94</v>
      </c>
      <c r="Q805" s="2" t="n">
        <v>381</v>
      </c>
      <c r="R805" s="2" t="n">
        <v>64</v>
      </c>
      <c r="S805" s="2" t="n">
        <v>22</v>
      </c>
      <c r="T805" s="2" t="s">
        <v>96</v>
      </c>
      <c r="U805" s="4" t="n">
        <f aca="false">(M805+N805+O805+P805)/L805</f>
        <v>0.0531836312601566</v>
      </c>
      <c r="V805" s="2" t="str">
        <f aca="false">IF(S805&lt;=5,"Late night (0-5)",IF(S805&lt;=11,"Morning (6-11)",IF(S805&lt;=17,"Afternoon (12-17)","Evening (18-23)")))</f>
        <v>Evening (18-23)</v>
      </c>
    </row>
    <row r="806" customFormat="false" ht="15" hidden="false" customHeight="false" outlineLevel="0" collapsed="false">
      <c r="A806" s="2" t="s">
        <v>1523</v>
      </c>
      <c r="B806" s="2" t="s">
        <v>47</v>
      </c>
      <c r="C806" s="2" t="s">
        <v>48</v>
      </c>
      <c r="D806" s="3" t="n">
        <v>45679</v>
      </c>
      <c r="E806" s="2" t="s">
        <v>1524</v>
      </c>
      <c r="F806" s="2" t="s">
        <v>26</v>
      </c>
      <c r="G806" s="2" t="n">
        <v>19609</v>
      </c>
      <c r="H806" s="2" t="n">
        <v>5</v>
      </c>
      <c r="I806" s="2" t="n">
        <v>244</v>
      </c>
      <c r="J806" s="2" t="n">
        <v>1</v>
      </c>
      <c r="K806" s="2" t="n">
        <v>20487</v>
      </c>
      <c r="L806" s="2" t="n">
        <v>12201</v>
      </c>
      <c r="M806" s="2" t="n">
        <v>409</v>
      </c>
      <c r="N806" s="2" t="n">
        <v>23</v>
      </c>
      <c r="O806" s="2" t="n">
        <v>58</v>
      </c>
      <c r="P806" s="2" t="n">
        <v>49</v>
      </c>
      <c r="Q806" s="2" t="n">
        <v>229</v>
      </c>
      <c r="R806" s="2" t="n">
        <v>25</v>
      </c>
      <c r="S806" s="2" t="n">
        <v>5</v>
      </c>
      <c r="T806" s="2" t="s">
        <v>66</v>
      </c>
      <c r="U806" s="4" t="n">
        <f aca="false">(M806+N806+O806+P806)/L806</f>
        <v>0.0441767068273092</v>
      </c>
      <c r="V806" s="2" t="str">
        <f aca="false">IF(S806&lt;=5,"Late night (0-5)",IF(S806&lt;=11,"Morning (6-11)",IF(S806&lt;=17,"Afternoon (12-17)","Evening (18-23)")))</f>
        <v>Late night (0-5)</v>
      </c>
    </row>
    <row r="807" customFormat="false" ht="15" hidden="false" customHeight="false" outlineLevel="0" collapsed="false">
      <c r="A807" s="2" t="s">
        <v>1525</v>
      </c>
      <c r="B807" s="2" t="s">
        <v>135</v>
      </c>
      <c r="C807" s="2" t="s">
        <v>36</v>
      </c>
      <c r="D807" s="3" t="n">
        <v>45767</v>
      </c>
      <c r="E807" s="2" t="s">
        <v>1526</v>
      </c>
      <c r="F807" s="2" t="s">
        <v>32</v>
      </c>
      <c r="G807" s="2" t="n">
        <v>45812</v>
      </c>
      <c r="H807" s="2" t="n">
        <v>7</v>
      </c>
      <c r="I807" s="2" t="n">
        <v>157</v>
      </c>
      <c r="J807" s="2" t="n">
        <v>0</v>
      </c>
      <c r="K807" s="2" t="n">
        <v>61306</v>
      </c>
      <c r="L807" s="2" t="n">
        <v>37087</v>
      </c>
      <c r="M807" s="2" t="n">
        <v>1862</v>
      </c>
      <c r="N807" s="2" t="n">
        <v>78</v>
      </c>
      <c r="O807" s="2" t="n">
        <v>454</v>
      </c>
      <c r="P807" s="2" t="n">
        <v>338</v>
      </c>
      <c r="Q807" s="2" t="n">
        <v>347</v>
      </c>
      <c r="R807" s="2" t="n">
        <v>51</v>
      </c>
      <c r="S807" s="2" t="n">
        <v>23</v>
      </c>
      <c r="T807" s="2" t="s">
        <v>27</v>
      </c>
      <c r="U807" s="4" t="n">
        <f aca="false">(M807+N807+O807+P807)/L807</f>
        <v>0.0736646264189608</v>
      </c>
      <c r="V807" s="2" t="str">
        <f aca="false">IF(S807&lt;=5,"Late night (0-5)",IF(S807&lt;=11,"Morning (6-11)",IF(S807&lt;=17,"Afternoon (12-17)","Evening (18-23)")))</f>
        <v>Evening (18-23)</v>
      </c>
    </row>
    <row r="808" customFormat="false" ht="15" hidden="false" customHeight="false" outlineLevel="0" collapsed="false">
      <c r="A808" s="2" t="s">
        <v>1527</v>
      </c>
      <c r="B808" s="2" t="s">
        <v>374</v>
      </c>
      <c r="C808" s="2" t="s">
        <v>24</v>
      </c>
      <c r="D808" s="3" t="n">
        <v>45782</v>
      </c>
      <c r="E808" s="2" t="s">
        <v>230</v>
      </c>
      <c r="F808" s="2" t="s">
        <v>32</v>
      </c>
      <c r="G808" s="2" t="n">
        <v>9509</v>
      </c>
      <c r="H808" s="2" t="n">
        <v>18</v>
      </c>
      <c r="I808" s="2" t="n">
        <v>10</v>
      </c>
      <c r="J808" s="2" t="n">
        <v>1</v>
      </c>
      <c r="K808" s="2" t="n">
        <v>35639</v>
      </c>
      <c r="L808" s="2" t="n">
        <v>20449</v>
      </c>
      <c r="M808" s="2" t="n">
        <v>1965</v>
      </c>
      <c r="N808" s="2" t="n">
        <v>124</v>
      </c>
      <c r="O808" s="2" t="n">
        <v>278</v>
      </c>
      <c r="P808" s="2" t="n">
        <v>387</v>
      </c>
      <c r="Q808" s="2" t="n">
        <v>220</v>
      </c>
      <c r="R808" s="2" t="n">
        <v>46</v>
      </c>
      <c r="S808" s="2" t="n">
        <v>23</v>
      </c>
      <c r="T808" s="2" t="s">
        <v>33</v>
      </c>
      <c r="U808" s="4" t="n">
        <f aca="false">(M808+N808+O808+P808)/L808</f>
        <v>0.13467651229889</v>
      </c>
      <c r="V808" s="2" t="str">
        <f aca="false">IF(S808&lt;=5,"Late night (0-5)",IF(S808&lt;=11,"Morning (6-11)",IF(S808&lt;=17,"Afternoon (12-17)","Evening (18-23)")))</f>
        <v>Evening (18-23)</v>
      </c>
    </row>
    <row r="809" customFormat="false" ht="15" hidden="false" customHeight="false" outlineLevel="0" collapsed="false">
      <c r="A809" s="2" t="s">
        <v>1528</v>
      </c>
      <c r="B809" s="2" t="s">
        <v>206</v>
      </c>
      <c r="C809" s="2" t="s">
        <v>48</v>
      </c>
      <c r="D809" s="3" t="n">
        <v>45889</v>
      </c>
      <c r="E809" s="2" t="s">
        <v>1219</v>
      </c>
      <c r="F809" s="2" t="s">
        <v>32</v>
      </c>
      <c r="G809" s="2" t="n">
        <v>42937</v>
      </c>
      <c r="H809" s="2" t="n">
        <v>10</v>
      </c>
      <c r="I809" s="2" t="n">
        <v>167</v>
      </c>
      <c r="J809" s="2" t="n">
        <v>0</v>
      </c>
      <c r="K809" s="2" t="n">
        <v>78796</v>
      </c>
      <c r="L809" s="2" t="n">
        <v>58007</v>
      </c>
      <c r="M809" s="2" t="n">
        <v>3881</v>
      </c>
      <c r="N809" s="2" t="n">
        <v>106</v>
      </c>
      <c r="O809" s="2" t="n">
        <v>553</v>
      </c>
      <c r="P809" s="2" t="n">
        <v>1025</v>
      </c>
      <c r="Q809" s="2" t="n">
        <v>493</v>
      </c>
      <c r="R809" s="2" t="n">
        <v>96</v>
      </c>
      <c r="S809" s="2" t="n">
        <v>0</v>
      </c>
      <c r="T809" s="2" t="s">
        <v>66</v>
      </c>
      <c r="U809" s="4" t="n">
        <f aca="false">(M809+N809+O809+P809)/L809</f>
        <v>0.095936697295154</v>
      </c>
      <c r="V809" s="2" t="str">
        <f aca="false">IF(S809&lt;=5,"Late night (0-5)",IF(S809&lt;=11,"Morning (6-11)",IF(S809&lt;=17,"Afternoon (12-17)","Evening (18-23)")))</f>
        <v>Late night (0-5)</v>
      </c>
    </row>
    <row r="810" customFormat="false" ht="15" hidden="false" customHeight="false" outlineLevel="0" collapsed="false">
      <c r="A810" s="2" t="s">
        <v>1529</v>
      </c>
      <c r="B810" s="2" t="s">
        <v>227</v>
      </c>
      <c r="C810" s="2" t="s">
        <v>54</v>
      </c>
      <c r="D810" s="3" t="n">
        <v>45749</v>
      </c>
      <c r="E810" s="2" t="s">
        <v>1530</v>
      </c>
      <c r="F810" s="2" t="s">
        <v>38</v>
      </c>
      <c r="G810" s="2" t="n">
        <v>11796</v>
      </c>
      <c r="H810" s="2" t="n">
        <v>6</v>
      </c>
      <c r="I810" s="2" t="n">
        <v>324</v>
      </c>
      <c r="J810" s="2" t="n">
        <v>1</v>
      </c>
      <c r="K810" s="2" t="n">
        <v>15973</v>
      </c>
      <c r="L810" s="2" t="n">
        <v>10572</v>
      </c>
      <c r="M810" s="2" t="n">
        <v>637</v>
      </c>
      <c r="N810" s="2" t="n">
        <v>41</v>
      </c>
      <c r="O810" s="2" t="n">
        <v>115</v>
      </c>
      <c r="P810" s="2" t="n">
        <v>71</v>
      </c>
      <c r="Q810" s="2" t="n">
        <v>296</v>
      </c>
      <c r="R810" s="2" t="n">
        <v>53</v>
      </c>
      <c r="S810" s="2" t="n">
        <v>4</v>
      </c>
      <c r="T810" s="2" t="s">
        <v>66</v>
      </c>
      <c r="U810" s="4" t="n">
        <f aca="false">(M810+N810+O810+P810)/L810</f>
        <v>0.0817253121452894</v>
      </c>
      <c r="V810" s="2" t="str">
        <f aca="false">IF(S810&lt;=5,"Late night (0-5)",IF(S810&lt;=11,"Morning (6-11)",IF(S810&lt;=17,"Afternoon (12-17)","Evening (18-23)")))</f>
        <v>Late night (0-5)</v>
      </c>
    </row>
    <row r="811" customFormat="false" ht="15" hidden="false" customHeight="false" outlineLevel="0" collapsed="false">
      <c r="A811" s="2" t="s">
        <v>1531</v>
      </c>
      <c r="B811" s="2" t="s">
        <v>64</v>
      </c>
      <c r="C811" s="2" t="s">
        <v>36</v>
      </c>
      <c r="D811" s="3" t="n">
        <v>45730</v>
      </c>
      <c r="E811" s="2" t="s">
        <v>710</v>
      </c>
      <c r="F811" s="2" t="s">
        <v>32</v>
      </c>
      <c r="G811" s="2" t="n">
        <v>43781</v>
      </c>
      <c r="H811" s="2" t="n">
        <v>9</v>
      </c>
      <c r="I811" s="2" t="n">
        <v>175</v>
      </c>
      <c r="J811" s="2" t="n">
        <v>0</v>
      </c>
      <c r="K811" s="2" t="n">
        <v>98962</v>
      </c>
      <c r="L811" s="2" t="n">
        <v>56265</v>
      </c>
      <c r="M811" s="2" t="n">
        <v>5618</v>
      </c>
      <c r="N811" s="2" t="n">
        <v>225</v>
      </c>
      <c r="O811" s="2" t="n">
        <v>1365</v>
      </c>
      <c r="P811" s="2" t="n">
        <v>415</v>
      </c>
      <c r="Q811" s="2" t="n">
        <v>1322</v>
      </c>
      <c r="R811" s="2" t="n">
        <v>159</v>
      </c>
      <c r="S811" s="2" t="n">
        <v>8</v>
      </c>
      <c r="T811" s="2" t="s">
        <v>96</v>
      </c>
      <c r="U811" s="4" t="n">
        <f aca="false">(M811+N811+O811+P811)/L811</f>
        <v>0.135483870967742</v>
      </c>
      <c r="V811" s="2" t="str">
        <f aca="false">IF(S811&lt;=5,"Late night (0-5)",IF(S811&lt;=11,"Morning (6-11)",IF(S811&lt;=17,"Afternoon (12-17)","Evening (18-23)")))</f>
        <v>Morning (6-11)</v>
      </c>
    </row>
    <row r="812" customFormat="false" ht="15" hidden="false" customHeight="false" outlineLevel="0" collapsed="false">
      <c r="A812" s="2" t="s">
        <v>1532</v>
      </c>
      <c r="B812" s="2" t="s">
        <v>60</v>
      </c>
      <c r="C812" s="2" t="s">
        <v>41</v>
      </c>
      <c r="D812" s="3" t="n">
        <v>45980</v>
      </c>
      <c r="E812" s="2" t="s">
        <v>1533</v>
      </c>
      <c r="F812" s="2" t="s">
        <v>32</v>
      </c>
      <c r="G812" s="2" t="n">
        <v>7512</v>
      </c>
      <c r="H812" s="2" t="n">
        <v>10</v>
      </c>
      <c r="I812" s="2" t="n">
        <v>70</v>
      </c>
      <c r="J812" s="2" t="n">
        <v>1</v>
      </c>
      <c r="K812" s="2" t="n">
        <v>20559</v>
      </c>
      <c r="L812" s="2" t="n">
        <v>14815</v>
      </c>
      <c r="M812" s="2" t="n">
        <v>1143</v>
      </c>
      <c r="N812" s="2" t="n">
        <v>83</v>
      </c>
      <c r="O812" s="2" t="n">
        <v>157</v>
      </c>
      <c r="P812" s="2" t="n">
        <v>170</v>
      </c>
      <c r="Q812" s="2" t="n">
        <v>394</v>
      </c>
      <c r="R812" s="2" t="n">
        <v>54</v>
      </c>
      <c r="S812" s="2" t="n">
        <v>12</v>
      </c>
      <c r="T812" s="2" t="s">
        <v>66</v>
      </c>
      <c r="U812" s="4" t="n">
        <f aca="false">(M812+N812+O812+P812)/L812</f>
        <v>0.104826189672629</v>
      </c>
      <c r="V812" s="2" t="str">
        <f aca="false">IF(S812&lt;=5,"Late night (0-5)",IF(S812&lt;=11,"Morning (6-11)",IF(S812&lt;=17,"Afternoon (12-17)","Evening (18-23)")))</f>
        <v>Afternoon (12-17)</v>
      </c>
    </row>
    <row r="813" customFormat="false" ht="15" hidden="false" customHeight="false" outlineLevel="0" collapsed="false">
      <c r="A813" s="2" t="s">
        <v>1534</v>
      </c>
      <c r="B813" s="2" t="s">
        <v>68</v>
      </c>
      <c r="C813" s="2" t="s">
        <v>54</v>
      </c>
      <c r="D813" s="3" t="n">
        <v>46017</v>
      </c>
      <c r="E813" s="2" t="s">
        <v>1535</v>
      </c>
      <c r="F813" s="2" t="s">
        <v>26</v>
      </c>
      <c r="G813" s="2" t="n">
        <v>35922</v>
      </c>
      <c r="H813" s="2" t="n">
        <v>8</v>
      </c>
      <c r="I813" s="2" t="n">
        <v>211</v>
      </c>
      <c r="J813" s="2" t="n">
        <v>0</v>
      </c>
      <c r="K813" s="2" t="n">
        <v>20439</v>
      </c>
      <c r="L813" s="2" t="n">
        <v>14402</v>
      </c>
      <c r="M813" s="2" t="n">
        <v>747</v>
      </c>
      <c r="N813" s="2" t="n">
        <v>45</v>
      </c>
      <c r="O813" s="2" t="n">
        <v>24</v>
      </c>
      <c r="P813" s="2" t="n">
        <v>280</v>
      </c>
      <c r="Q813" s="2" t="n">
        <v>108</v>
      </c>
      <c r="R813" s="2" t="n">
        <v>32</v>
      </c>
      <c r="S813" s="2" t="n">
        <v>10</v>
      </c>
      <c r="T813" s="2" t="s">
        <v>96</v>
      </c>
      <c r="U813" s="4" t="n">
        <f aca="false">(M813+N813+O813+P813)/L813</f>
        <v>0.0761005415914456</v>
      </c>
      <c r="V813" s="2" t="str">
        <f aca="false">IF(S813&lt;=5,"Late night (0-5)",IF(S813&lt;=11,"Morning (6-11)",IF(S813&lt;=17,"Afternoon (12-17)","Evening (18-23)")))</f>
        <v>Morning (6-11)</v>
      </c>
    </row>
    <row r="814" customFormat="false" ht="15" hidden="false" customHeight="false" outlineLevel="0" collapsed="false">
      <c r="A814" s="2" t="s">
        <v>1536</v>
      </c>
      <c r="B814" s="2" t="s">
        <v>243</v>
      </c>
      <c r="C814" s="2" t="s">
        <v>91</v>
      </c>
      <c r="D814" s="3" t="n">
        <v>45977</v>
      </c>
      <c r="E814" s="2" t="s">
        <v>1031</v>
      </c>
      <c r="F814" s="2" t="s">
        <v>38</v>
      </c>
      <c r="G814" s="2" t="n">
        <v>42046</v>
      </c>
      <c r="H814" s="2" t="n">
        <v>16</v>
      </c>
      <c r="I814" s="2" t="n">
        <v>252</v>
      </c>
      <c r="J814" s="2" t="n">
        <v>1</v>
      </c>
      <c r="K814" s="2" t="n">
        <v>16267</v>
      </c>
      <c r="L814" s="2" t="n">
        <v>9228</v>
      </c>
      <c r="M814" s="2" t="n">
        <v>620</v>
      </c>
      <c r="N814" s="2" t="n">
        <v>49</v>
      </c>
      <c r="O814" s="2" t="n">
        <v>71</v>
      </c>
      <c r="P814" s="2" t="n">
        <v>89</v>
      </c>
      <c r="Q814" s="2" t="n">
        <v>152</v>
      </c>
      <c r="R814" s="2" t="n">
        <v>9</v>
      </c>
      <c r="S814" s="2" t="n">
        <v>2</v>
      </c>
      <c r="T814" s="2" t="s">
        <v>27</v>
      </c>
      <c r="U814" s="4" t="n">
        <f aca="false">(M814+N814+O814+P814)/L814</f>
        <v>0.0898352839185089</v>
      </c>
      <c r="V814" s="2" t="str">
        <f aca="false">IF(S814&lt;=5,"Late night (0-5)",IF(S814&lt;=11,"Morning (6-11)",IF(S814&lt;=17,"Afternoon (12-17)","Evening (18-23)")))</f>
        <v>Late night (0-5)</v>
      </c>
    </row>
    <row r="815" customFormat="false" ht="15" hidden="false" customHeight="false" outlineLevel="0" collapsed="false">
      <c r="A815" s="2" t="s">
        <v>1537</v>
      </c>
      <c r="B815" s="2" t="s">
        <v>103</v>
      </c>
      <c r="C815" s="2" t="s">
        <v>36</v>
      </c>
      <c r="D815" s="3" t="n">
        <v>45734</v>
      </c>
      <c r="E815" s="2" t="s">
        <v>1538</v>
      </c>
      <c r="F815" s="2" t="s">
        <v>32</v>
      </c>
      <c r="G815" s="2" t="n">
        <v>56979</v>
      </c>
      <c r="H815" s="2" t="n">
        <v>19</v>
      </c>
      <c r="I815" s="2" t="n">
        <v>239</v>
      </c>
      <c r="J815" s="2" t="n">
        <v>0</v>
      </c>
      <c r="K815" s="2" t="n">
        <v>115139</v>
      </c>
      <c r="L815" s="2" t="n">
        <v>64826</v>
      </c>
      <c r="M815" s="2" t="n">
        <v>3007</v>
      </c>
      <c r="N815" s="2" t="n">
        <v>72</v>
      </c>
      <c r="O815" s="2" t="n">
        <v>761</v>
      </c>
      <c r="P815" s="2" t="n">
        <v>153</v>
      </c>
      <c r="Q815" s="2" t="n">
        <v>1234</v>
      </c>
      <c r="R815" s="2" t="n">
        <v>62</v>
      </c>
      <c r="S815" s="2" t="n">
        <v>21</v>
      </c>
      <c r="T815" s="2" t="s">
        <v>51</v>
      </c>
      <c r="U815" s="4" t="n">
        <f aca="false">(M815+N815+O815+P815)/L815</f>
        <v>0.061595656063925</v>
      </c>
      <c r="V815" s="2" t="str">
        <f aca="false">IF(S815&lt;=5,"Late night (0-5)",IF(S815&lt;=11,"Morning (6-11)",IF(S815&lt;=17,"Afternoon (12-17)","Evening (18-23)")))</f>
        <v>Evening (18-23)</v>
      </c>
    </row>
    <row r="816" customFormat="false" ht="15" hidden="false" customHeight="false" outlineLevel="0" collapsed="false">
      <c r="A816" s="2" t="s">
        <v>1539</v>
      </c>
      <c r="B816" s="2" t="s">
        <v>90</v>
      </c>
      <c r="C816" s="2" t="s">
        <v>91</v>
      </c>
      <c r="D816" s="3" t="n">
        <v>45981</v>
      </c>
      <c r="E816" s="2" t="s">
        <v>1540</v>
      </c>
      <c r="F816" s="2" t="s">
        <v>38</v>
      </c>
      <c r="G816" s="2" t="n">
        <v>54788</v>
      </c>
      <c r="H816" s="2" t="n">
        <v>9</v>
      </c>
      <c r="I816" s="2" t="n">
        <v>165</v>
      </c>
      <c r="J816" s="2" t="n">
        <v>1</v>
      </c>
      <c r="K816" s="2" t="n">
        <v>85905</v>
      </c>
      <c r="L816" s="2" t="n">
        <v>61743</v>
      </c>
      <c r="M816" s="2" t="n">
        <v>4356</v>
      </c>
      <c r="N816" s="2" t="n">
        <v>184</v>
      </c>
      <c r="O816" s="2" t="n">
        <v>510</v>
      </c>
      <c r="P816" s="2" t="n">
        <v>422</v>
      </c>
      <c r="Q816" s="2" t="n">
        <v>548</v>
      </c>
      <c r="R816" s="2" t="n">
        <v>37</v>
      </c>
      <c r="S816" s="2" t="n">
        <v>12</v>
      </c>
      <c r="T816" s="2" t="s">
        <v>79</v>
      </c>
      <c r="U816" s="4" t="n">
        <f aca="false">(M816+N816+O816+P816)/L816</f>
        <v>0.0886254312229726</v>
      </c>
      <c r="V816" s="2" t="str">
        <f aca="false">IF(S816&lt;=5,"Late night (0-5)",IF(S816&lt;=11,"Morning (6-11)",IF(S816&lt;=17,"Afternoon (12-17)","Evening (18-23)")))</f>
        <v>Afternoon (12-17)</v>
      </c>
    </row>
    <row r="817" customFormat="false" ht="15" hidden="false" customHeight="false" outlineLevel="0" collapsed="false">
      <c r="A817" s="2" t="s">
        <v>1541</v>
      </c>
      <c r="B817" s="2" t="s">
        <v>111</v>
      </c>
      <c r="C817" s="2" t="s">
        <v>48</v>
      </c>
      <c r="D817" s="3" t="n">
        <v>45838</v>
      </c>
      <c r="E817" s="2" t="s">
        <v>245</v>
      </c>
      <c r="F817" s="2" t="s">
        <v>38</v>
      </c>
      <c r="G817" s="2" t="n">
        <v>16824</v>
      </c>
      <c r="H817" s="2" t="n">
        <v>2</v>
      </c>
      <c r="I817" s="2" t="n">
        <v>228</v>
      </c>
      <c r="J817" s="2" t="n">
        <v>1</v>
      </c>
      <c r="K817" s="2" t="n">
        <v>8665</v>
      </c>
      <c r="L817" s="2" t="n">
        <v>5692</v>
      </c>
      <c r="M817" s="2" t="n">
        <v>254</v>
      </c>
      <c r="N817" s="2" t="n">
        <v>5</v>
      </c>
      <c r="O817" s="2" t="n">
        <v>17</v>
      </c>
      <c r="P817" s="2" t="n">
        <v>41</v>
      </c>
      <c r="Q817" s="2" t="n">
        <v>87</v>
      </c>
      <c r="R817" s="2" t="n">
        <v>8</v>
      </c>
      <c r="S817" s="2" t="n">
        <v>7</v>
      </c>
      <c r="T817" s="2" t="s">
        <v>33</v>
      </c>
      <c r="U817" s="4" t="n">
        <f aca="false">(M817+N817+O817+P817)/L817</f>
        <v>0.0556921995783556</v>
      </c>
      <c r="V817" s="2" t="str">
        <f aca="false">IF(S817&lt;=5,"Late night (0-5)",IF(S817&lt;=11,"Morning (6-11)",IF(S817&lt;=17,"Afternoon (12-17)","Evening (18-23)")))</f>
        <v>Morning (6-11)</v>
      </c>
    </row>
    <row r="818" customFormat="false" ht="15" hidden="false" customHeight="false" outlineLevel="0" collapsed="false">
      <c r="A818" s="2" t="s">
        <v>1542</v>
      </c>
      <c r="B818" s="2" t="s">
        <v>53</v>
      </c>
      <c r="C818" s="2" t="s">
        <v>54</v>
      </c>
      <c r="D818" s="3" t="n">
        <v>45680</v>
      </c>
      <c r="E818" s="2" t="s">
        <v>1543</v>
      </c>
      <c r="F818" s="2" t="s">
        <v>32</v>
      </c>
      <c r="G818" s="2" t="n">
        <v>11318</v>
      </c>
      <c r="H818" s="2" t="n">
        <v>20</v>
      </c>
      <c r="I818" s="2" t="n">
        <v>289</v>
      </c>
      <c r="J818" s="2" t="n">
        <v>1</v>
      </c>
      <c r="K818" s="2" t="n">
        <v>31416</v>
      </c>
      <c r="L818" s="2" t="n">
        <v>27953</v>
      </c>
      <c r="M818" s="2" t="n">
        <v>1239</v>
      </c>
      <c r="N818" s="2" t="n">
        <v>53</v>
      </c>
      <c r="O818" s="2" t="n">
        <v>360</v>
      </c>
      <c r="P818" s="2" t="n">
        <v>231</v>
      </c>
      <c r="Q818" s="2" t="n">
        <v>357</v>
      </c>
      <c r="R818" s="2" t="n">
        <v>54</v>
      </c>
      <c r="S818" s="2" t="n">
        <v>15</v>
      </c>
      <c r="T818" s="2" t="s">
        <v>79</v>
      </c>
      <c r="U818" s="4" t="n">
        <f aca="false">(M818+N818+O818+P818)/L818</f>
        <v>0.0673630737309054</v>
      </c>
      <c r="V818" s="2" t="str">
        <f aca="false">IF(S818&lt;=5,"Late night (0-5)",IF(S818&lt;=11,"Morning (6-11)",IF(S818&lt;=17,"Afternoon (12-17)","Evening (18-23)")))</f>
        <v>Afternoon (12-17)</v>
      </c>
    </row>
    <row r="819" customFormat="false" ht="15" hidden="false" customHeight="false" outlineLevel="0" collapsed="false">
      <c r="A819" s="2" t="s">
        <v>1544</v>
      </c>
      <c r="B819" s="2" t="s">
        <v>71</v>
      </c>
      <c r="C819" s="2" t="s">
        <v>48</v>
      </c>
      <c r="D819" s="3" t="n">
        <v>45722</v>
      </c>
      <c r="E819" s="2" t="s">
        <v>1545</v>
      </c>
      <c r="F819" s="2" t="s">
        <v>50</v>
      </c>
      <c r="G819" s="2" t="n">
        <v>7316</v>
      </c>
      <c r="H819" s="2" t="n">
        <v>10</v>
      </c>
      <c r="I819" s="2" t="n">
        <v>77</v>
      </c>
      <c r="J819" s="2" t="n">
        <v>0</v>
      </c>
      <c r="K819" s="2" t="n">
        <v>10211</v>
      </c>
      <c r="L819" s="2" t="n">
        <v>8856</v>
      </c>
      <c r="M819" s="2" t="n">
        <v>558</v>
      </c>
      <c r="N819" s="2" t="n">
        <v>33</v>
      </c>
      <c r="O819" s="2" t="n">
        <v>94</v>
      </c>
      <c r="P819" s="2" t="n">
        <v>65</v>
      </c>
      <c r="Q819" s="2" t="n">
        <v>237</v>
      </c>
      <c r="R819" s="2" t="n">
        <v>66</v>
      </c>
      <c r="S819" s="2" t="n">
        <v>9</v>
      </c>
      <c r="T819" s="2" t="s">
        <v>79</v>
      </c>
      <c r="U819" s="4" t="n">
        <f aca="false">(M819+N819+O819+P819)/L819</f>
        <v>0.0846883468834688</v>
      </c>
      <c r="V819" s="2" t="str">
        <f aca="false">IF(S819&lt;=5,"Late night (0-5)",IF(S819&lt;=11,"Morning (6-11)",IF(S819&lt;=17,"Afternoon (12-17)","Evening (18-23)")))</f>
        <v>Morning (6-11)</v>
      </c>
    </row>
    <row r="820" customFormat="false" ht="15" hidden="false" customHeight="false" outlineLevel="0" collapsed="false">
      <c r="A820" s="2" t="s">
        <v>1546</v>
      </c>
      <c r="B820" s="2" t="s">
        <v>220</v>
      </c>
      <c r="C820" s="2" t="s">
        <v>48</v>
      </c>
      <c r="D820" s="3" t="n">
        <v>45707</v>
      </c>
      <c r="E820" s="2" t="s">
        <v>1547</v>
      </c>
      <c r="F820" s="2" t="s">
        <v>32</v>
      </c>
      <c r="G820" s="2" t="n">
        <v>18917</v>
      </c>
      <c r="H820" s="2" t="n">
        <v>8</v>
      </c>
      <c r="I820" s="2" t="n">
        <v>123</v>
      </c>
      <c r="J820" s="2" t="n">
        <v>0</v>
      </c>
      <c r="K820" s="2" t="n">
        <v>21645</v>
      </c>
      <c r="L820" s="2" t="n">
        <v>16663</v>
      </c>
      <c r="M820" s="2" t="n">
        <v>845</v>
      </c>
      <c r="N820" s="2" t="n">
        <v>31</v>
      </c>
      <c r="O820" s="2" t="n">
        <v>226</v>
      </c>
      <c r="P820" s="2" t="n">
        <v>103</v>
      </c>
      <c r="Q820" s="2" t="n">
        <v>276</v>
      </c>
      <c r="R820" s="2" t="n">
        <v>62</v>
      </c>
      <c r="S820" s="2" t="n">
        <v>2</v>
      </c>
      <c r="T820" s="2" t="s">
        <v>66</v>
      </c>
      <c r="U820" s="4" t="n">
        <f aca="false">(M820+N820+O820+P820)/L820</f>
        <v>0.07231590950009</v>
      </c>
      <c r="V820" s="2" t="str">
        <f aca="false">IF(S820&lt;=5,"Late night (0-5)",IF(S820&lt;=11,"Morning (6-11)",IF(S820&lt;=17,"Afternoon (12-17)","Evening (18-23)")))</f>
        <v>Late night (0-5)</v>
      </c>
    </row>
    <row r="821" customFormat="false" ht="15" hidden="false" customHeight="false" outlineLevel="0" collapsed="false">
      <c r="A821" s="2" t="s">
        <v>1548</v>
      </c>
      <c r="B821" s="2" t="s">
        <v>141</v>
      </c>
      <c r="C821" s="2" t="s">
        <v>48</v>
      </c>
      <c r="D821" s="3" t="n">
        <v>46005</v>
      </c>
      <c r="E821" s="2" t="s">
        <v>1549</v>
      </c>
      <c r="F821" s="2" t="s">
        <v>26</v>
      </c>
      <c r="G821" s="2" t="n">
        <v>16119</v>
      </c>
      <c r="H821" s="2" t="n">
        <v>9</v>
      </c>
      <c r="I821" s="2" t="n">
        <v>138</v>
      </c>
      <c r="J821" s="2" t="n">
        <v>0</v>
      </c>
      <c r="K821" s="2" t="n">
        <v>14432</v>
      </c>
      <c r="L821" s="2" t="n">
        <v>12574</v>
      </c>
      <c r="M821" s="2" t="n">
        <v>898</v>
      </c>
      <c r="N821" s="2" t="n">
        <v>56</v>
      </c>
      <c r="O821" s="2" t="n">
        <v>68</v>
      </c>
      <c r="P821" s="2" t="n">
        <v>124</v>
      </c>
      <c r="Q821" s="2" t="n">
        <v>130</v>
      </c>
      <c r="R821" s="2" t="n">
        <v>12</v>
      </c>
      <c r="S821" s="2" t="n">
        <v>15</v>
      </c>
      <c r="T821" s="2" t="s">
        <v>27</v>
      </c>
      <c r="U821" s="4" t="n">
        <f aca="false">(M821+N821+O821+P821)/L821</f>
        <v>0.0911404485446159</v>
      </c>
      <c r="V821" s="2" t="str">
        <f aca="false">IF(S821&lt;=5,"Late night (0-5)",IF(S821&lt;=11,"Morning (6-11)",IF(S821&lt;=17,"Afternoon (12-17)","Evening (18-23)")))</f>
        <v>Afternoon (12-17)</v>
      </c>
    </row>
    <row r="822" customFormat="false" ht="15" hidden="false" customHeight="false" outlineLevel="0" collapsed="false">
      <c r="A822" s="2" t="s">
        <v>1550</v>
      </c>
      <c r="B822" s="2" t="s">
        <v>310</v>
      </c>
      <c r="C822" s="2" t="s">
        <v>91</v>
      </c>
      <c r="D822" s="3" t="n">
        <v>46018</v>
      </c>
      <c r="E822" s="2" t="s">
        <v>1551</v>
      </c>
      <c r="F822" s="2" t="s">
        <v>32</v>
      </c>
      <c r="G822" s="2" t="n">
        <v>56571</v>
      </c>
      <c r="H822" s="2" t="n">
        <v>3</v>
      </c>
      <c r="I822" s="2" t="n">
        <v>129</v>
      </c>
      <c r="J822" s="2" t="n">
        <v>1</v>
      </c>
      <c r="K822" s="2" t="n">
        <v>74813</v>
      </c>
      <c r="L822" s="2" t="n">
        <v>56992</v>
      </c>
      <c r="M822" s="2" t="n">
        <v>3782</v>
      </c>
      <c r="N822" s="2" t="n">
        <v>217</v>
      </c>
      <c r="O822" s="2" t="n">
        <v>751</v>
      </c>
      <c r="P822" s="2" t="n">
        <v>849</v>
      </c>
      <c r="Q822" s="2" t="n">
        <v>508</v>
      </c>
      <c r="R822" s="2" t="n">
        <v>31</v>
      </c>
      <c r="S822" s="2" t="n">
        <v>20</v>
      </c>
      <c r="T822" s="2" t="s">
        <v>62</v>
      </c>
      <c r="U822" s="4" t="n">
        <f aca="false">(M822+N822+O822+P822)/L822</f>
        <v>0.098241858506457</v>
      </c>
      <c r="V822" s="2" t="str">
        <f aca="false">IF(S822&lt;=5,"Late night (0-5)",IF(S822&lt;=11,"Morning (6-11)",IF(S822&lt;=17,"Afternoon (12-17)","Evening (18-23)")))</f>
        <v>Evening (18-23)</v>
      </c>
    </row>
    <row r="823" customFormat="false" ht="15" hidden="false" customHeight="false" outlineLevel="0" collapsed="false">
      <c r="A823" s="2" t="s">
        <v>1552</v>
      </c>
      <c r="B823" s="2" t="s">
        <v>53</v>
      </c>
      <c r="C823" s="2" t="s">
        <v>54</v>
      </c>
      <c r="D823" s="3" t="n">
        <v>45853</v>
      </c>
      <c r="E823" s="2" t="s">
        <v>1553</v>
      </c>
      <c r="F823" s="2" t="s">
        <v>32</v>
      </c>
      <c r="G823" s="2" t="n">
        <v>11318</v>
      </c>
      <c r="H823" s="2" t="n">
        <v>9</v>
      </c>
      <c r="I823" s="2" t="n">
        <v>279</v>
      </c>
      <c r="J823" s="2" t="n">
        <v>1</v>
      </c>
      <c r="K823" s="2" t="n">
        <v>22510</v>
      </c>
      <c r="L823" s="2" t="n">
        <v>20068</v>
      </c>
      <c r="M823" s="2" t="n">
        <v>1016</v>
      </c>
      <c r="N823" s="2" t="n">
        <v>55</v>
      </c>
      <c r="O823" s="2" t="n">
        <v>222</v>
      </c>
      <c r="P823" s="2" t="n">
        <v>157</v>
      </c>
      <c r="Q823" s="2" t="n">
        <v>305</v>
      </c>
      <c r="R823" s="2" t="n">
        <v>59</v>
      </c>
      <c r="S823" s="2" t="n">
        <v>20</v>
      </c>
      <c r="T823" s="2" t="s">
        <v>51</v>
      </c>
      <c r="U823" s="4" t="n">
        <f aca="false">(M823+N823+O823+P823)/L823</f>
        <v>0.0722543352601156</v>
      </c>
      <c r="V823" s="2" t="str">
        <f aca="false">IF(S823&lt;=5,"Late night (0-5)",IF(S823&lt;=11,"Morning (6-11)",IF(S823&lt;=17,"Afternoon (12-17)","Evening (18-23)")))</f>
        <v>Evening (18-23)</v>
      </c>
    </row>
    <row r="824" customFormat="false" ht="15" hidden="false" customHeight="false" outlineLevel="0" collapsed="false">
      <c r="A824" s="2" t="s">
        <v>1554</v>
      </c>
      <c r="B824" s="2" t="s">
        <v>74</v>
      </c>
      <c r="C824" s="2" t="s">
        <v>30</v>
      </c>
      <c r="D824" s="3" t="n">
        <v>45744</v>
      </c>
      <c r="E824" s="2" t="s">
        <v>1555</v>
      </c>
      <c r="F824" s="2" t="s">
        <v>32</v>
      </c>
      <c r="G824" s="2" t="n">
        <v>20432</v>
      </c>
      <c r="H824" s="2" t="n">
        <v>6</v>
      </c>
      <c r="I824" s="2" t="n">
        <v>160</v>
      </c>
      <c r="J824" s="2" t="n">
        <v>0</v>
      </c>
      <c r="K824" s="2" t="n">
        <v>31628</v>
      </c>
      <c r="L824" s="2" t="n">
        <v>21075</v>
      </c>
      <c r="M824" s="2" t="n">
        <v>1681</v>
      </c>
      <c r="N824" s="2" t="n">
        <v>102</v>
      </c>
      <c r="O824" s="2" t="n">
        <v>128</v>
      </c>
      <c r="P824" s="2" t="n">
        <v>200</v>
      </c>
      <c r="Q824" s="2" t="n">
        <v>569</v>
      </c>
      <c r="R824" s="2" t="n">
        <v>167</v>
      </c>
      <c r="S824" s="2" t="n">
        <v>9</v>
      </c>
      <c r="T824" s="2" t="s">
        <v>96</v>
      </c>
      <c r="U824" s="4" t="n">
        <f aca="false">(M824+N824+O824+P824)/L824</f>
        <v>0.100166073546856</v>
      </c>
      <c r="V824" s="2" t="str">
        <f aca="false">IF(S824&lt;=5,"Late night (0-5)",IF(S824&lt;=11,"Morning (6-11)",IF(S824&lt;=17,"Afternoon (12-17)","Evening (18-23)")))</f>
        <v>Morning (6-11)</v>
      </c>
    </row>
    <row r="825" customFormat="false" ht="15" hidden="false" customHeight="false" outlineLevel="0" collapsed="false">
      <c r="A825" s="2" t="s">
        <v>1556</v>
      </c>
      <c r="B825" s="2" t="s">
        <v>68</v>
      </c>
      <c r="C825" s="2" t="s">
        <v>54</v>
      </c>
      <c r="D825" s="3" t="n">
        <v>45833</v>
      </c>
      <c r="E825" s="2" t="s">
        <v>1557</v>
      </c>
      <c r="F825" s="2" t="s">
        <v>26</v>
      </c>
      <c r="G825" s="2" t="n">
        <v>35922</v>
      </c>
      <c r="H825" s="2" t="n">
        <v>1</v>
      </c>
      <c r="I825" s="2" t="n">
        <v>389</v>
      </c>
      <c r="J825" s="2" t="n">
        <v>0</v>
      </c>
      <c r="K825" s="2" t="n">
        <v>38004</v>
      </c>
      <c r="L825" s="2" t="n">
        <v>22150</v>
      </c>
      <c r="M825" s="2" t="n">
        <v>1942</v>
      </c>
      <c r="N825" s="2" t="n">
        <v>100</v>
      </c>
      <c r="O825" s="2" t="n">
        <v>348</v>
      </c>
      <c r="P825" s="2" t="n">
        <v>314</v>
      </c>
      <c r="Q825" s="2" t="n">
        <v>420</v>
      </c>
      <c r="R825" s="2" t="n">
        <v>77</v>
      </c>
      <c r="S825" s="2" t="n">
        <v>17</v>
      </c>
      <c r="T825" s="2" t="s">
        <v>66</v>
      </c>
      <c r="U825" s="4" t="n">
        <f aca="false">(M825+N825+O825+P825)/L825</f>
        <v>0.122076749435666</v>
      </c>
      <c r="V825" s="2" t="str">
        <f aca="false">IF(S825&lt;=5,"Late night (0-5)",IF(S825&lt;=11,"Morning (6-11)",IF(S825&lt;=17,"Afternoon (12-17)","Evening (18-23)")))</f>
        <v>Afternoon (12-17)</v>
      </c>
    </row>
    <row r="826" customFormat="false" ht="15" hidden="false" customHeight="false" outlineLevel="0" collapsed="false">
      <c r="A826" s="2" t="s">
        <v>1558</v>
      </c>
      <c r="B826" s="2" t="s">
        <v>29</v>
      </c>
      <c r="C826" s="2" t="s">
        <v>30</v>
      </c>
      <c r="D826" s="3" t="n">
        <v>45779</v>
      </c>
      <c r="E826" s="2" t="s">
        <v>1559</v>
      </c>
      <c r="F826" s="2" t="s">
        <v>50</v>
      </c>
      <c r="G826" s="2" t="n">
        <v>11612</v>
      </c>
      <c r="H826" s="2" t="n">
        <v>5</v>
      </c>
      <c r="I826" s="2" t="n">
        <v>87</v>
      </c>
      <c r="J826" s="2" t="n">
        <v>1</v>
      </c>
      <c r="K826" s="2" t="n">
        <v>7537</v>
      </c>
      <c r="L826" s="2" t="n">
        <v>4389</v>
      </c>
      <c r="M826" s="2" t="n">
        <v>301</v>
      </c>
      <c r="N826" s="2" t="n">
        <v>10</v>
      </c>
      <c r="O826" s="2" t="n">
        <v>36</v>
      </c>
      <c r="P826" s="2" t="n">
        <v>71</v>
      </c>
      <c r="Q826" s="2" t="n">
        <v>125</v>
      </c>
      <c r="R826" s="2" t="n">
        <v>11</v>
      </c>
      <c r="S826" s="2" t="n">
        <v>18</v>
      </c>
      <c r="T826" s="2" t="s">
        <v>96</v>
      </c>
      <c r="U826" s="4" t="n">
        <f aca="false">(M826+N826+O826+P826)/L826</f>
        <v>0.0952380952380952</v>
      </c>
      <c r="V826" s="2" t="str">
        <f aca="false">IF(S826&lt;=5,"Late night (0-5)",IF(S826&lt;=11,"Morning (6-11)",IF(S826&lt;=17,"Afternoon (12-17)","Evening (18-23)")))</f>
        <v>Evening (18-23)</v>
      </c>
    </row>
    <row r="827" customFormat="false" ht="15" hidden="false" customHeight="false" outlineLevel="0" collapsed="false">
      <c r="A827" s="2" t="s">
        <v>1560</v>
      </c>
      <c r="B827" s="2" t="s">
        <v>462</v>
      </c>
      <c r="C827" s="2" t="s">
        <v>84</v>
      </c>
      <c r="D827" s="3" t="n">
        <v>46009</v>
      </c>
      <c r="E827" s="2" t="s">
        <v>1217</v>
      </c>
      <c r="F827" s="2" t="s">
        <v>26</v>
      </c>
      <c r="G827" s="2" t="n">
        <v>43510</v>
      </c>
      <c r="H827" s="2" t="n">
        <v>12</v>
      </c>
      <c r="I827" s="2" t="n">
        <v>142</v>
      </c>
      <c r="J827" s="2" t="n">
        <v>0</v>
      </c>
      <c r="K827" s="2" t="n">
        <v>25179</v>
      </c>
      <c r="L827" s="2" t="n">
        <v>18925</v>
      </c>
      <c r="M827" s="2" t="n">
        <v>1079</v>
      </c>
      <c r="N827" s="2" t="n">
        <v>58</v>
      </c>
      <c r="O827" s="2" t="n">
        <v>117</v>
      </c>
      <c r="P827" s="2" t="n">
        <v>324</v>
      </c>
      <c r="Q827" s="2" t="n">
        <v>356</v>
      </c>
      <c r="R827" s="2" t="n">
        <v>46</v>
      </c>
      <c r="S827" s="2" t="n">
        <v>2</v>
      </c>
      <c r="T827" s="2" t="s">
        <v>79</v>
      </c>
      <c r="U827" s="4" t="n">
        <f aca="false">(M827+N827+O827+P827)/L827</f>
        <v>0.0833817701453104</v>
      </c>
      <c r="V827" s="2" t="str">
        <f aca="false">IF(S827&lt;=5,"Late night (0-5)",IF(S827&lt;=11,"Morning (6-11)",IF(S827&lt;=17,"Afternoon (12-17)","Evening (18-23)")))</f>
        <v>Late night (0-5)</v>
      </c>
    </row>
    <row r="828" customFormat="false" ht="15" hidden="false" customHeight="false" outlineLevel="0" collapsed="false">
      <c r="A828" s="2" t="s">
        <v>1561</v>
      </c>
      <c r="B828" s="2" t="s">
        <v>307</v>
      </c>
      <c r="C828" s="2" t="s">
        <v>48</v>
      </c>
      <c r="D828" s="3" t="n">
        <v>45884</v>
      </c>
      <c r="E828" s="2" t="s">
        <v>177</v>
      </c>
      <c r="F828" s="2" t="s">
        <v>38</v>
      </c>
      <c r="G828" s="2" t="n">
        <v>91358</v>
      </c>
      <c r="H828" s="2" t="n">
        <v>12</v>
      </c>
      <c r="I828" s="2" t="n">
        <v>268</v>
      </c>
      <c r="J828" s="2" t="n">
        <v>1</v>
      </c>
      <c r="K828" s="2" t="n">
        <v>47171</v>
      </c>
      <c r="L828" s="2" t="n">
        <v>31813</v>
      </c>
      <c r="M828" s="2" t="n">
        <v>2708</v>
      </c>
      <c r="N828" s="2" t="n">
        <v>196</v>
      </c>
      <c r="O828" s="2" t="n">
        <v>502</v>
      </c>
      <c r="P828" s="2" t="n">
        <v>711</v>
      </c>
      <c r="Q828" s="2" t="n">
        <v>926</v>
      </c>
      <c r="R828" s="2" t="n">
        <v>154</v>
      </c>
      <c r="S828" s="2" t="n">
        <v>23</v>
      </c>
      <c r="T828" s="2" t="s">
        <v>96</v>
      </c>
      <c r="U828" s="4" t="n">
        <f aca="false">(M828+N828+O828+P828)/L828</f>
        <v>0.129412504322132</v>
      </c>
      <c r="V828" s="2" t="str">
        <f aca="false">IF(S828&lt;=5,"Late night (0-5)",IF(S828&lt;=11,"Morning (6-11)",IF(S828&lt;=17,"Afternoon (12-17)","Evening (18-23)")))</f>
        <v>Evening (18-23)</v>
      </c>
    </row>
    <row r="829" customFormat="false" ht="15" hidden="false" customHeight="false" outlineLevel="0" collapsed="false">
      <c r="A829" s="2" t="s">
        <v>1562</v>
      </c>
      <c r="B829" s="2" t="s">
        <v>64</v>
      </c>
      <c r="C829" s="2" t="s">
        <v>36</v>
      </c>
      <c r="D829" s="3" t="n">
        <v>46009</v>
      </c>
      <c r="E829" s="2" t="s">
        <v>911</v>
      </c>
      <c r="F829" s="2" t="s">
        <v>50</v>
      </c>
      <c r="G829" s="2" t="n">
        <v>43781</v>
      </c>
      <c r="H829" s="2" t="n">
        <v>8</v>
      </c>
      <c r="I829" s="2" t="n">
        <v>47</v>
      </c>
      <c r="J829" s="2" t="n">
        <v>0</v>
      </c>
      <c r="K829" s="2" t="n">
        <v>74614</v>
      </c>
      <c r="L829" s="2" t="n">
        <v>42166</v>
      </c>
      <c r="M829" s="2" t="n">
        <v>2128</v>
      </c>
      <c r="N829" s="2" t="n">
        <v>138</v>
      </c>
      <c r="O829" s="2" t="n">
        <v>225</v>
      </c>
      <c r="P829" s="2" t="n">
        <v>457</v>
      </c>
      <c r="Q829" s="2" t="n">
        <v>596</v>
      </c>
      <c r="R829" s="2" t="n">
        <v>63</v>
      </c>
      <c r="S829" s="2" t="n">
        <v>13</v>
      </c>
      <c r="T829" s="2" t="s">
        <v>79</v>
      </c>
      <c r="U829" s="4" t="n">
        <f aca="false">(M829+N829+O829+P829)/L829</f>
        <v>0.0699141488402979</v>
      </c>
      <c r="V829" s="2" t="str">
        <f aca="false">IF(S829&lt;=5,"Late night (0-5)",IF(S829&lt;=11,"Morning (6-11)",IF(S829&lt;=17,"Afternoon (12-17)","Evening (18-23)")))</f>
        <v>Afternoon (12-17)</v>
      </c>
    </row>
    <row r="830" customFormat="false" ht="15" hidden="false" customHeight="false" outlineLevel="0" collapsed="false">
      <c r="A830" s="2" t="s">
        <v>1563</v>
      </c>
      <c r="B830" s="2" t="s">
        <v>360</v>
      </c>
      <c r="C830" s="2" t="s">
        <v>48</v>
      </c>
      <c r="D830" s="3" t="n">
        <v>45816</v>
      </c>
      <c r="E830" s="2" t="s">
        <v>1564</v>
      </c>
      <c r="F830" s="2" t="s">
        <v>32</v>
      </c>
      <c r="G830" s="2" t="n">
        <v>19542</v>
      </c>
      <c r="H830" s="2" t="n">
        <v>15</v>
      </c>
      <c r="I830" s="2" t="n">
        <v>236</v>
      </c>
      <c r="J830" s="2" t="n">
        <v>1</v>
      </c>
      <c r="K830" s="2" t="n">
        <v>25061</v>
      </c>
      <c r="L830" s="2" t="n">
        <v>17241</v>
      </c>
      <c r="M830" s="2" t="n">
        <v>1229</v>
      </c>
      <c r="N830" s="2" t="n">
        <v>25</v>
      </c>
      <c r="O830" s="2" t="n">
        <v>194</v>
      </c>
      <c r="P830" s="2" t="n">
        <v>70</v>
      </c>
      <c r="Q830" s="2" t="n">
        <v>260</v>
      </c>
      <c r="R830" s="2" t="n">
        <v>55</v>
      </c>
      <c r="S830" s="2" t="n">
        <v>14</v>
      </c>
      <c r="T830" s="2" t="s">
        <v>27</v>
      </c>
      <c r="U830" s="4" t="n">
        <f aca="false">(M830+N830+O830+P830)/L830</f>
        <v>0.0880459370106142</v>
      </c>
      <c r="V830" s="2" t="str">
        <f aca="false">IF(S830&lt;=5,"Late night (0-5)",IF(S830&lt;=11,"Morning (6-11)",IF(S830&lt;=17,"Afternoon (12-17)","Evening (18-23)")))</f>
        <v>Afternoon (12-17)</v>
      </c>
    </row>
    <row r="831" customFormat="false" ht="15" hidden="false" customHeight="false" outlineLevel="0" collapsed="false">
      <c r="A831" s="2" t="s">
        <v>1565</v>
      </c>
      <c r="B831" s="2" t="s">
        <v>68</v>
      </c>
      <c r="C831" s="2" t="s">
        <v>54</v>
      </c>
      <c r="D831" s="3" t="n">
        <v>45801</v>
      </c>
      <c r="E831" s="2" t="s">
        <v>1566</v>
      </c>
      <c r="F831" s="2" t="s">
        <v>38</v>
      </c>
      <c r="G831" s="2" t="n">
        <v>35922</v>
      </c>
      <c r="H831" s="2" t="n">
        <v>17</v>
      </c>
      <c r="I831" s="2" t="n">
        <v>131</v>
      </c>
      <c r="J831" s="2" t="n">
        <v>0</v>
      </c>
      <c r="K831" s="2" t="n">
        <v>67205</v>
      </c>
      <c r="L831" s="2" t="n">
        <v>48471</v>
      </c>
      <c r="M831" s="2" t="n">
        <v>2798</v>
      </c>
      <c r="N831" s="2" t="n">
        <v>140</v>
      </c>
      <c r="O831" s="2" t="n">
        <v>150</v>
      </c>
      <c r="P831" s="2" t="n">
        <v>662</v>
      </c>
      <c r="Q831" s="2" t="n">
        <v>1271</v>
      </c>
      <c r="R831" s="2" t="n">
        <v>285</v>
      </c>
      <c r="S831" s="2" t="n">
        <v>21</v>
      </c>
      <c r="T831" s="2" t="s">
        <v>62</v>
      </c>
      <c r="U831" s="4" t="n">
        <f aca="false">(M831+N831+O831+P831)/L831</f>
        <v>0.0773658476202265</v>
      </c>
      <c r="V831" s="2" t="str">
        <f aca="false">IF(S831&lt;=5,"Late night (0-5)",IF(S831&lt;=11,"Morning (6-11)",IF(S831&lt;=17,"Afternoon (12-17)","Evening (18-23)")))</f>
        <v>Evening (18-23)</v>
      </c>
    </row>
    <row r="832" customFormat="false" ht="15" hidden="false" customHeight="false" outlineLevel="0" collapsed="false">
      <c r="A832" s="2" t="s">
        <v>1567</v>
      </c>
      <c r="B832" s="2" t="s">
        <v>90</v>
      </c>
      <c r="C832" s="2" t="s">
        <v>91</v>
      </c>
      <c r="D832" s="3" t="n">
        <v>45930</v>
      </c>
      <c r="E832" s="2" t="s">
        <v>1568</v>
      </c>
      <c r="F832" s="2" t="s">
        <v>26</v>
      </c>
      <c r="G832" s="2" t="n">
        <v>54788</v>
      </c>
      <c r="H832" s="2" t="n">
        <v>9</v>
      </c>
      <c r="I832" s="2" t="n">
        <v>279</v>
      </c>
      <c r="J832" s="2" t="n">
        <v>1</v>
      </c>
      <c r="K832" s="2" t="n">
        <v>40075</v>
      </c>
      <c r="L832" s="2" t="n">
        <v>27848</v>
      </c>
      <c r="M832" s="2" t="n">
        <v>916</v>
      </c>
      <c r="N832" s="2" t="n">
        <v>19</v>
      </c>
      <c r="O832" s="2" t="n">
        <v>101</v>
      </c>
      <c r="P832" s="2" t="n">
        <v>116</v>
      </c>
      <c r="Q832" s="2" t="n">
        <v>630</v>
      </c>
      <c r="R832" s="2" t="n">
        <v>156</v>
      </c>
      <c r="S832" s="2" t="n">
        <v>13</v>
      </c>
      <c r="T832" s="2" t="s">
        <v>51</v>
      </c>
      <c r="U832" s="4" t="n">
        <f aca="false">(M832+N832+O832+P832)/L832</f>
        <v>0.041367423154266</v>
      </c>
      <c r="V832" s="2" t="str">
        <f aca="false">IF(S832&lt;=5,"Late night (0-5)",IF(S832&lt;=11,"Morning (6-11)",IF(S832&lt;=17,"Afternoon (12-17)","Evening (18-23)")))</f>
        <v>Afternoon (12-17)</v>
      </c>
    </row>
    <row r="833" customFormat="false" ht="15" hidden="false" customHeight="false" outlineLevel="0" collapsed="false">
      <c r="A833" s="2" t="s">
        <v>1569</v>
      </c>
      <c r="B833" s="2" t="s">
        <v>40</v>
      </c>
      <c r="C833" s="2" t="s">
        <v>41</v>
      </c>
      <c r="D833" s="3" t="n">
        <v>45927</v>
      </c>
      <c r="E833" s="2" t="s">
        <v>1570</v>
      </c>
      <c r="F833" s="2" t="s">
        <v>38</v>
      </c>
      <c r="G833" s="2" t="n">
        <v>23051</v>
      </c>
      <c r="H833" s="2" t="n">
        <v>10</v>
      </c>
      <c r="I833" s="2" t="n">
        <v>39</v>
      </c>
      <c r="J833" s="2" t="n">
        <v>0</v>
      </c>
      <c r="K833" s="2" t="n">
        <v>24334</v>
      </c>
      <c r="L833" s="2" t="n">
        <v>17335</v>
      </c>
      <c r="M833" s="2" t="n">
        <v>1485</v>
      </c>
      <c r="N833" s="2" t="n">
        <v>37</v>
      </c>
      <c r="O833" s="2" t="n">
        <v>273</v>
      </c>
      <c r="P833" s="2" t="n">
        <v>146</v>
      </c>
      <c r="Q833" s="2" t="n">
        <v>168</v>
      </c>
      <c r="R833" s="2" t="n">
        <v>16</v>
      </c>
      <c r="S833" s="2" t="n">
        <v>13</v>
      </c>
      <c r="T833" s="2" t="s">
        <v>62</v>
      </c>
      <c r="U833" s="4" t="n">
        <f aca="false">(M833+N833+O833+P833)/L833</f>
        <v>0.111970002884338</v>
      </c>
      <c r="V833" s="2" t="str">
        <f aca="false">IF(S833&lt;=5,"Late night (0-5)",IF(S833&lt;=11,"Morning (6-11)",IF(S833&lt;=17,"Afternoon (12-17)","Evening (18-23)")))</f>
        <v>Afternoon (12-17)</v>
      </c>
    </row>
    <row r="834" customFormat="false" ht="15" hidden="false" customHeight="false" outlineLevel="0" collapsed="false">
      <c r="A834" s="2" t="s">
        <v>1571</v>
      </c>
      <c r="B834" s="2" t="s">
        <v>206</v>
      </c>
      <c r="C834" s="2" t="s">
        <v>48</v>
      </c>
      <c r="D834" s="3" t="n">
        <v>45949</v>
      </c>
      <c r="E834" s="2" t="s">
        <v>484</v>
      </c>
      <c r="F834" s="2" t="s">
        <v>38</v>
      </c>
      <c r="G834" s="2" t="n">
        <v>42937</v>
      </c>
      <c r="H834" s="2" t="n">
        <v>8</v>
      </c>
      <c r="I834" s="2" t="n">
        <v>161</v>
      </c>
      <c r="J834" s="2" t="n">
        <v>0</v>
      </c>
      <c r="K834" s="2" t="n">
        <v>41302</v>
      </c>
      <c r="L834" s="2" t="n">
        <v>23865</v>
      </c>
      <c r="M834" s="2" t="n">
        <v>1428</v>
      </c>
      <c r="N834" s="2" t="n">
        <v>80</v>
      </c>
      <c r="O834" s="2" t="n">
        <v>152</v>
      </c>
      <c r="P834" s="2" t="n">
        <v>164</v>
      </c>
      <c r="Q834" s="2" t="n">
        <v>158</v>
      </c>
      <c r="R834" s="2" t="n">
        <v>45</v>
      </c>
      <c r="S834" s="2" t="n">
        <v>7</v>
      </c>
      <c r="T834" s="2" t="s">
        <v>27</v>
      </c>
      <c r="U834" s="4" t="n">
        <f aca="false">(M834+N834+O834+P834)/L834</f>
        <v>0.0764299182903834</v>
      </c>
      <c r="V834" s="2" t="str">
        <f aca="false">IF(S834&lt;=5,"Late night (0-5)",IF(S834&lt;=11,"Morning (6-11)",IF(S834&lt;=17,"Afternoon (12-17)","Evening (18-23)")))</f>
        <v>Morning (6-11)</v>
      </c>
    </row>
    <row r="835" customFormat="false" ht="15" hidden="false" customHeight="false" outlineLevel="0" collapsed="false">
      <c r="A835" s="2" t="s">
        <v>1572</v>
      </c>
      <c r="B835" s="2" t="s">
        <v>220</v>
      </c>
      <c r="C835" s="2" t="s">
        <v>48</v>
      </c>
      <c r="D835" s="3" t="n">
        <v>45893</v>
      </c>
      <c r="E835" s="2" t="s">
        <v>643</v>
      </c>
      <c r="F835" s="2" t="s">
        <v>32</v>
      </c>
      <c r="G835" s="2" t="n">
        <v>18917</v>
      </c>
      <c r="H835" s="2" t="n">
        <v>12</v>
      </c>
      <c r="I835" s="2" t="n">
        <v>175</v>
      </c>
      <c r="J835" s="2" t="n">
        <v>1</v>
      </c>
      <c r="K835" s="2" t="n">
        <v>18540</v>
      </c>
      <c r="L835" s="2" t="n">
        <v>16215</v>
      </c>
      <c r="M835" s="2" t="n">
        <v>1030</v>
      </c>
      <c r="N835" s="2" t="n">
        <v>69</v>
      </c>
      <c r="O835" s="2" t="n">
        <v>280</v>
      </c>
      <c r="P835" s="2" t="n">
        <v>114</v>
      </c>
      <c r="Q835" s="2" t="n">
        <v>429</v>
      </c>
      <c r="R835" s="2" t="n">
        <v>117</v>
      </c>
      <c r="S835" s="2" t="n">
        <v>5</v>
      </c>
      <c r="T835" s="2" t="s">
        <v>27</v>
      </c>
      <c r="U835" s="4" t="n">
        <f aca="false">(M835+N835+O835+P835)/L835</f>
        <v>0.0920752389762566</v>
      </c>
      <c r="V835" s="2" t="str">
        <f aca="false">IF(S835&lt;=5,"Late night (0-5)",IF(S835&lt;=11,"Morning (6-11)",IF(S835&lt;=17,"Afternoon (12-17)","Evening (18-23)")))</f>
        <v>Late night (0-5)</v>
      </c>
    </row>
    <row r="836" customFormat="false" ht="15" hidden="false" customHeight="false" outlineLevel="0" collapsed="false">
      <c r="A836" s="2" t="s">
        <v>1573</v>
      </c>
      <c r="B836" s="2" t="s">
        <v>90</v>
      </c>
      <c r="C836" s="2" t="s">
        <v>91</v>
      </c>
      <c r="D836" s="3" t="n">
        <v>45819</v>
      </c>
      <c r="E836" s="2" t="s">
        <v>1574</v>
      </c>
      <c r="F836" s="2" t="s">
        <v>32</v>
      </c>
      <c r="G836" s="2" t="n">
        <v>54788</v>
      </c>
      <c r="H836" s="2" t="n">
        <v>21</v>
      </c>
      <c r="I836" s="2" t="n">
        <v>173</v>
      </c>
      <c r="J836" s="2" t="n">
        <v>0</v>
      </c>
      <c r="K836" s="2" t="n">
        <v>77622</v>
      </c>
      <c r="L836" s="2" t="n">
        <v>56487</v>
      </c>
      <c r="M836" s="2" t="n">
        <v>5287</v>
      </c>
      <c r="N836" s="2" t="n">
        <v>235</v>
      </c>
      <c r="O836" s="2" t="n">
        <v>1346</v>
      </c>
      <c r="P836" s="2" t="n">
        <v>396</v>
      </c>
      <c r="Q836" s="2" t="n">
        <v>1004</v>
      </c>
      <c r="R836" s="2" t="n">
        <v>196</v>
      </c>
      <c r="S836" s="2" t="n">
        <v>23</v>
      </c>
      <c r="T836" s="2" t="s">
        <v>66</v>
      </c>
      <c r="U836" s="4" t="n">
        <f aca="false">(M836+N836+O836+P836)/L836</f>
        <v>0.12859596013242</v>
      </c>
      <c r="V836" s="2" t="str">
        <f aca="false">IF(S836&lt;=5,"Late night (0-5)",IF(S836&lt;=11,"Morning (6-11)",IF(S836&lt;=17,"Afternoon (12-17)","Evening (18-23)")))</f>
        <v>Evening (18-23)</v>
      </c>
    </row>
    <row r="837" customFormat="false" ht="15" hidden="false" customHeight="false" outlineLevel="0" collapsed="false">
      <c r="A837" s="2" t="s">
        <v>1575</v>
      </c>
      <c r="B837" s="2" t="s">
        <v>44</v>
      </c>
      <c r="C837" s="2" t="s">
        <v>36</v>
      </c>
      <c r="D837" s="3" t="n">
        <v>45720</v>
      </c>
      <c r="E837" s="2" t="s">
        <v>1576</v>
      </c>
      <c r="F837" s="2" t="s">
        <v>32</v>
      </c>
      <c r="G837" s="2" t="n">
        <v>6265</v>
      </c>
      <c r="H837" s="2" t="n">
        <v>3</v>
      </c>
      <c r="I837" s="2" t="n">
        <v>163</v>
      </c>
      <c r="J837" s="2" t="n">
        <v>0</v>
      </c>
      <c r="K837" s="2" t="n">
        <v>4080</v>
      </c>
      <c r="L837" s="2" t="n">
        <v>3685</v>
      </c>
      <c r="M837" s="2" t="n">
        <v>355</v>
      </c>
      <c r="N837" s="2" t="n">
        <v>22</v>
      </c>
      <c r="O837" s="2" t="n">
        <v>66</v>
      </c>
      <c r="P837" s="2" t="n">
        <v>38</v>
      </c>
      <c r="Q837" s="2" t="n">
        <v>32</v>
      </c>
      <c r="R837" s="2" t="n">
        <v>6</v>
      </c>
      <c r="S837" s="2" t="n">
        <v>3</v>
      </c>
      <c r="T837" s="2" t="s">
        <v>51</v>
      </c>
      <c r="U837" s="4" t="n">
        <f aca="false">(M837+N837+O837+P837)/L837</f>
        <v>0.130529172320217</v>
      </c>
      <c r="V837" s="2" t="str">
        <f aca="false">IF(S837&lt;=5,"Late night (0-5)",IF(S837&lt;=11,"Morning (6-11)",IF(S837&lt;=17,"Afternoon (12-17)","Evening (18-23)")))</f>
        <v>Late night (0-5)</v>
      </c>
    </row>
    <row r="838" customFormat="false" ht="15" hidden="false" customHeight="false" outlineLevel="0" collapsed="false">
      <c r="A838" s="2" t="s">
        <v>1577</v>
      </c>
      <c r="B838" s="2" t="s">
        <v>220</v>
      </c>
      <c r="C838" s="2" t="s">
        <v>48</v>
      </c>
      <c r="D838" s="3" t="n">
        <v>45917</v>
      </c>
      <c r="E838" s="2" t="s">
        <v>1578</v>
      </c>
      <c r="F838" s="2" t="s">
        <v>32</v>
      </c>
      <c r="G838" s="2" t="n">
        <v>18917</v>
      </c>
      <c r="H838" s="2" t="n">
        <v>18</v>
      </c>
      <c r="I838" s="2" t="n">
        <v>263</v>
      </c>
      <c r="J838" s="2" t="n">
        <v>1</v>
      </c>
      <c r="K838" s="2" t="n">
        <v>14689</v>
      </c>
      <c r="L838" s="2" t="n">
        <v>10790</v>
      </c>
      <c r="M838" s="2" t="n">
        <v>762</v>
      </c>
      <c r="N838" s="2" t="n">
        <v>48</v>
      </c>
      <c r="O838" s="2" t="n">
        <v>172</v>
      </c>
      <c r="P838" s="2" t="n">
        <v>76</v>
      </c>
      <c r="Q838" s="2" t="n">
        <v>63</v>
      </c>
      <c r="R838" s="2" t="n">
        <v>7</v>
      </c>
      <c r="S838" s="2" t="n">
        <v>2</v>
      </c>
      <c r="T838" s="2" t="s">
        <v>66</v>
      </c>
      <c r="U838" s="4" t="n">
        <f aca="false">(M838+N838+O838+P838)/L838</f>
        <v>0.0980537534754402</v>
      </c>
      <c r="V838" s="2" t="str">
        <f aca="false">IF(S838&lt;=5,"Late night (0-5)",IF(S838&lt;=11,"Morning (6-11)",IF(S838&lt;=17,"Afternoon (12-17)","Evening (18-23)")))</f>
        <v>Late night (0-5)</v>
      </c>
    </row>
    <row r="839" customFormat="false" ht="15" hidden="false" customHeight="false" outlineLevel="0" collapsed="false">
      <c r="A839" s="2" t="s">
        <v>1579</v>
      </c>
      <c r="B839" s="2" t="s">
        <v>87</v>
      </c>
      <c r="C839" s="2" t="s">
        <v>36</v>
      </c>
      <c r="D839" s="3" t="n">
        <v>45709</v>
      </c>
      <c r="E839" s="2" t="s">
        <v>636</v>
      </c>
      <c r="F839" s="2" t="s">
        <v>26</v>
      </c>
      <c r="G839" s="2" t="n">
        <v>25592</v>
      </c>
      <c r="H839" s="2" t="n">
        <v>10</v>
      </c>
      <c r="I839" s="2" t="n">
        <v>229</v>
      </c>
      <c r="J839" s="2" t="n">
        <v>0</v>
      </c>
      <c r="K839" s="2" t="n">
        <v>16415</v>
      </c>
      <c r="L839" s="2" t="n">
        <v>13124</v>
      </c>
      <c r="M839" s="2" t="n">
        <v>393</v>
      </c>
      <c r="N839" s="2" t="n">
        <v>13</v>
      </c>
      <c r="O839" s="2" t="n">
        <v>44</v>
      </c>
      <c r="P839" s="2" t="n">
        <v>140</v>
      </c>
      <c r="Q839" s="2" t="n">
        <v>276</v>
      </c>
      <c r="R839" s="2" t="n">
        <v>77</v>
      </c>
      <c r="S839" s="2" t="n">
        <v>16</v>
      </c>
      <c r="T839" s="2" t="s">
        <v>96</v>
      </c>
      <c r="U839" s="4" t="n">
        <f aca="false">(M839+N839+O839+P839)/L839</f>
        <v>0.0449558061566596</v>
      </c>
      <c r="V839" s="2" t="str">
        <f aca="false">IF(S839&lt;=5,"Late night (0-5)",IF(S839&lt;=11,"Morning (6-11)",IF(S839&lt;=17,"Afternoon (12-17)","Evening (18-23)")))</f>
        <v>Afternoon (12-17)</v>
      </c>
    </row>
    <row r="840" customFormat="false" ht="15" hidden="false" customHeight="false" outlineLevel="0" collapsed="false">
      <c r="A840" s="2" t="s">
        <v>1580</v>
      </c>
      <c r="B840" s="2" t="s">
        <v>310</v>
      </c>
      <c r="C840" s="2" t="s">
        <v>91</v>
      </c>
      <c r="D840" s="3" t="n">
        <v>45930</v>
      </c>
      <c r="E840" s="2" t="s">
        <v>1581</v>
      </c>
      <c r="F840" s="2" t="s">
        <v>32</v>
      </c>
      <c r="G840" s="2" t="n">
        <v>56571</v>
      </c>
      <c r="H840" s="2" t="n">
        <v>7</v>
      </c>
      <c r="I840" s="2" t="n">
        <v>50</v>
      </c>
      <c r="J840" s="2" t="n">
        <v>0</v>
      </c>
      <c r="K840" s="2" t="n">
        <v>84995</v>
      </c>
      <c r="L840" s="2" t="n">
        <v>61443</v>
      </c>
      <c r="M840" s="2" t="n">
        <v>4197</v>
      </c>
      <c r="N840" s="2" t="n">
        <v>178</v>
      </c>
      <c r="O840" s="2" t="n">
        <v>229</v>
      </c>
      <c r="P840" s="2" t="n">
        <v>517</v>
      </c>
      <c r="Q840" s="2" t="n">
        <v>495</v>
      </c>
      <c r="R840" s="2" t="n">
        <v>37</v>
      </c>
      <c r="S840" s="2" t="n">
        <v>7</v>
      </c>
      <c r="T840" s="2" t="s">
        <v>51</v>
      </c>
      <c r="U840" s="4" t="n">
        <f aca="false">(M840+N840+O840+P840)/L840</f>
        <v>0.083345539768566</v>
      </c>
      <c r="V840" s="2" t="str">
        <f aca="false">IF(S840&lt;=5,"Late night (0-5)",IF(S840&lt;=11,"Morning (6-11)",IF(S840&lt;=17,"Afternoon (12-17)","Evening (18-23)")))</f>
        <v>Morning (6-11)</v>
      </c>
    </row>
    <row r="841" customFormat="false" ht="15" hidden="false" customHeight="false" outlineLevel="0" collapsed="false">
      <c r="A841" s="2" t="s">
        <v>1582</v>
      </c>
      <c r="B841" s="2" t="s">
        <v>77</v>
      </c>
      <c r="C841" s="2" t="s">
        <v>30</v>
      </c>
      <c r="D841" s="3" t="n">
        <v>45749</v>
      </c>
      <c r="E841" s="2" t="s">
        <v>1395</v>
      </c>
      <c r="F841" s="2" t="s">
        <v>38</v>
      </c>
      <c r="G841" s="2" t="n">
        <v>17548</v>
      </c>
      <c r="H841" s="2" t="n">
        <v>10</v>
      </c>
      <c r="I841" s="2" t="n">
        <v>50</v>
      </c>
      <c r="J841" s="2" t="n">
        <v>1</v>
      </c>
      <c r="K841" s="2" t="n">
        <v>6400</v>
      </c>
      <c r="L841" s="2" t="n">
        <v>5106</v>
      </c>
      <c r="M841" s="2" t="n">
        <v>299</v>
      </c>
      <c r="N841" s="2" t="n">
        <v>10</v>
      </c>
      <c r="O841" s="2" t="n">
        <v>40</v>
      </c>
      <c r="P841" s="2" t="n">
        <v>71</v>
      </c>
      <c r="Q841" s="2" t="n">
        <v>149</v>
      </c>
      <c r="R841" s="2" t="n">
        <v>38</v>
      </c>
      <c r="S841" s="2" t="n">
        <v>11</v>
      </c>
      <c r="T841" s="2" t="s">
        <v>66</v>
      </c>
      <c r="U841" s="4" t="n">
        <f aca="false">(M841+N841+O841+P841)/L841</f>
        <v>0.082256169212691</v>
      </c>
      <c r="V841" s="2" t="str">
        <f aca="false">IF(S841&lt;=5,"Late night (0-5)",IF(S841&lt;=11,"Morning (6-11)",IF(S841&lt;=17,"Afternoon (12-17)","Evening (18-23)")))</f>
        <v>Morning (6-11)</v>
      </c>
    </row>
    <row r="842" customFormat="false" ht="15" hidden="false" customHeight="false" outlineLevel="0" collapsed="false">
      <c r="A842" s="2" t="s">
        <v>1583</v>
      </c>
      <c r="B842" s="2" t="s">
        <v>47</v>
      </c>
      <c r="C842" s="2" t="s">
        <v>48</v>
      </c>
      <c r="D842" s="3" t="n">
        <v>45837</v>
      </c>
      <c r="E842" s="2" t="s">
        <v>1584</v>
      </c>
      <c r="F842" s="2" t="s">
        <v>38</v>
      </c>
      <c r="G842" s="2" t="n">
        <v>19609</v>
      </c>
      <c r="H842" s="2" t="n">
        <v>25</v>
      </c>
      <c r="I842" s="2" t="n">
        <v>267</v>
      </c>
      <c r="J842" s="2" t="n">
        <v>1</v>
      </c>
      <c r="K842" s="2" t="n">
        <v>9299</v>
      </c>
      <c r="L842" s="2" t="n">
        <v>8098</v>
      </c>
      <c r="M842" s="2" t="n">
        <v>596</v>
      </c>
      <c r="N842" s="2" t="n">
        <v>22</v>
      </c>
      <c r="O842" s="2" t="n">
        <v>91</v>
      </c>
      <c r="P842" s="2" t="n">
        <v>39</v>
      </c>
      <c r="Q842" s="2" t="n">
        <v>215</v>
      </c>
      <c r="R842" s="2" t="n">
        <v>55</v>
      </c>
      <c r="S842" s="2" t="n">
        <v>2</v>
      </c>
      <c r="T842" s="2" t="s">
        <v>27</v>
      </c>
      <c r="U842" s="4" t="n">
        <f aca="false">(M842+N842+O842+P842)/L842</f>
        <v>0.0923684860459373</v>
      </c>
      <c r="V842" s="2" t="str">
        <f aca="false">IF(S842&lt;=5,"Late night (0-5)",IF(S842&lt;=11,"Morning (6-11)",IF(S842&lt;=17,"Afternoon (12-17)","Evening (18-23)")))</f>
        <v>Late night (0-5)</v>
      </c>
    </row>
    <row r="843" customFormat="false" ht="15" hidden="false" customHeight="false" outlineLevel="0" collapsed="false">
      <c r="A843" s="2" t="s">
        <v>1585</v>
      </c>
      <c r="B843" s="2" t="s">
        <v>83</v>
      </c>
      <c r="C843" s="2" t="s">
        <v>84</v>
      </c>
      <c r="D843" s="3" t="n">
        <v>45964</v>
      </c>
      <c r="E843" s="2" t="s">
        <v>92</v>
      </c>
      <c r="F843" s="2" t="s">
        <v>32</v>
      </c>
      <c r="G843" s="2" t="n">
        <v>17918</v>
      </c>
      <c r="H843" s="2" t="n">
        <v>6</v>
      </c>
      <c r="I843" s="2" t="n">
        <v>324</v>
      </c>
      <c r="J843" s="2" t="n">
        <v>0</v>
      </c>
      <c r="K843" s="2" t="n">
        <v>33450</v>
      </c>
      <c r="L843" s="2" t="n">
        <v>30324</v>
      </c>
      <c r="M843" s="2" t="n">
        <v>1512</v>
      </c>
      <c r="N843" s="2" t="n">
        <v>51</v>
      </c>
      <c r="O843" s="2" t="n">
        <v>376</v>
      </c>
      <c r="P843" s="2" t="n">
        <v>421</v>
      </c>
      <c r="Q843" s="2" t="n">
        <v>459</v>
      </c>
      <c r="R843" s="2" t="n">
        <v>69</v>
      </c>
      <c r="S843" s="2" t="n">
        <v>21</v>
      </c>
      <c r="T843" s="2" t="s">
        <v>33</v>
      </c>
      <c r="U843" s="4" t="n">
        <f aca="false">(M843+N843+O843+P843)/L843</f>
        <v>0.0778261443081388</v>
      </c>
      <c r="V843" s="2" t="str">
        <f aca="false">IF(S843&lt;=5,"Late night (0-5)",IF(S843&lt;=11,"Morning (6-11)",IF(S843&lt;=17,"Afternoon (12-17)","Evening (18-23)")))</f>
        <v>Evening (18-23)</v>
      </c>
    </row>
    <row r="844" customFormat="false" ht="15" hidden="false" customHeight="false" outlineLevel="0" collapsed="false">
      <c r="A844" s="2" t="s">
        <v>1586</v>
      </c>
      <c r="B844" s="2" t="s">
        <v>23</v>
      </c>
      <c r="C844" s="2" t="s">
        <v>24</v>
      </c>
      <c r="D844" s="3" t="n">
        <v>45941</v>
      </c>
      <c r="E844" s="2" t="s">
        <v>1587</v>
      </c>
      <c r="F844" s="2" t="s">
        <v>32</v>
      </c>
      <c r="G844" s="2" t="n">
        <v>63447</v>
      </c>
      <c r="H844" s="2" t="n">
        <v>10</v>
      </c>
      <c r="I844" s="2" t="n">
        <v>224</v>
      </c>
      <c r="J844" s="2" t="n">
        <v>0</v>
      </c>
      <c r="K844" s="2" t="n">
        <v>189386</v>
      </c>
      <c r="L844" s="2" t="n">
        <v>110913</v>
      </c>
      <c r="M844" s="2" t="n">
        <v>11934</v>
      </c>
      <c r="N844" s="2" t="n">
        <v>383</v>
      </c>
      <c r="O844" s="2" t="n">
        <v>2651</v>
      </c>
      <c r="P844" s="2" t="n">
        <v>1988</v>
      </c>
      <c r="Q844" s="2" t="n">
        <v>1922</v>
      </c>
      <c r="R844" s="2" t="n">
        <v>252</v>
      </c>
      <c r="S844" s="2" t="n">
        <v>19</v>
      </c>
      <c r="T844" s="2" t="s">
        <v>62</v>
      </c>
      <c r="U844" s="4" t="n">
        <f aca="false">(M844+N844+O844+P844)/L844</f>
        <v>0.15287657894025</v>
      </c>
      <c r="V844" s="2" t="str">
        <f aca="false">IF(S844&lt;=5,"Late night (0-5)",IF(S844&lt;=11,"Morning (6-11)",IF(S844&lt;=17,"Afternoon (12-17)","Evening (18-23)")))</f>
        <v>Evening (18-23)</v>
      </c>
    </row>
    <row r="845" customFormat="false" ht="15" hidden="false" customHeight="false" outlineLevel="0" collapsed="false">
      <c r="A845" s="2" t="s">
        <v>1588</v>
      </c>
      <c r="B845" s="2" t="s">
        <v>181</v>
      </c>
      <c r="C845" s="2" t="s">
        <v>91</v>
      </c>
      <c r="D845" s="3" t="n">
        <v>45888</v>
      </c>
      <c r="E845" s="2" t="s">
        <v>856</v>
      </c>
      <c r="F845" s="2" t="s">
        <v>32</v>
      </c>
      <c r="G845" s="2" t="n">
        <v>31658</v>
      </c>
      <c r="H845" s="2" t="n">
        <v>6</v>
      </c>
      <c r="I845" s="2" t="n">
        <v>78</v>
      </c>
      <c r="J845" s="2" t="n">
        <v>0</v>
      </c>
      <c r="K845" s="2" t="n">
        <v>34141</v>
      </c>
      <c r="L845" s="2" t="n">
        <v>22731</v>
      </c>
      <c r="M845" s="2" t="n">
        <v>1060</v>
      </c>
      <c r="N845" s="2" t="n">
        <v>80</v>
      </c>
      <c r="O845" s="2" t="n">
        <v>263</v>
      </c>
      <c r="P845" s="2" t="n">
        <v>114</v>
      </c>
      <c r="Q845" s="2" t="n">
        <v>282</v>
      </c>
      <c r="R845" s="2" t="n">
        <v>40</v>
      </c>
      <c r="S845" s="2" t="n">
        <v>17</v>
      </c>
      <c r="T845" s="2" t="s">
        <v>51</v>
      </c>
      <c r="U845" s="4" t="n">
        <f aca="false">(M845+N845+O845+P845)/L845</f>
        <v>0.0667370551229598</v>
      </c>
      <c r="V845" s="2" t="str">
        <f aca="false">IF(S845&lt;=5,"Late night (0-5)",IF(S845&lt;=11,"Morning (6-11)",IF(S845&lt;=17,"Afternoon (12-17)","Evening (18-23)")))</f>
        <v>Afternoon (12-17)</v>
      </c>
    </row>
    <row r="846" customFormat="false" ht="15" hidden="false" customHeight="false" outlineLevel="0" collapsed="false">
      <c r="A846" s="2" t="s">
        <v>1589</v>
      </c>
      <c r="B846" s="2" t="s">
        <v>164</v>
      </c>
      <c r="C846" s="2" t="s">
        <v>36</v>
      </c>
      <c r="D846" s="3" t="n">
        <v>45968</v>
      </c>
      <c r="E846" s="2" t="s">
        <v>334</v>
      </c>
      <c r="F846" s="2" t="s">
        <v>26</v>
      </c>
      <c r="G846" s="2" t="n">
        <v>44230</v>
      </c>
      <c r="H846" s="2" t="n">
        <v>11</v>
      </c>
      <c r="I846" s="2" t="n">
        <v>311</v>
      </c>
      <c r="J846" s="2" t="n">
        <v>0</v>
      </c>
      <c r="K846" s="2" t="n">
        <v>29147</v>
      </c>
      <c r="L846" s="2" t="n">
        <v>19866</v>
      </c>
      <c r="M846" s="2" t="n">
        <v>647</v>
      </c>
      <c r="N846" s="2" t="n">
        <v>46</v>
      </c>
      <c r="O846" s="2" t="n">
        <v>69</v>
      </c>
      <c r="P846" s="2" t="n">
        <v>62</v>
      </c>
      <c r="Q846" s="2" t="n">
        <v>483</v>
      </c>
      <c r="R846" s="2" t="n">
        <v>103</v>
      </c>
      <c r="S846" s="2" t="n">
        <v>10</v>
      </c>
      <c r="T846" s="2" t="s">
        <v>96</v>
      </c>
      <c r="U846" s="4" t="n">
        <f aca="false">(M846+N846+O846+P846)/L846</f>
        <v>0.0414779019430182</v>
      </c>
      <c r="V846" s="2" t="str">
        <f aca="false">IF(S846&lt;=5,"Late night (0-5)",IF(S846&lt;=11,"Morning (6-11)",IF(S846&lt;=17,"Afternoon (12-17)","Evening (18-23)")))</f>
        <v>Morning (6-11)</v>
      </c>
    </row>
    <row r="847" customFormat="false" ht="15" hidden="false" customHeight="false" outlineLevel="0" collapsed="false">
      <c r="A847" s="2" t="s">
        <v>1590</v>
      </c>
      <c r="B847" s="2" t="s">
        <v>23</v>
      </c>
      <c r="C847" s="2" t="s">
        <v>24</v>
      </c>
      <c r="D847" s="3" t="n">
        <v>46008</v>
      </c>
      <c r="E847" s="2" t="s">
        <v>528</v>
      </c>
      <c r="F847" s="2" t="s">
        <v>32</v>
      </c>
      <c r="G847" s="2" t="n">
        <v>63447</v>
      </c>
      <c r="H847" s="2" t="n">
        <v>7</v>
      </c>
      <c r="I847" s="2" t="n">
        <v>331</v>
      </c>
      <c r="J847" s="2" t="n">
        <v>1</v>
      </c>
      <c r="K847" s="2" t="n">
        <v>173752</v>
      </c>
      <c r="L847" s="2" t="n">
        <v>116057</v>
      </c>
      <c r="M847" s="2" t="n">
        <v>10219</v>
      </c>
      <c r="N847" s="2" t="n">
        <v>458</v>
      </c>
      <c r="O847" s="2" t="n">
        <v>1289</v>
      </c>
      <c r="P847" s="2" t="n">
        <v>2211</v>
      </c>
      <c r="Q847" s="2" t="n">
        <v>2565</v>
      </c>
      <c r="R847" s="2" t="n">
        <v>301</v>
      </c>
      <c r="S847" s="2" t="n">
        <v>7</v>
      </c>
      <c r="T847" s="2" t="s">
        <v>66</v>
      </c>
      <c r="U847" s="4" t="n">
        <f aca="false">(M847+N847+O847+P847)/L847</f>
        <v>0.12215549255969</v>
      </c>
      <c r="V847" s="2" t="str">
        <f aca="false">IF(S847&lt;=5,"Late night (0-5)",IF(S847&lt;=11,"Morning (6-11)",IF(S847&lt;=17,"Afternoon (12-17)","Evening (18-23)")))</f>
        <v>Morning (6-11)</v>
      </c>
    </row>
    <row r="848" customFormat="false" ht="15" hidden="false" customHeight="false" outlineLevel="0" collapsed="false">
      <c r="A848" s="2" t="s">
        <v>1591</v>
      </c>
      <c r="B848" s="2" t="s">
        <v>87</v>
      </c>
      <c r="C848" s="2" t="s">
        <v>36</v>
      </c>
      <c r="D848" s="3" t="n">
        <v>45929</v>
      </c>
      <c r="E848" s="2" t="s">
        <v>1592</v>
      </c>
      <c r="F848" s="2" t="s">
        <v>32</v>
      </c>
      <c r="G848" s="2" t="n">
        <v>25592</v>
      </c>
      <c r="H848" s="2" t="n">
        <v>14</v>
      </c>
      <c r="I848" s="2" t="n">
        <v>141</v>
      </c>
      <c r="J848" s="2" t="n">
        <v>0</v>
      </c>
      <c r="K848" s="2" t="n">
        <v>16994</v>
      </c>
      <c r="L848" s="2" t="n">
        <v>10480</v>
      </c>
      <c r="M848" s="2" t="n">
        <v>1024</v>
      </c>
      <c r="N848" s="2" t="n">
        <v>41</v>
      </c>
      <c r="O848" s="2" t="n">
        <v>255</v>
      </c>
      <c r="P848" s="2" t="n">
        <v>83</v>
      </c>
      <c r="Q848" s="2" t="n">
        <v>161</v>
      </c>
      <c r="R848" s="2" t="n">
        <v>11</v>
      </c>
      <c r="S848" s="2" t="n">
        <v>10</v>
      </c>
      <c r="T848" s="2" t="s">
        <v>33</v>
      </c>
      <c r="U848" s="4" t="n">
        <f aca="false">(M848+N848+O848+P848)/L848</f>
        <v>0.133874045801527</v>
      </c>
      <c r="V848" s="2" t="str">
        <f aca="false">IF(S848&lt;=5,"Late night (0-5)",IF(S848&lt;=11,"Morning (6-11)",IF(S848&lt;=17,"Afternoon (12-17)","Evening (18-23)")))</f>
        <v>Morning (6-11)</v>
      </c>
    </row>
    <row r="849" customFormat="false" ht="15" hidden="false" customHeight="false" outlineLevel="0" collapsed="false">
      <c r="A849" s="2" t="s">
        <v>1593</v>
      </c>
      <c r="B849" s="2" t="s">
        <v>452</v>
      </c>
      <c r="C849" s="2" t="s">
        <v>91</v>
      </c>
      <c r="D849" s="3" t="n">
        <v>45925</v>
      </c>
      <c r="E849" s="2" t="s">
        <v>1287</v>
      </c>
      <c r="F849" s="2" t="s">
        <v>38</v>
      </c>
      <c r="G849" s="2" t="n">
        <v>14201</v>
      </c>
      <c r="H849" s="2" t="n">
        <v>18</v>
      </c>
      <c r="I849" s="2" t="n">
        <v>141</v>
      </c>
      <c r="J849" s="2" t="n">
        <v>1</v>
      </c>
      <c r="K849" s="2" t="n">
        <v>5530</v>
      </c>
      <c r="L849" s="2" t="n">
        <v>3393</v>
      </c>
      <c r="M849" s="2" t="n">
        <v>183</v>
      </c>
      <c r="N849" s="2" t="n">
        <v>7</v>
      </c>
      <c r="O849" s="2" t="n">
        <v>6</v>
      </c>
      <c r="P849" s="2" t="n">
        <v>12</v>
      </c>
      <c r="Q849" s="2" t="n">
        <v>21</v>
      </c>
      <c r="R849" s="2" t="n">
        <v>1</v>
      </c>
      <c r="S849" s="2" t="n">
        <v>16</v>
      </c>
      <c r="T849" s="2" t="s">
        <v>79</v>
      </c>
      <c r="U849" s="4" t="n">
        <f aca="false">(M849+N849+O849+P849)/L849</f>
        <v>0.0613026819923372</v>
      </c>
      <c r="V849" s="2" t="str">
        <f aca="false">IF(S849&lt;=5,"Late night (0-5)",IF(S849&lt;=11,"Morning (6-11)",IF(S849&lt;=17,"Afternoon (12-17)","Evening (18-23)")))</f>
        <v>Afternoon (12-17)</v>
      </c>
    </row>
    <row r="850" customFormat="false" ht="15" hidden="false" customHeight="false" outlineLevel="0" collapsed="false">
      <c r="A850" s="2" t="s">
        <v>1594</v>
      </c>
      <c r="B850" s="2" t="s">
        <v>148</v>
      </c>
      <c r="C850" s="2" t="s">
        <v>48</v>
      </c>
      <c r="D850" s="3" t="n">
        <v>45868</v>
      </c>
      <c r="E850" s="2" t="s">
        <v>1472</v>
      </c>
      <c r="F850" s="2" t="s">
        <v>38</v>
      </c>
      <c r="G850" s="2" t="n">
        <v>46311</v>
      </c>
      <c r="H850" s="2" t="n">
        <v>8</v>
      </c>
      <c r="I850" s="2" t="n">
        <v>318</v>
      </c>
      <c r="J850" s="2" t="n">
        <v>0</v>
      </c>
      <c r="K850" s="2" t="n">
        <v>29325</v>
      </c>
      <c r="L850" s="2" t="n">
        <v>17047</v>
      </c>
      <c r="M850" s="2" t="n">
        <v>1487</v>
      </c>
      <c r="N850" s="2" t="n">
        <v>32</v>
      </c>
      <c r="O850" s="2" t="n">
        <v>216</v>
      </c>
      <c r="P850" s="2" t="n">
        <v>162</v>
      </c>
      <c r="Q850" s="2" t="n">
        <v>259</v>
      </c>
      <c r="R850" s="2" t="n">
        <v>53</v>
      </c>
      <c r="S850" s="2" t="n">
        <v>21</v>
      </c>
      <c r="T850" s="2" t="s">
        <v>66</v>
      </c>
      <c r="U850" s="4" t="n">
        <f aca="false">(M850+N850+O850+P850)/L850</f>
        <v>0.111280577227665</v>
      </c>
      <c r="V850" s="2" t="str">
        <f aca="false">IF(S850&lt;=5,"Late night (0-5)",IF(S850&lt;=11,"Morning (6-11)",IF(S850&lt;=17,"Afternoon (12-17)","Evening (18-23)")))</f>
        <v>Evening (18-23)</v>
      </c>
    </row>
    <row r="851" customFormat="false" ht="15" hidden="false" customHeight="false" outlineLevel="0" collapsed="false">
      <c r="A851" s="2" t="s">
        <v>1595</v>
      </c>
      <c r="B851" s="2" t="s">
        <v>193</v>
      </c>
      <c r="C851" s="2" t="s">
        <v>36</v>
      </c>
      <c r="D851" s="3" t="n">
        <v>45686</v>
      </c>
      <c r="E851" s="2" t="s">
        <v>1596</v>
      </c>
      <c r="F851" s="2" t="s">
        <v>38</v>
      </c>
      <c r="G851" s="2" t="n">
        <v>26454</v>
      </c>
      <c r="H851" s="2" t="n">
        <v>6</v>
      </c>
      <c r="I851" s="2" t="n">
        <v>257</v>
      </c>
      <c r="J851" s="2" t="n">
        <v>0</v>
      </c>
      <c r="K851" s="2" t="n">
        <v>17768</v>
      </c>
      <c r="L851" s="2" t="n">
        <v>12582</v>
      </c>
      <c r="M851" s="2" t="n">
        <v>1092</v>
      </c>
      <c r="N851" s="2" t="n">
        <v>50</v>
      </c>
      <c r="O851" s="2" t="n">
        <v>202</v>
      </c>
      <c r="P851" s="2" t="n">
        <v>166</v>
      </c>
      <c r="Q851" s="2" t="n">
        <v>171</v>
      </c>
      <c r="R851" s="2" t="n">
        <v>13</v>
      </c>
      <c r="S851" s="2" t="n">
        <v>12</v>
      </c>
      <c r="T851" s="2" t="s">
        <v>66</v>
      </c>
      <c r="U851" s="4" t="n">
        <f aca="false">(M851+N851+O851+P851)/L851</f>
        <v>0.12001271657924</v>
      </c>
      <c r="V851" s="2" t="str">
        <f aca="false">IF(S851&lt;=5,"Late night (0-5)",IF(S851&lt;=11,"Morning (6-11)",IF(S851&lt;=17,"Afternoon (12-17)","Evening (18-23)")))</f>
        <v>Afternoon (12-17)</v>
      </c>
    </row>
    <row r="852" customFormat="false" ht="15" hidden="false" customHeight="false" outlineLevel="0" collapsed="false">
      <c r="A852" s="2" t="s">
        <v>1597</v>
      </c>
      <c r="B852" s="2" t="s">
        <v>324</v>
      </c>
      <c r="C852" s="2" t="s">
        <v>24</v>
      </c>
      <c r="D852" s="3" t="n">
        <v>45859</v>
      </c>
      <c r="E852" s="2" t="s">
        <v>809</v>
      </c>
      <c r="F852" s="2" t="s">
        <v>32</v>
      </c>
      <c r="G852" s="2" t="n">
        <v>3823</v>
      </c>
      <c r="H852" s="2" t="n">
        <v>0</v>
      </c>
      <c r="I852" s="2" t="n">
        <v>161</v>
      </c>
      <c r="J852" s="2" t="n">
        <v>1</v>
      </c>
      <c r="K852" s="2" t="n">
        <v>9147</v>
      </c>
      <c r="L852" s="2" t="n">
        <v>5910</v>
      </c>
      <c r="M852" s="2" t="n">
        <v>406</v>
      </c>
      <c r="N852" s="2" t="n">
        <v>29</v>
      </c>
      <c r="O852" s="2" t="n">
        <v>32</v>
      </c>
      <c r="P852" s="2" t="n">
        <v>25</v>
      </c>
      <c r="Q852" s="2" t="n">
        <v>102</v>
      </c>
      <c r="R852" s="2" t="n">
        <v>18</v>
      </c>
      <c r="S852" s="2" t="n">
        <v>19</v>
      </c>
      <c r="T852" s="2" t="s">
        <v>33</v>
      </c>
      <c r="U852" s="4" t="n">
        <f aca="false">(M852+N852+O852+P852)/L852</f>
        <v>0.083248730964467</v>
      </c>
      <c r="V852" s="2" t="str">
        <f aca="false">IF(S852&lt;=5,"Late night (0-5)",IF(S852&lt;=11,"Morning (6-11)",IF(S852&lt;=17,"Afternoon (12-17)","Evening (18-23)")))</f>
        <v>Evening (18-23)</v>
      </c>
    </row>
    <row r="853" customFormat="false" ht="15" hidden="false" customHeight="false" outlineLevel="0" collapsed="false">
      <c r="A853" s="2" t="s">
        <v>1598</v>
      </c>
      <c r="B853" s="2" t="s">
        <v>23</v>
      </c>
      <c r="C853" s="2" t="s">
        <v>24</v>
      </c>
      <c r="D853" s="3" t="n">
        <v>45760</v>
      </c>
      <c r="E853" s="2" t="s">
        <v>1599</v>
      </c>
      <c r="F853" s="2" t="s">
        <v>50</v>
      </c>
      <c r="G853" s="2" t="n">
        <v>63447</v>
      </c>
      <c r="H853" s="2" t="n">
        <v>14</v>
      </c>
      <c r="I853" s="2" t="n">
        <v>44</v>
      </c>
      <c r="J853" s="2" t="n">
        <v>0</v>
      </c>
      <c r="K853" s="2" t="n">
        <v>39626</v>
      </c>
      <c r="L853" s="2" t="n">
        <v>32773</v>
      </c>
      <c r="M853" s="2" t="n">
        <v>1081</v>
      </c>
      <c r="N853" s="2" t="n">
        <v>28</v>
      </c>
      <c r="O853" s="2" t="n">
        <v>123</v>
      </c>
      <c r="P853" s="2" t="n">
        <v>226</v>
      </c>
      <c r="Q853" s="2" t="n">
        <v>631</v>
      </c>
      <c r="R853" s="2" t="n">
        <v>144</v>
      </c>
      <c r="S853" s="2" t="n">
        <v>9</v>
      </c>
      <c r="T853" s="2" t="s">
        <v>27</v>
      </c>
      <c r="U853" s="4" t="n">
        <f aca="false">(M853+N853+O853+P853)/L853</f>
        <v>0.0444878406004943</v>
      </c>
      <c r="V853" s="2" t="str">
        <f aca="false">IF(S853&lt;=5,"Late night (0-5)",IF(S853&lt;=11,"Morning (6-11)",IF(S853&lt;=17,"Afternoon (12-17)","Evening (18-23)")))</f>
        <v>Morning (6-11)</v>
      </c>
    </row>
    <row r="854" customFormat="false" ht="15" hidden="false" customHeight="false" outlineLevel="0" collapsed="false">
      <c r="A854" s="2" t="s">
        <v>1600</v>
      </c>
      <c r="B854" s="2" t="s">
        <v>154</v>
      </c>
      <c r="C854" s="2" t="s">
        <v>41</v>
      </c>
      <c r="D854" s="3" t="n">
        <v>45724</v>
      </c>
      <c r="E854" s="2" t="s">
        <v>1526</v>
      </c>
      <c r="F854" s="2" t="s">
        <v>38</v>
      </c>
      <c r="G854" s="2" t="n">
        <v>33644</v>
      </c>
      <c r="H854" s="2" t="n">
        <v>17</v>
      </c>
      <c r="I854" s="2" t="n">
        <v>162</v>
      </c>
      <c r="J854" s="2" t="n">
        <v>1</v>
      </c>
      <c r="K854" s="2" t="n">
        <v>53335</v>
      </c>
      <c r="L854" s="2" t="n">
        <v>32263</v>
      </c>
      <c r="M854" s="2" t="n">
        <v>2869</v>
      </c>
      <c r="N854" s="2" t="n">
        <v>214</v>
      </c>
      <c r="O854" s="2" t="n">
        <v>240</v>
      </c>
      <c r="P854" s="2" t="n">
        <v>639</v>
      </c>
      <c r="Q854" s="2" t="n">
        <v>408</v>
      </c>
      <c r="R854" s="2" t="n">
        <v>110</v>
      </c>
      <c r="S854" s="2" t="n">
        <v>23</v>
      </c>
      <c r="T854" s="2" t="s">
        <v>62</v>
      </c>
      <c r="U854" s="4" t="n">
        <f aca="false">(M854+N854+O854+P854)/L854</f>
        <v>0.1228032111087</v>
      </c>
      <c r="V854" s="2" t="str">
        <f aca="false">IF(S854&lt;=5,"Late night (0-5)",IF(S854&lt;=11,"Morning (6-11)",IF(S854&lt;=17,"Afternoon (12-17)","Evening (18-23)")))</f>
        <v>Evening (18-23)</v>
      </c>
    </row>
    <row r="855" customFormat="false" ht="15" hidden="false" customHeight="false" outlineLevel="0" collapsed="false">
      <c r="A855" s="2" t="s">
        <v>1601</v>
      </c>
      <c r="B855" s="2" t="s">
        <v>243</v>
      </c>
      <c r="C855" s="2" t="s">
        <v>91</v>
      </c>
      <c r="D855" s="3" t="n">
        <v>45696</v>
      </c>
      <c r="E855" s="2" t="s">
        <v>1001</v>
      </c>
      <c r="F855" s="2" t="s">
        <v>26</v>
      </c>
      <c r="G855" s="2" t="n">
        <v>42046</v>
      </c>
      <c r="H855" s="2" t="n">
        <v>9</v>
      </c>
      <c r="I855" s="2" t="n">
        <v>126</v>
      </c>
      <c r="J855" s="2" t="n">
        <v>0</v>
      </c>
      <c r="K855" s="2" t="n">
        <v>15672</v>
      </c>
      <c r="L855" s="2" t="n">
        <v>9287</v>
      </c>
      <c r="M855" s="2" t="n">
        <v>321</v>
      </c>
      <c r="N855" s="2" t="n">
        <v>24</v>
      </c>
      <c r="O855" s="2" t="n">
        <v>43</v>
      </c>
      <c r="P855" s="2" t="n">
        <v>41</v>
      </c>
      <c r="Q855" s="2" t="n">
        <v>236</v>
      </c>
      <c r="R855" s="2" t="n">
        <v>42</v>
      </c>
      <c r="S855" s="2" t="n">
        <v>22</v>
      </c>
      <c r="T855" s="2" t="s">
        <v>62</v>
      </c>
      <c r="U855" s="4" t="n">
        <f aca="false">(M855+N855+O855+P855)/L855</f>
        <v>0.0461936039625283</v>
      </c>
      <c r="V855" s="2" t="str">
        <f aca="false">IF(S855&lt;=5,"Late night (0-5)",IF(S855&lt;=11,"Morning (6-11)",IF(S855&lt;=17,"Afternoon (12-17)","Evening (18-23)")))</f>
        <v>Evening (18-23)</v>
      </c>
    </row>
    <row r="856" customFormat="false" ht="15" hidden="false" customHeight="false" outlineLevel="0" collapsed="false">
      <c r="A856" s="2" t="s">
        <v>1602</v>
      </c>
      <c r="B856" s="2" t="s">
        <v>68</v>
      </c>
      <c r="C856" s="2" t="s">
        <v>54</v>
      </c>
      <c r="D856" s="3" t="n">
        <v>45734</v>
      </c>
      <c r="E856" s="2" t="s">
        <v>484</v>
      </c>
      <c r="F856" s="2" t="s">
        <v>32</v>
      </c>
      <c r="G856" s="2" t="n">
        <v>35922</v>
      </c>
      <c r="H856" s="2" t="n">
        <v>11</v>
      </c>
      <c r="I856" s="2" t="n">
        <v>247</v>
      </c>
      <c r="J856" s="2" t="n">
        <v>0</v>
      </c>
      <c r="K856" s="2" t="n">
        <v>25795</v>
      </c>
      <c r="L856" s="2" t="n">
        <v>20778</v>
      </c>
      <c r="M856" s="2" t="n">
        <v>1827</v>
      </c>
      <c r="N856" s="2" t="n">
        <v>47</v>
      </c>
      <c r="O856" s="2" t="n">
        <v>318</v>
      </c>
      <c r="P856" s="2" t="n">
        <v>168</v>
      </c>
      <c r="Q856" s="2" t="n">
        <v>128</v>
      </c>
      <c r="R856" s="2" t="n">
        <v>10</v>
      </c>
      <c r="S856" s="2" t="n">
        <v>7</v>
      </c>
      <c r="T856" s="2" t="s">
        <v>51</v>
      </c>
      <c r="U856" s="4" t="n">
        <f aca="false">(M856+N856+O856+P856)/L856</f>
        <v>0.113581672923284</v>
      </c>
      <c r="V856" s="2" t="str">
        <f aca="false">IF(S856&lt;=5,"Late night (0-5)",IF(S856&lt;=11,"Morning (6-11)",IF(S856&lt;=17,"Afternoon (12-17)","Evening (18-23)")))</f>
        <v>Morning (6-11)</v>
      </c>
    </row>
    <row r="857" customFormat="false" ht="15" hidden="false" customHeight="false" outlineLevel="0" collapsed="false">
      <c r="A857" s="2" t="s">
        <v>1603</v>
      </c>
      <c r="B857" s="2" t="s">
        <v>188</v>
      </c>
      <c r="C857" s="2" t="s">
        <v>30</v>
      </c>
      <c r="D857" s="3" t="n">
        <v>45851</v>
      </c>
      <c r="E857" s="2" t="s">
        <v>1604</v>
      </c>
      <c r="F857" s="2" t="s">
        <v>50</v>
      </c>
      <c r="G857" s="2" t="n">
        <v>38900</v>
      </c>
      <c r="H857" s="2" t="n">
        <v>14</v>
      </c>
      <c r="I857" s="2" t="n">
        <v>146</v>
      </c>
      <c r="J857" s="2" t="n">
        <v>0</v>
      </c>
      <c r="K857" s="2" t="n">
        <v>88920</v>
      </c>
      <c r="L857" s="2" t="n">
        <v>56521</v>
      </c>
      <c r="M857" s="2" t="n">
        <v>3266</v>
      </c>
      <c r="N857" s="2" t="n">
        <v>165</v>
      </c>
      <c r="O857" s="2" t="n">
        <v>121</v>
      </c>
      <c r="P857" s="2" t="n">
        <v>572</v>
      </c>
      <c r="Q857" s="2" t="n">
        <v>763</v>
      </c>
      <c r="R857" s="2" t="n">
        <v>92</v>
      </c>
      <c r="S857" s="2" t="n">
        <v>6</v>
      </c>
      <c r="T857" s="2" t="s">
        <v>27</v>
      </c>
      <c r="U857" s="4" t="n">
        <f aca="false">(M857+N857+O857+P857)/L857</f>
        <v>0.0729640310680986</v>
      </c>
      <c r="V857" s="2" t="str">
        <f aca="false">IF(S857&lt;=5,"Late night (0-5)",IF(S857&lt;=11,"Morning (6-11)",IF(S857&lt;=17,"Afternoon (12-17)","Evening (18-23)")))</f>
        <v>Morning (6-11)</v>
      </c>
    </row>
    <row r="858" customFormat="false" ht="15" hidden="false" customHeight="false" outlineLevel="0" collapsed="false">
      <c r="A858" s="2" t="s">
        <v>1605</v>
      </c>
      <c r="B858" s="2" t="s">
        <v>64</v>
      </c>
      <c r="C858" s="2" t="s">
        <v>36</v>
      </c>
      <c r="D858" s="3" t="n">
        <v>45940</v>
      </c>
      <c r="E858" s="2" t="s">
        <v>1606</v>
      </c>
      <c r="F858" s="2" t="s">
        <v>38</v>
      </c>
      <c r="G858" s="2" t="n">
        <v>43781</v>
      </c>
      <c r="H858" s="2" t="n">
        <v>6</v>
      </c>
      <c r="I858" s="2" t="n">
        <v>92</v>
      </c>
      <c r="J858" s="2" t="n">
        <v>0</v>
      </c>
      <c r="K858" s="2" t="n">
        <v>17042</v>
      </c>
      <c r="L858" s="2" t="n">
        <v>11275</v>
      </c>
      <c r="M858" s="2" t="n">
        <v>991</v>
      </c>
      <c r="N858" s="2" t="n">
        <v>62</v>
      </c>
      <c r="O858" s="2" t="n">
        <v>143</v>
      </c>
      <c r="P858" s="2" t="n">
        <v>139</v>
      </c>
      <c r="Q858" s="2" t="n">
        <v>57</v>
      </c>
      <c r="R858" s="2" t="n">
        <v>6</v>
      </c>
      <c r="S858" s="2" t="n">
        <v>15</v>
      </c>
      <c r="T858" s="2" t="s">
        <v>96</v>
      </c>
      <c r="U858" s="4" t="n">
        <f aca="false">(M858+N858+O858+P858)/L858</f>
        <v>0.11840354767184</v>
      </c>
      <c r="V858" s="2" t="str">
        <f aca="false">IF(S858&lt;=5,"Late night (0-5)",IF(S858&lt;=11,"Morning (6-11)",IF(S858&lt;=17,"Afternoon (12-17)","Evening (18-23)")))</f>
        <v>Afternoon (12-17)</v>
      </c>
    </row>
    <row r="859" customFormat="false" ht="15" hidden="false" customHeight="false" outlineLevel="0" collapsed="false">
      <c r="A859" s="2" t="s">
        <v>1607</v>
      </c>
      <c r="B859" s="2" t="s">
        <v>111</v>
      </c>
      <c r="C859" s="2" t="s">
        <v>48</v>
      </c>
      <c r="D859" s="3" t="n">
        <v>45658</v>
      </c>
      <c r="E859" s="2" t="s">
        <v>1608</v>
      </c>
      <c r="F859" s="2" t="s">
        <v>38</v>
      </c>
      <c r="G859" s="2" t="n">
        <v>16824</v>
      </c>
      <c r="H859" s="2" t="n">
        <v>5</v>
      </c>
      <c r="I859" s="2" t="n">
        <v>215</v>
      </c>
      <c r="J859" s="2" t="n">
        <v>0</v>
      </c>
      <c r="K859" s="2" t="n">
        <v>9620</v>
      </c>
      <c r="L859" s="2" t="n">
        <v>6443</v>
      </c>
      <c r="M859" s="2" t="n">
        <v>483</v>
      </c>
      <c r="N859" s="2" t="n">
        <v>30</v>
      </c>
      <c r="O859" s="2" t="n">
        <v>74</v>
      </c>
      <c r="P859" s="2" t="n">
        <v>118</v>
      </c>
      <c r="Q859" s="2" t="n">
        <v>43</v>
      </c>
      <c r="R859" s="2" t="n">
        <v>7</v>
      </c>
      <c r="S859" s="2" t="n">
        <v>10</v>
      </c>
      <c r="T859" s="2" t="s">
        <v>66</v>
      </c>
      <c r="U859" s="4" t="n">
        <f aca="false">(M859+N859+O859+P859)/L859</f>
        <v>0.109421077137979</v>
      </c>
      <c r="V859" s="2" t="str">
        <f aca="false">IF(S859&lt;=5,"Late night (0-5)",IF(S859&lt;=11,"Morning (6-11)",IF(S859&lt;=17,"Afternoon (12-17)","Evening (18-23)")))</f>
        <v>Morning (6-11)</v>
      </c>
    </row>
    <row r="860" customFormat="false" ht="15" hidden="false" customHeight="false" outlineLevel="0" collapsed="false">
      <c r="A860" s="2" t="s">
        <v>1609</v>
      </c>
      <c r="B860" s="2" t="s">
        <v>181</v>
      </c>
      <c r="C860" s="2" t="s">
        <v>91</v>
      </c>
      <c r="D860" s="3" t="n">
        <v>45699</v>
      </c>
      <c r="E860" s="2" t="s">
        <v>1610</v>
      </c>
      <c r="F860" s="2" t="s">
        <v>32</v>
      </c>
      <c r="G860" s="2" t="n">
        <v>31658</v>
      </c>
      <c r="H860" s="2" t="n">
        <v>10</v>
      </c>
      <c r="I860" s="2" t="n">
        <v>57</v>
      </c>
      <c r="J860" s="2" t="n">
        <v>1</v>
      </c>
      <c r="K860" s="2" t="n">
        <v>15392</v>
      </c>
      <c r="L860" s="2" t="n">
        <v>12222</v>
      </c>
      <c r="M860" s="2" t="n">
        <v>1088</v>
      </c>
      <c r="N860" s="2" t="n">
        <v>68</v>
      </c>
      <c r="O860" s="2" t="n">
        <v>58</v>
      </c>
      <c r="P860" s="2" t="n">
        <v>294</v>
      </c>
      <c r="Q860" s="2" t="n">
        <v>302</v>
      </c>
      <c r="R860" s="2" t="n">
        <v>75</v>
      </c>
      <c r="S860" s="2" t="n">
        <v>5</v>
      </c>
      <c r="T860" s="2" t="s">
        <v>51</v>
      </c>
      <c r="U860" s="4" t="n">
        <f aca="false">(M860+N860+O860+P860)/L860</f>
        <v>0.123384061528391</v>
      </c>
      <c r="V860" s="2" t="str">
        <f aca="false">IF(S860&lt;=5,"Late night (0-5)",IF(S860&lt;=11,"Morning (6-11)",IF(S860&lt;=17,"Afternoon (12-17)","Evening (18-23)")))</f>
        <v>Late night (0-5)</v>
      </c>
    </row>
    <row r="861" customFormat="false" ht="15" hidden="false" customHeight="false" outlineLevel="0" collapsed="false">
      <c r="A861" s="2" t="s">
        <v>1611</v>
      </c>
      <c r="B861" s="2" t="s">
        <v>60</v>
      </c>
      <c r="C861" s="2" t="s">
        <v>41</v>
      </c>
      <c r="D861" s="3" t="n">
        <v>45943</v>
      </c>
      <c r="E861" s="2" t="s">
        <v>1612</v>
      </c>
      <c r="F861" s="2" t="s">
        <v>50</v>
      </c>
      <c r="G861" s="2" t="n">
        <v>7512</v>
      </c>
      <c r="H861" s="2" t="n">
        <v>17</v>
      </c>
      <c r="I861" s="2" t="n">
        <v>91</v>
      </c>
      <c r="J861" s="2" t="n">
        <v>0</v>
      </c>
      <c r="K861" s="2" t="n">
        <v>13078</v>
      </c>
      <c r="L861" s="2" t="n">
        <v>9042</v>
      </c>
      <c r="M861" s="2" t="n">
        <v>637</v>
      </c>
      <c r="N861" s="2" t="n">
        <v>28</v>
      </c>
      <c r="O861" s="2" t="n">
        <v>54</v>
      </c>
      <c r="P861" s="2" t="n">
        <v>44</v>
      </c>
      <c r="Q861" s="2" t="n">
        <v>130</v>
      </c>
      <c r="R861" s="2" t="n">
        <v>32</v>
      </c>
      <c r="S861" s="2" t="n">
        <v>18</v>
      </c>
      <c r="T861" s="2" t="s">
        <v>33</v>
      </c>
      <c r="U861" s="4" t="n">
        <f aca="false">(M861+N861+O861+P861)/L861</f>
        <v>0.0843839858438399</v>
      </c>
      <c r="V861" s="2" t="str">
        <f aca="false">IF(S861&lt;=5,"Late night (0-5)",IF(S861&lt;=11,"Morning (6-11)",IF(S861&lt;=17,"Afternoon (12-17)","Evening (18-23)")))</f>
        <v>Evening (18-23)</v>
      </c>
    </row>
    <row r="862" customFormat="false" ht="15" hidden="false" customHeight="false" outlineLevel="0" collapsed="false">
      <c r="A862" s="2" t="s">
        <v>1613</v>
      </c>
      <c r="B862" s="2" t="s">
        <v>374</v>
      </c>
      <c r="C862" s="2" t="s">
        <v>24</v>
      </c>
      <c r="D862" s="3" t="n">
        <v>45705</v>
      </c>
      <c r="E862" s="2" t="s">
        <v>78</v>
      </c>
      <c r="F862" s="2" t="s">
        <v>38</v>
      </c>
      <c r="G862" s="2" t="n">
        <v>9509</v>
      </c>
      <c r="H862" s="2" t="n">
        <v>10</v>
      </c>
      <c r="I862" s="2" t="n">
        <v>100</v>
      </c>
      <c r="J862" s="2" t="n">
        <v>0</v>
      </c>
      <c r="K862" s="2" t="n">
        <v>4008</v>
      </c>
      <c r="L862" s="2" t="n">
        <v>2712</v>
      </c>
      <c r="M862" s="2" t="n">
        <v>120</v>
      </c>
      <c r="N862" s="2" t="n">
        <v>8</v>
      </c>
      <c r="O862" s="2" t="n">
        <v>18</v>
      </c>
      <c r="P862" s="2" t="n">
        <v>8</v>
      </c>
      <c r="Q862" s="2" t="n">
        <v>51</v>
      </c>
      <c r="R862" s="2" t="n">
        <v>14</v>
      </c>
      <c r="S862" s="2" t="n">
        <v>5</v>
      </c>
      <c r="T862" s="2" t="s">
        <v>33</v>
      </c>
      <c r="U862" s="4" t="n">
        <f aca="false">(M862+N862+O862+P862)/L862</f>
        <v>0.0567846607669617</v>
      </c>
      <c r="V862" s="2" t="str">
        <f aca="false">IF(S862&lt;=5,"Late night (0-5)",IF(S862&lt;=11,"Morning (6-11)",IF(S862&lt;=17,"Afternoon (12-17)","Evening (18-23)")))</f>
        <v>Late night (0-5)</v>
      </c>
    </row>
    <row r="863" customFormat="false" ht="15" hidden="false" customHeight="false" outlineLevel="0" collapsed="false">
      <c r="A863" s="2" t="s">
        <v>1614</v>
      </c>
      <c r="B863" s="2" t="s">
        <v>35</v>
      </c>
      <c r="C863" s="2" t="s">
        <v>36</v>
      </c>
      <c r="D863" s="3" t="n">
        <v>45829</v>
      </c>
      <c r="E863" s="2" t="s">
        <v>1615</v>
      </c>
      <c r="F863" s="2" t="s">
        <v>26</v>
      </c>
      <c r="G863" s="2" t="n">
        <v>33933</v>
      </c>
      <c r="H863" s="2" t="n">
        <v>16</v>
      </c>
      <c r="I863" s="2" t="n">
        <v>89</v>
      </c>
      <c r="J863" s="2" t="n">
        <v>0</v>
      </c>
      <c r="K863" s="2" t="n">
        <v>21713</v>
      </c>
      <c r="L863" s="2" t="n">
        <v>15427</v>
      </c>
      <c r="M863" s="2" t="n">
        <v>711</v>
      </c>
      <c r="N863" s="2" t="n">
        <v>20</v>
      </c>
      <c r="O863" s="2" t="n">
        <v>105</v>
      </c>
      <c r="P863" s="2" t="n">
        <v>292</v>
      </c>
      <c r="Q863" s="2" t="n">
        <v>88</v>
      </c>
      <c r="R863" s="2" t="n">
        <v>20</v>
      </c>
      <c r="S863" s="2" t="n">
        <v>9</v>
      </c>
      <c r="T863" s="2" t="s">
        <v>62</v>
      </c>
      <c r="U863" s="4" t="n">
        <f aca="false">(M863+N863+O863+P863)/L863</f>
        <v>0.073118558371686</v>
      </c>
      <c r="V863" s="2" t="str">
        <f aca="false">IF(S863&lt;=5,"Late night (0-5)",IF(S863&lt;=11,"Morning (6-11)",IF(S863&lt;=17,"Afternoon (12-17)","Evening (18-23)")))</f>
        <v>Morning (6-11)</v>
      </c>
    </row>
    <row r="864" customFormat="false" ht="15" hidden="false" customHeight="false" outlineLevel="0" collapsed="false">
      <c r="A864" s="2" t="s">
        <v>1616</v>
      </c>
      <c r="B864" s="2" t="s">
        <v>44</v>
      </c>
      <c r="C864" s="2" t="s">
        <v>36</v>
      </c>
      <c r="D864" s="3" t="n">
        <v>45947</v>
      </c>
      <c r="E864" s="2" t="s">
        <v>528</v>
      </c>
      <c r="F864" s="2" t="s">
        <v>26</v>
      </c>
      <c r="G864" s="2" t="n">
        <v>6265</v>
      </c>
      <c r="H864" s="2" t="n">
        <v>18</v>
      </c>
      <c r="I864" s="2" t="n">
        <v>171</v>
      </c>
      <c r="J864" s="2" t="n">
        <v>0</v>
      </c>
      <c r="K864" s="2" t="n">
        <v>6110</v>
      </c>
      <c r="L864" s="2" t="n">
        <v>3798</v>
      </c>
      <c r="M864" s="2" t="n">
        <v>274</v>
      </c>
      <c r="N864" s="2" t="n">
        <v>19</v>
      </c>
      <c r="O864" s="2" t="n">
        <v>11</v>
      </c>
      <c r="P864" s="2" t="n">
        <v>91</v>
      </c>
      <c r="Q864" s="2" t="n">
        <v>67</v>
      </c>
      <c r="R864" s="2" t="n">
        <v>4</v>
      </c>
      <c r="S864" s="2" t="n">
        <v>7</v>
      </c>
      <c r="T864" s="2" t="s">
        <v>96</v>
      </c>
      <c r="U864" s="4" t="n">
        <f aca="false">(M864+N864+O864+P864)/L864</f>
        <v>0.104002106371775</v>
      </c>
      <c r="V864" s="2" t="str">
        <f aca="false">IF(S864&lt;=5,"Late night (0-5)",IF(S864&lt;=11,"Morning (6-11)",IF(S864&lt;=17,"Afternoon (12-17)","Evening (18-23)")))</f>
        <v>Morning (6-11)</v>
      </c>
    </row>
    <row r="865" customFormat="false" ht="15" hidden="false" customHeight="false" outlineLevel="0" collapsed="false">
      <c r="A865" s="2" t="s">
        <v>1617</v>
      </c>
      <c r="B865" s="2" t="s">
        <v>138</v>
      </c>
      <c r="C865" s="2" t="s">
        <v>41</v>
      </c>
      <c r="D865" s="3" t="n">
        <v>45925</v>
      </c>
      <c r="E865" s="2" t="s">
        <v>1618</v>
      </c>
      <c r="F865" s="2" t="s">
        <v>38</v>
      </c>
      <c r="G865" s="2" t="n">
        <v>18712</v>
      </c>
      <c r="H865" s="2" t="n">
        <v>10</v>
      </c>
      <c r="I865" s="2" t="n">
        <v>247</v>
      </c>
      <c r="J865" s="2" t="n">
        <v>0</v>
      </c>
      <c r="K865" s="2" t="n">
        <v>9597</v>
      </c>
      <c r="L865" s="2" t="n">
        <v>8144</v>
      </c>
      <c r="M865" s="2" t="n">
        <v>540</v>
      </c>
      <c r="N865" s="2" t="n">
        <v>36</v>
      </c>
      <c r="O865" s="2" t="n">
        <v>90</v>
      </c>
      <c r="P865" s="2" t="n">
        <v>39</v>
      </c>
      <c r="Q865" s="2" t="n">
        <v>86</v>
      </c>
      <c r="R865" s="2" t="n">
        <v>13</v>
      </c>
      <c r="S865" s="2" t="n">
        <v>17</v>
      </c>
      <c r="T865" s="2" t="s">
        <v>79</v>
      </c>
      <c r="U865" s="4" t="n">
        <f aca="false">(M865+N865+O865+P865)/L865</f>
        <v>0.0865667976424362</v>
      </c>
      <c r="V865" s="2" t="str">
        <f aca="false">IF(S865&lt;=5,"Late night (0-5)",IF(S865&lt;=11,"Morning (6-11)",IF(S865&lt;=17,"Afternoon (12-17)","Evening (18-23)")))</f>
        <v>Afternoon (12-17)</v>
      </c>
    </row>
    <row r="866" customFormat="false" ht="15" hidden="false" customHeight="false" outlineLevel="0" collapsed="false">
      <c r="A866" s="2" t="s">
        <v>1619</v>
      </c>
      <c r="B866" s="2" t="s">
        <v>98</v>
      </c>
      <c r="C866" s="2" t="s">
        <v>54</v>
      </c>
      <c r="D866" s="3" t="n">
        <v>45712</v>
      </c>
      <c r="E866" s="2" t="s">
        <v>863</v>
      </c>
      <c r="F866" s="2" t="s">
        <v>26</v>
      </c>
      <c r="G866" s="2" t="n">
        <v>18366</v>
      </c>
      <c r="H866" s="2" t="n">
        <v>5</v>
      </c>
      <c r="I866" s="2" t="n">
        <v>148</v>
      </c>
      <c r="J866" s="2" t="n">
        <v>1</v>
      </c>
      <c r="K866" s="2" t="n">
        <v>24426</v>
      </c>
      <c r="L866" s="2" t="n">
        <v>16618</v>
      </c>
      <c r="M866" s="2" t="n">
        <v>627</v>
      </c>
      <c r="N866" s="2" t="n">
        <v>12</v>
      </c>
      <c r="O866" s="2" t="n">
        <v>41</v>
      </c>
      <c r="P866" s="2" t="n">
        <v>202</v>
      </c>
      <c r="Q866" s="2" t="n">
        <v>427</v>
      </c>
      <c r="R866" s="2" t="n">
        <v>57</v>
      </c>
      <c r="S866" s="2" t="n">
        <v>21</v>
      </c>
      <c r="T866" s="2" t="s">
        <v>33</v>
      </c>
      <c r="U866" s="4" t="n">
        <f aca="false">(M866+N866+O866+P866)/L866</f>
        <v>0.0530749789385004</v>
      </c>
      <c r="V866" s="2" t="str">
        <f aca="false">IF(S866&lt;=5,"Late night (0-5)",IF(S866&lt;=11,"Morning (6-11)",IF(S866&lt;=17,"Afternoon (12-17)","Evening (18-23)")))</f>
        <v>Evening (18-23)</v>
      </c>
    </row>
    <row r="867" customFormat="false" ht="15" hidden="false" customHeight="false" outlineLevel="0" collapsed="false">
      <c r="A867" s="2" t="s">
        <v>1620</v>
      </c>
      <c r="B867" s="2" t="s">
        <v>132</v>
      </c>
      <c r="C867" s="2" t="s">
        <v>36</v>
      </c>
      <c r="D867" s="3" t="n">
        <v>45874</v>
      </c>
      <c r="E867" s="2" t="s">
        <v>1621</v>
      </c>
      <c r="F867" s="2" t="s">
        <v>26</v>
      </c>
      <c r="G867" s="2" t="n">
        <v>83053</v>
      </c>
      <c r="H867" s="2" t="n">
        <v>14</v>
      </c>
      <c r="I867" s="2" t="n">
        <v>10</v>
      </c>
      <c r="J867" s="2" t="n">
        <v>0</v>
      </c>
      <c r="K867" s="2" t="n">
        <v>59074</v>
      </c>
      <c r="L867" s="2" t="n">
        <v>34306</v>
      </c>
      <c r="M867" s="2" t="n">
        <v>2006</v>
      </c>
      <c r="N867" s="2" t="n">
        <v>95</v>
      </c>
      <c r="O867" s="2" t="n">
        <v>283</v>
      </c>
      <c r="P867" s="2" t="n">
        <v>573</v>
      </c>
      <c r="Q867" s="2" t="n">
        <v>181</v>
      </c>
      <c r="R867" s="2" t="n">
        <v>53</v>
      </c>
      <c r="S867" s="2" t="n">
        <v>17</v>
      </c>
      <c r="T867" s="2" t="s">
        <v>51</v>
      </c>
      <c r="U867" s="4" t="n">
        <f aca="false">(M867+N867+O867+P867)/L867</f>
        <v>0.086194834722789</v>
      </c>
      <c r="V867" s="2" t="str">
        <f aca="false">IF(S867&lt;=5,"Late night (0-5)",IF(S867&lt;=11,"Morning (6-11)",IF(S867&lt;=17,"Afternoon (12-17)","Evening (18-23)")))</f>
        <v>Afternoon (12-17)</v>
      </c>
    </row>
    <row r="868" customFormat="false" ht="15" hidden="false" customHeight="false" outlineLevel="0" collapsed="false">
      <c r="A868" s="2" t="s">
        <v>1622</v>
      </c>
      <c r="B868" s="2" t="s">
        <v>83</v>
      </c>
      <c r="C868" s="2" t="s">
        <v>84</v>
      </c>
      <c r="D868" s="3" t="n">
        <v>45801</v>
      </c>
      <c r="E868" s="2" t="s">
        <v>1623</v>
      </c>
      <c r="F868" s="2" t="s">
        <v>26</v>
      </c>
      <c r="G868" s="2" t="n">
        <v>17918</v>
      </c>
      <c r="H868" s="2" t="n">
        <v>23</v>
      </c>
      <c r="I868" s="2" t="n">
        <v>113</v>
      </c>
      <c r="J868" s="2" t="n">
        <v>0</v>
      </c>
      <c r="K868" s="2" t="n">
        <v>28846</v>
      </c>
      <c r="L868" s="2" t="n">
        <v>19564</v>
      </c>
      <c r="M868" s="2" t="n">
        <v>647</v>
      </c>
      <c r="N868" s="2" t="n">
        <v>43</v>
      </c>
      <c r="O868" s="2" t="n">
        <v>95</v>
      </c>
      <c r="P868" s="2" t="n">
        <v>165</v>
      </c>
      <c r="Q868" s="2" t="n">
        <v>340</v>
      </c>
      <c r="R868" s="2" t="n">
        <v>45</v>
      </c>
      <c r="S868" s="2" t="n">
        <v>13</v>
      </c>
      <c r="T868" s="2" t="s">
        <v>62</v>
      </c>
      <c r="U868" s="4" t="n">
        <f aca="false">(M868+N868+O868+P868)/L868</f>
        <v>0.0485585769781231</v>
      </c>
      <c r="V868" s="2" t="str">
        <f aca="false">IF(S868&lt;=5,"Late night (0-5)",IF(S868&lt;=11,"Morning (6-11)",IF(S868&lt;=17,"Afternoon (12-17)","Evening (18-23)")))</f>
        <v>Afternoon (12-17)</v>
      </c>
    </row>
    <row r="869" customFormat="false" ht="15" hidden="false" customHeight="false" outlineLevel="0" collapsed="false">
      <c r="A869" s="2" t="s">
        <v>1624</v>
      </c>
      <c r="B869" s="2" t="s">
        <v>426</v>
      </c>
      <c r="C869" s="2" t="s">
        <v>30</v>
      </c>
      <c r="D869" s="3" t="n">
        <v>45820</v>
      </c>
      <c r="E869" s="2" t="s">
        <v>793</v>
      </c>
      <c r="F869" s="2" t="s">
        <v>32</v>
      </c>
      <c r="G869" s="2" t="n">
        <v>40649</v>
      </c>
      <c r="H869" s="2" t="n">
        <v>27</v>
      </c>
      <c r="I869" s="2" t="n">
        <v>250</v>
      </c>
      <c r="J869" s="2" t="n">
        <v>1</v>
      </c>
      <c r="K869" s="2" t="n">
        <v>39193</v>
      </c>
      <c r="L869" s="2" t="n">
        <v>32964</v>
      </c>
      <c r="M869" s="2" t="n">
        <v>2979</v>
      </c>
      <c r="N869" s="2" t="n">
        <v>224</v>
      </c>
      <c r="O869" s="2" t="n">
        <v>733</v>
      </c>
      <c r="P869" s="2" t="n">
        <v>605</v>
      </c>
      <c r="Q869" s="2" t="n">
        <v>835</v>
      </c>
      <c r="R869" s="2" t="n">
        <v>126</v>
      </c>
      <c r="S869" s="2" t="n">
        <v>23</v>
      </c>
      <c r="T869" s="2" t="s">
        <v>79</v>
      </c>
      <c r="U869" s="4" t="n">
        <f aca="false">(M869+N869+O869+P869)/L869</f>
        <v>0.13775634024997</v>
      </c>
      <c r="V869" s="2" t="str">
        <f aca="false">IF(S869&lt;=5,"Late night (0-5)",IF(S869&lt;=11,"Morning (6-11)",IF(S869&lt;=17,"Afternoon (12-17)","Evening (18-23)")))</f>
        <v>Evening (18-23)</v>
      </c>
    </row>
    <row r="870" customFormat="false" ht="15" hidden="false" customHeight="false" outlineLevel="0" collapsed="false">
      <c r="A870" s="2" t="s">
        <v>1625</v>
      </c>
      <c r="B870" s="2" t="s">
        <v>68</v>
      </c>
      <c r="C870" s="2" t="s">
        <v>54</v>
      </c>
      <c r="D870" s="3" t="n">
        <v>45717</v>
      </c>
      <c r="E870" s="2" t="s">
        <v>1626</v>
      </c>
      <c r="F870" s="2" t="s">
        <v>26</v>
      </c>
      <c r="G870" s="2" t="n">
        <v>35922</v>
      </c>
      <c r="H870" s="2" t="n">
        <v>8</v>
      </c>
      <c r="I870" s="2" t="n">
        <v>143</v>
      </c>
      <c r="J870" s="2" t="n">
        <v>0</v>
      </c>
      <c r="K870" s="2" t="n">
        <v>48607</v>
      </c>
      <c r="L870" s="2" t="n">
        <v>36694</v>
      </c>
      <c r="M870" s="2" t="n">
        <v>2436</v>
      </c>
      <c r="N870" s="2" t="n">
        <v>158</v>
      </c>
      <c r="O870" s="2" t="n">
        <v>289</v>
      </c>
      <c r="P870" s="2" t="n">
        <v>298</v>
      </c>
      <c r="Q870" s="2" t="n">
        <v>1028</v>
      </c>
      <c r="R870" s="2" t="n">
        <v>80</v>
      </c>
      <c r="S870" s="2" t="n">
        <v>10</v>
      </c>
      <c r="T870" s="2" t="s">
        <v>62</v>
      </c>
      <c r="U870" s="4" t="n">
        <f aca="false">(M870+N870+O870+P870)/L870</f>
        <v>0.0866899220581021</v>
      </c>
      <c r="V870" s="2" t="str">
        <f aca="false">IF(S870&lt;=5,"Late night (0-5)",IF(S870&lt;=11,"Morning (6-11)",IF(S870&lt;=17,"Afternoon (12-17)","Evening (18-23)")))</f>
        <v>Morning (6-11)</v>
      </c>
    </row>
    <row r="871" customFormat="false" ht="15" hidden="false" customHeight="false" outlineLevel="0" collapsed="false">
      <c r="A871" s="2" t="s">
        <v>1627</v>
      </c>
      <c r="B871" s="2" t="s">
        <v>83</v>
      </c>
      <c r="C871" s="2" t="s">
        <v>84</v>
      </c>
      <c r="D871" s="3" t="n">
        <v>45883</v>
      </c>
      <c r="E871" s="2" t="s">
        <v>494</v>
      </c>
      <c r="F871" s="2" t="s">
        <v>32</v>
      </c>
      <c r="G871" s="2" t="n">
        <v>17918</v>
      </c>
      <c r="H871" s="2" t="n">
        <v>15</v>
      </c>
      <c r="I871" s="2" t="n">
        <v>347</v>
      </c>
      <c r="J871" s="2" t="n">
        <v>1</v>
      </c>
      <c r="K871" s="2" t="n">
        <v>63070</v>
      </c>
      <c r="L871" s="2" t="n">
        <v>39799</v>
      </c>
      <c r="M871" s="2" t="n">
        <v>1495</v>
      </c>
      <c r="N871" s="2" t="n">
        <v>116</v>
      </c>
      <c r="O871" s="2" t="n">
        <v>200</v>
      </c>
      <c r="P871" s="2" t="n">
        <v>77</v>
      </c>
      <c r="Q871" s="2" t="n">
        <v>1079</v>
      </c>
      <c r="R871" s="2" t="n">
        <v>215</v>
      </c>
      <c r="S871" s="2" t="n">
        <v>23</v>
      </c>
      <c r="T871" s="2" t="s">
        <v>79</v>
      </c>
      <c r="U871" s="4" t="n">
        <f aca="false">(M871+N871+O871+P871)/L871</f>
        <v>0.0474383778486897</v>
      </c>
      <c r="V871" s="2" t="str">
        <f aca="false">IF(S871&lt;=5,"Late night (0-5)",IF(S871&lt;=11,"Morning (6-11)",IF(S871&lt;=17,"Afternoon (12-17)","Evening (18-23)")))</f>
        <v>Evening (18-23)</v>
      </c>
    </row>
    <row r="872" customFormat="false" ht="15" hidden="false" customHeight="false" outlineLevel="0" collapsed="false">
      <c r="A872" s="2" t="s">
        <v>1628</v>
      </c>
      <c r="B872" s="2" t="s">
        <v>29</v>
      </c>
      <c r="C872" s="2" t="s">
        <v>30</v>
      </c>
      <c r="D872" s="3" t="n">
        <v>45896</v>
      </c>
      <c r="E872" s="2" t="s">
        <v>1629</v>
      </c>
      <c r="F872" s="2" t="s">
        <v>38</v>
      </c>
      <c r="G872" s="2" t="n">
        <v>11612</v>
      </c>
      <c r="H872" s="2" t="n">
        <v>7</v>
      </c>
      <c r="I872" s="2" t="n">
        <v>160</v>
      </c>
      <c r="J872" s="2" t="n">
        <v>0</v>
      </c>
      <c r="K872" s="2" t="n">
        <v>6720</v>
      </c>
      <c r="L872" s="2" t="n">
        <v>4389</v>
      </c>
      <c r="M872" s="2" t="n">
        <v>278</v>
      </c>
      <c r="N872" s="2" t="n">
        <v>9</v>
      </c>
      <c r="O872" s="2" t="n">
        <v>31</v>
      </c>
      <c r="P872" s="2" t="n">
        <v>52</v>
      </c>
      <c r="Q872" s="2" t="n">
        <v>111</v>
      </c>
      <c r="R872" s="2" t="n">
        <v>18</v>
      </c>
      <c r="S872" s="2" t="n">
        <v>17</v>
      </c>
      <c r="T872" s="2" t="s">
        <v>66</v>
      </c>
      <c r="U872" s="4" t="n">
        <f aca="false">(M872+N872+O872+P872)/L872</f>
        <v>0.0843016632490317</v>
      </c>
      <c r="V872" s="2" t="str">
        <f aca="false">IF(S872&lt;=5,"Late night (0-5)",IF(S872&lt;=11,"Morning (6-11)",IF(S872&lt;=17,"Afternoon (12-17)","Evening (18-23)")))</f>
        <v>Afternoon (12-17)</v>
      </c>
    </row>
    <row r="873" customFormat="false" ht="15" hidden="false" customHeight="false" outlineLevel="0" collapsed="false">
      <c r="A873" s="2" t="s">
        <v>1630</v>
      </c>
      <c r="B873" s="2" t="s">
        <v>164</v>
      </c>
      <c r="C873" s="2" t="s">
        <v>36</v>
      </c>
      <c r="D873" s="3" t="n">
        <v>45713</v>
      </c>
      <c r="E873" s="2" t="s">
        <v>1631</v>
      </c>
      <c r="F873" s="2" t="s">
        <v>26</v>
      </c>
      <c r="G873" s="2" t="n">
        <v>44230</v>
      </c>
      <c r="H873" s="2" t="n">
        <v>16</v>
      </c>
      <c r="I873" s="2" t="n">
        <v>56</v>
      </c>
      <c r="J873" s="2" t="n">
        <v>0</v>
      </c>
      <c r="K873" s="2" t="n">
        <v>29397</v>
      </c>
      <c r="L873" s="2" t="n">
        <v>20501</v>
      </c>
      <c r="M873" s="2" t="n">
        <v>1031</v>
      </c>
      <c r="N873" s="2" t="n">
        <v>34</v>
      </c>
      <c r="O873" s="2" t="n">
        <v>64</v>
      </c>
      <c r="P873" s="2" t="n">
        <v>347</v>
      </c>
      <c r="Q873" s="2" t="n">
        <v>590</v>
      </c>
      <c r="R873" s="2" t="n">
        <v>50</v>
      </c>
      <c r="S873" s="2" t="n">
        <v>7</v>
      </c>
      <c r="T873" s="2" t="s">
        <v>51</v>
      </c>
      <c r="U873" s="4" t="n">
        <f aca="false">(M873+N873+O873+P873)/L873</f>
        <v>0.0719964879761963</v>
      </c>
      <c r="V873" s="2" t="str">
        <f aca="false">IF(S873&lt;=5,"Late night (0-5)",IF(S873&lt;=11,"Morning (6-11)",IF(S873&lt;=17,"Afternoon (12-17)","Evening (18-23)")))</f>
        <v>Morning (6-11)</v>
      </c>
    </row>
    <row r="874" customFormat="false" ht="15" hidden="false" customHeight="false" outlineLevel="0" collapsed="false">
      <c r="A874" s="2" t="s">
        <v>1632</v>
      </c>
      <c r="B874" s="2" t="s">
        <v>426</v>
      </c>
      <c r="C874" s="2" t="s">
        <v>30</v>
      </c>
      <c r="D874" s="3" t="n">
        <v>45885</v>
      </c>
      <c r="E874" s="2" t="s">
        <v>895</v>
      </c>
      <c r="F874" s="2" t="s">
        <v>32</v>
      </c>
      <c r="G874" s="2" t="n">
        <v>40649</v>
      </c>
      <c r="H874" s="2" t="n">
        <v>13</v>
      </c>
      <c r="I874" s="2" t="n">
        <v>371</v>
      </c>
      <c r="J874" s="2" t="n">
        <v>0</v>
      </c>
      <c r="K874" s="2" t="n">
        <v>74351</v>
      </c>
      <c r="L874" s="2" t="n">
        <v>41964</v>
      </c>
      <c r="M874" s="2" t="n">
        <v>3425</v>
      </c>
      <c r="N874" s="2" t="n">
        <v>252</v>
      </c>
      <c r="O874" s="2" t="n">
        <v>545</v>
      </c>
      <c r="P874" s="2" t="n">
        <v>845</v>
      </c>
      <c r="Q874" s="2" t="n">
        <v>1212</v>
      </c>
      <c r="R874" s="2" t="n">
        <v>301</v>
      </c>
      <c r="S874" s="2" t="n">
        <v>12</v>
      </c>
      <c r="T874" s="2" t="s">
        <v>62</v>
      </c>
      <c r="U874" s="4" t="n">
        <f aca="false">(M874+N874+O874+P874)/L874</f>
        <v>0.120746354017729</v>
      </c>
      <c r="V874" s="2" t="str">
        <f aca="false">IF(S874&lt;=5,"Late night (0-5)",IF(S874&lt;=11,"Morning (6-11)",IF(S874&lt;=17,"Afternoon (12-17)","Evening (18-23)")))</f>
        <v>Afternoon (12-17)</v>
      </c>
    </row>
    <row r="875" customFormat="false" ht="15" hidden="false" customHeight="false" outlineLevel="0" collapsed="false">
      <c r="A875" s="2" t="s">
        <v>1633</v>
      </c>
      <c r="B875" s="2" t="s">
        <v>123</v>
      </c>
      <c r="C875" s="2" t="s">
        <v>24</v>
      </c>
      <c r="D875" s="3" t="n">
        <v>45905</v>
      </c>
      <c r="E875" s="2" t="s">
        <v>1634</v>
      </c>
      <c r="F875" s="2" t="s">
        <v>50</v>
      </c>
      <c r="G875" s="2" t="n">
        <v>41391</v>
      </c>
      <c r="H875" s="2" t="n">
        <v>21</v>
      </c>
      <c r="I875" s="2" t="n">
        <v>331</v>
      </c>
      <c r="J875" s="2" t="n">
        <v>0</v>
      </c>
      <c r="K875" s="2" t="n">
        <v>105213</v>
      </c>
      <c r="L875" s="2" t="n">
        <v>68191</v>
      </c>
      <c r="M875" s="2" t="n">
        <v>3643</v>
      </c>
      <c r="N875" s="2" t="n">
        <v>235</v>
      </c>
      <c r="O875" s="2" t="n">
        <v>124</v>
      </c>
      <c r="P875" s="2" t="n">
        <v>571</v>
      </c>
      <c r="Q875" s="2" t="n">
        <v>1451</v>
      </c>
      <c r="R875" s="2" t="n">
        <v>239</v>
      </c>
      <c r="S875" s="2" t="n">
        <v>5</v>
      </c>
      <c r="T875" s="2" t="s">
        <v>96</v>
      </c>
      <c r="U875" s="4" t="n">
        <f aca="false">(M875+N875+O875+P875)/L875</f>
        <v>0.0670616356997258</v>
      </c>
      <c r="V875" s="2" t="str">
        <f aca="false">IF(S875&lt;=5,"Late night (0-5)",IF(S875&lt;=11,"Morning (6-11)",IF(S875&lt;=17,"Afternoon (12-17)","Evening (18-23)")))</f>
        <v>Late night (0-5)</v>
      </c>
    </row>
    <row r="876" customFormat="false" ht="15" hidden="false" customHeight="false" outlineLevel="0" collapsed="false">
      <c r="A876" s="2" t="s">
        <v>1635</v>
      </c>
      <c r="B876" s="2" t="s">
        <v>324</v>
      </c>
      <c r="C876" s="2" t="s">
        <v>24</v>
      </c>
      <c r="D876" s="3" t="n">
        <v>46008</v>
      </c>
      <c r="E876" s="2" t="s">
        <v>1636</v>
      </c>
      <c r="F876" s="2" t="s">
        <v>32</v>
      </c>
      <c r="G876" s="2" t="n">
        <v>3823</v>
      </c>
      <c r="H876" s="2" t="n">
        <v>20</v>
      </c>
      <c r="I876" s="2" t="n">
        <v>223</v>
      </c>
      <c r="J876" s="2" t="n">
        <v>0</v>
      </c>
      <c r="K876" s="2" t="n">
        <v>3689</v>
      </c>
      <c r="L876" s="2" t="n">
        <v>2881</v>
      </c>
      <c r="M876" s="2" t="n">
        <v>270</v>
      </c>
      <c r="N876" s="2" t="n">
        <v>17</v>
      </c>
      <c r="O876" s="2" t="n">
        <v>72</v>
      </c>
      <c r="P876" s="2" t="n">
        <v>54</v>
      </c>
      <c r="Q876" s="2" t="n">
        <v>44</v>
      </c>
      <c r="R876" s="2" t="n">
        <v>6</v>
      </c>
      <c r="S876" s="2" t="n">
        <v>2</v>
      </c>
      <c r="T876" s="2" t="s">
        <v>66</v>
      </c>
      <c r="U876" s="4" t="n">
        <f aca="false">(M876+N876+O876+P876)/L876</f>
        <v>0.143353002429712</v>
      </c>
      <c r="V876" s="2" t="str">
        <f aca="false">IF(S876&lt;=5,"Late night (0-5)",IF(S876&lt;=11,"Morning (6-11)",IF(S876&lt;=17,"Afternoon (12-17)","Evening (18-23)")))</f>
        <v>Late night (0-5)</v>
      </c>
    </row>
    <row r="877" customFormat="false" ht="15" hidden="false" customHeight="false" outlineLevel="0" collapsed="false">
      <c r="A877" s="2" t="s">
        <v>1637</v>
      </c>
      <c r="B877" s="2" t="s">
        <v>74</v>
      </c>
      <c r="C877" s="2" t="s">
        <v>30</v>
      </c>
      <c r="D877" s="3" t="n">
        <v>45882</v>
      </c>
      <c r="E877" s="2" t="s">
        <v>1638</v>
      </c>
      <c r="F877" s="2" t="s">
        <v>26</v>
      </c>
      <c r="G877" s="2" t="n">
        <v>20432</v>
      </c>
      <c r="H877" s="2" t="n">
        <v>12</v>
      </c>
      <c r="I877" s="2" t="n">
        <v>231</v>
      </c>
      <c r="J877" s="2" t="n">
        <v>1</v>
      </c>
      <c r="K877" s="2" t="n">
        <v>19245</v>
      </c>
      <c r="L877" s="2" t="n">
        <v>14541</v>
      </c>
      <c r="M877" s="2" t="n">
        <v>603</v>
      </c>
      <c r="N877" s="2" t="n">
        <v>47</v>
      </c>
      <c r="O877" s="2" t="n">
        <v>49</v>
      </c>
      <c r="P877" s="2" t="n">
        <v>89</v>
      </c>
      <c r="Q877" s="2" t="n">
        <v>144</v>
      </c>
      <c r="R877" s="2" t="n">
        <v>20</v>
      </c>
      <c r="S877" s="2" t="n">
        <v>5</v>
      </c>
      <c r="T877" s="2" t="s">
        <v>66</v>
      </c>
      <c r="U877" s="4" t="n">
        <f aca="false">(M877+N877+O877+P877)/L877</f>
        <v>0.054191596176329</v>
      </c>
      <c r="V877" s="2" t="str">
        <f aca="false">IF(S877&lt;=5,"Late night (0-5)",IF(S877&lt;=11,"Morning (6-11)",IF(S877&lt;=17,"Afternoon (12-17)","Evening (18-23)")))</f>
        <v>Late night (0-5)</v>
      </c>
    </row>
    <row r="878" customFormat="false" ht="15" hidden="false" customHeight="false" outlineLevel="0" collapsed="false">
      <c r="A878" s="2" t="s">
        <v>1639</v>
      </c>
      <c r="B878" s="2" t="s">
        <v>53</v>
      </c>
      <c r="C878" s="2" t="s">
        <v>54</v>
      </c>
      <c r="D878" s="3" t="n">
        <v>45838</v>
      </c>
      <c r="E878" s="2" t="s">
        <v>1640</v>
      </c>
      <c r="F878" s="2" t="s">
        <v>38</v>
      </c>
      <c r="G878" s="2" t="n">
        <v>11318</v>
      </c>
      <c r="H878" s="2" t="n">
        <v>22</v>
      </c>
      <c r="I878" s="2" t="n">
        <v>112</v>
      </c>
      <c r="J878" s="2" t="n">
        <v>1</v>
      </c>
      <c r="K878" s="2" t="n">
        <v>7313</v>
      </c>
      <c r="L878" s="2" t="n">
        <v>6061</v>
      </c>
      <c r="M878" s="2" t="n">
        <v>357</v>
      </c>
      <c r="N878" s="2" t="n">
        <v>16</v>
      </c>
      <c r="O878" s="2" t="n">
        <v>30</v>
      </c>
      <c r="P878" s="2" t="n">
        <v>65</v>
      </c>
      <c r="Q878" s="2" t="n">
        <v>30</v>
      </c>
      <c r="R878" s="2" t="n">
        <v>4</v>
      </c>
      <c r="S878" s="2" t="n">
        <v>14</v>
      </c>
      <c r="T878" s="2" t="s">
        <v>33</v>
      </c>
      <c r="U878" s="4" t="n">
        <f aca="false">(M878+N878+O878+P878)/L878</f>
        <v>0.0772149810262333</v>
      </c>
      <c r="V878" s="2" t="str">
        <f aca="false">IF(S878&lt;=5,"Late night (0-5)",IF(S878&lt;=11,"Morning (6-11)",IF(S878&lt;=17,"Afternoon (12-17)","Evening (18-23)")))</f>
        <v>Afternoon (12-17)</v>
      </c>
    </row>
    <row r="879" customFormat="false" ht="15" hidden="false" customHeight="false" outlineLevel="0" collapsed="false">
      <c r="A879" s="2" t="s">
        <v>1641</v>
      </c>
      <c r="B879" s="2" t="s">
        <v>327</v>
      </c>
      <c r="C879" s="2" t="s">
        <v>91</v>
      </c>
      <c r="D879" s="3" t="n">
        <v>45821</v>
      </c>
      <c r="E879" s="2" t="s">
        <v>1642</v>
      </c>
      <c r="F879" s="2" t="s">
        <v>26</v>
      </c>
      <c r="G879" s="2" t="n">
        <v>16943</v>
      </c>
      <c r="H879" s="2" t="n">
        <v>19</v>
      </c>
      <c r="I879" s="2" t="n">
        <v>367</v>
      </c>
      <c r="J879" s="2" t="n">
        <v>0</v>
      </c>
      <c r="K879" s="2" t="n">
        <v>14547</v>
      </c>
      <c r="L879" s="2" t="n">
        <v>12924</v>
      </c>
      <c r="M879" s="2" t="n">
        <v>1054</v>
      </c>
      <c r="N879" s="2" t="n">
        <v>69</v>
      </c>
      <c r="O879" s="2" t="n">
        <v>146</v>
      </c>
      <c r="P879" s="2" t="n">
        <v>300</v>
      </c>
      <c r="Q879" s="2" t="n">
        <v>135</v>
      </c>
      <c r="R879" s="2" t="n">
        <v>13</v>
      </c>
      <c r="S879" s="2" t="n">
        <v>5</v>
      </c>
      <c r="T879" s="2" t="s">
        <v>96</v>
      </c>
      <c r="U879" s="4" t="n">
        <f aca="false">(M879+N879+O879+P879)/L879</f>
        <v>0.121402042711235</v>
      </c>
      <c r="V879" s="2" t="str">
        <f aca="false">IF(S879&lt;=5,"Late night (0-5)",IF(S879&lt;=11,"Morning (6-11)",IF(S879&lt;=17,"Afternoon (12-17)","Evening (18-23)")))</f>
        <v>Late night (0-5)</v>
      </c>
    </row>
    <row r="880" customFormat="false" ht="15" hidden="false" customHeight="false" outlineLevel="0" collapsed="false">
      <c r="A880" s="2" t="s">
        <v>1643</v>
      </c>
      <c r="B880" s="2" t="s">
        <v>151</v>
      </c>
      <c r="C880" s="2" t="s">
        <v>36</v>
      </c>
      <c r="D880" s="3" t="n">
        <v>45969</v>
      </c>
      <c r="E880" s="2" t="s">
        <v>1644</v>
      </c>
      <c r="F880" s="2" t="s">
        <v>32</v>
      </c>
      <c r="G880" s="2" t="n">
        <v>19247</v>
      </c>
      <c r="H880" s="2" t="n">
        <v>11</v>
      </c>
      <c r="I880" s="2" t="n">
        <v>145</v>
      </c>
      <c r="J880" s="2" t="n">
        <v>0</v>
      </c>
      <c r="K880" s="2" t="n">
        <v>62389</v>
      </c>
      <c r="L880" s="2" t="n">
        <v>51464</v>
      </c>
      <c r="M880" s="2" t="n">
        <v>2115</v>
      </c>
      <c r="N880" s="2" t="n">
        <v>132</v>
      </c>
      <c r="O880" s="2" t="n">
        <v>195</v>
      </c>
      <c r="P880" s="2" t="n">
        <v>210</v>
      </c>
      <c r="Q880" s="2" t="n">
        <v>475</v>
      </c>
      <c r="R880" s="2" t="n">
        <v>60</v>
      </c>
      <c r="S880" s="2" t="n">
        <v>6</v>
      </c>
      <c r="T880" s="2" t="s">
        <v>62</v>
      </c>
      <c r="U880" s="4" t="n">
        <f aca="false">(M880+N880+O880+P880)/L880</f>
        <v>0.0515311674180009</v>
      </c>
      <c r="V880" s="2" t="str">
        <f aca="false">IF(S880&lt;=5,"Late night (0-5)",IF(S880&lt;=11,"Morning (6-11)",IF(S880&lt;=17,"Afternoon (12-17)","Evening (18-23)")))</f>
        <v>Morning (6-11)</v>
      </c>
    </row>
    <row r="881" customFormat="false" ht="15" hidden="false" customHeight="false" outlineLevel="0" collapsed="false">
      <c r="A881" s="2" t="s">
        <v>1645</v>
      </c>
      <c r="B881" s="2" t="s">
        <v>240</v>
      </c>
      <c r="C881" s="2" t="s">
        <v>41</v>
      </c>
      <c r="D881" s="3" t="n">
        <v>45848</v>
      </c>
      <c r="E881" s="2" t="s">
        <v>442</v>
      </c>
      <c r="F881" s="2" t="s">
        <v>26</v>
      </c>
      <c r="G881" s="2" t="n">
        <v>83197</v>
      </c>
      <c r="H881" s="2" t="n">
        <v>5</v>
      </c>
      <c r="I881" s="2" t="n">
        <v>236</v>
      </c>
      <c r="J881" s="2" t="n">
        <v>1</v>
      </c>
      <c r="K881" s="2" t="n">
        <v>32063</v>
      </c>
      <c r="L881" s="2" t="n">
        <v>22015</v>
      </c>
      <c r="M881" s="2" t="n">
        <v>718</v>
      </c>
      <c r="N881" s="2" t="n">
        <v>21</v>
      </c>
      <c r="O881" s="2" t="n">
        <v>135</v>
      </c>
      <c r="P881" s="2" t="n">
        <v>76</v>
      </c>
      <c r="Q881" s="2" t="n">
        <v>459</v>
      </c>
      <c r="R881" s="2" t="n">
        <v>113</v>
      </c>
      <c r="S881" s="2" t="n">
        <v>17</v>
      </c>
      <c r="T881" s="2" t="s">
        <v>79</v>
      </c>
      <c r="U881" s="4" t="n">
        <f aca="false">(M881+N881+O881+P881)/L881</f>
        <v>0.0431523960935726</v>
      </c>
      <c r="V881" s="2" t="str">
        <f aca="false">IF(S881&lt;=5,"Late night (0-5)",IF(S881&lt;=11,"Morning (6-11)",IF(S881&lt;=17,"Afternoon (12-17)","Evening (18-23)")))</f>
        <v>Afternoon (12-17)</v>
      </c>
    </row>
    <row r="882" customFormat="false" ht="15" hidden="false" customHeight="false" outlineLevel="0" collapsed="false">
      <c r="A882" s="2" t="s">
        <v>1646</v>
      </c>
      <c r="B882" s="2" t="s">
        <v>40</v>
      </c>
      <c r="C882" s="2" t="s">
        <v>41</v>
      </c>
      <c r="D882" s="3" t="n">
        <v>45768</v>
      </c>
      <c r="E882" s="2" t="s">
        <v>1647</v>
      </c>
      <c r="F882" s="2" t="s">
        <v>26</v>
      </c>
      <c r="G882" s="2" t="n">
        <v>23051</v>
      </c>
      <c r="H882" s="2" t="n">
        <v>20</v>
      </c>
      <c r="I882" s="2" t="n">
        <v>10</v>
      </c>
      <c r="J882" s="2" t="n">
        <v>1</v>
      </c>
      <c r="K882" s="2" t="n">
        <v>10972</v>
      </c>
      <c r="L882" s="2" t="n">
        <v>7864</v>
      </c>
      <c r="M882" s="2" t="n">
        <v>311</v>
      </c>
      <c r="N882" s="2" t="n">
        <v>20</v>
      </c>
      <c r="O882" s="2" t="n">
        <v>37</v>
      </c>
      <c r="P882" s="2" t="n">
        <v>78</v>
      </c>
      <c r="Q882" s="2" t="n">
        <v>76</v>
      </c>
      <c r="R882" s="2" t="n">
        <v>8</v>
      </c>
      <c r="S882" s="2" t="n">
        <v>2</v>
      </c>
      <c r="T882" s="2" t="s">
        <v>33</v>
      </c>
      <c r="U882" s="4" t="n">
        <f aca="false">(M882+N882+O882+P882)/L882</f>
        <v>0.0567141403865717</v>
      </c>
      <c r="V882" s="2" t="str">
        <f aca="false">IF(S882&lt;=5,"Late night (0-5)",IF(S882&lt;=11,"Morning (6-11)",IF(S882&lt;=17,"Afternoon (12-17)","Evening (18-23)")))</f>
        <v>Late night (0-5)</v>
      </c>
    </row>
    <row r="883" customFormat="false" ht="15" hidden="false" customHeight="false" outlineLevel="0" collapsed="false">
      <c r="A883" s="2" t="s">
        <v>1648</v>
      </c>
      <c r="B883" s="2" t="s">
        <v>68</v>
      </c>
      <c r="C883" s="2" t="s">
        <v>54</v>
      </c>
      <c r="D883" s="3" t="n">
        <v>45701</v>
      </c>
      <c r="E883" s="2" t="s">
        <v>1649</v>
      </c>
      <c r="F883" s="2" t="s">
        <v>32</v>
      </c>
      <c r="G883" s="2" t="n">
        <v>35922</v>
      </c>
      <c r="H883" s="2" t="n">
        <v>0</v>
      </c>
      <c r="I883" s="2" t="n">
        <v>341</v>
      </c>
      <c r="J883" s="2" t="n">
        <v>1</v>
      </c>
      <c r="K883" s="2" t="n">
        <v>51916</v>
      </c>
      <c r="L883" s="2" t="n">
        <v>38243</v>
      </c>
      <c r="M883" s="2" t="n">
        <v>3849</v>
      </c>
      <c r="N883" s="2" t="n">
        <v>182</v>
      </c>
      <c r="O883" s="2" t="n">
        <v>854</v>
      </c>
      <c r="P883" s="2" t="n">
        <v>956</v>
      </c>
      <c r="Q883" s="2" t="n">
        <v>791</v>
      </c>
      <c r="R883" s="2" t="n">
        <v>226</v>
      </c>
      <c r="S883" s="2" t="n">
        <v>5</v>
      </c>
      <c r="T883" s="2" t="s">
        <v>79</v>
      </c>
      <c r="U883" s="4" t="n">
        <f aca="false">(M883+N883+O883+P883)/L883</f>
        <v>0.152733833642758</v>
      </c>
      <c r="V883" s="2" t="str">
        <f aca="false">IF(S883&lt;=5,"Late night (0-5)",IF(S883&lt;=11,"Morning (6-11)",IF(S883&lt;=17,"Afternoon (12-17)","Evening (18-23)")))</f>
        <v>Late night (0-5)</v>
      </c>
    </row>
    <row r="884" customFormat="false" ht="15" hidden="false" customHeight="false" outlineLevel="0" collapsed="false">
      <c r="A884" s="2" t="s">
        <v>1650</v>
      </c>
      <c r="B884" s="2" t="s">
        <v>23</v>
      </c>
      <c r="C884" s="2" t="s">
        <v>24</v>
      </c>
      <c r="D884" s="3" t="n">
        <v>45810</v>
      </c>
      <c r="E884" s="2" t="s">
        <v>1409</v>
      </c>
      <c r="F884" s="2" t="s">
        <v>50</v>
      </c>
      <c r="G884" s="2" t="n">
        <v>63447</v>
      </c>
      <c r="H884" s="2" t="n">
        <v>14</v>
      </c>
      <c r="I884" s="2" t="n">
        <v>194</v>
      </c>
      <c r="J884" s="2" t="n">
        <v>0</v>
      </c>
      <c r="K884" s="2" t="n">
        <v>58808</v>
      </c>
      <c r="L884" s="2" t="n">
        <v>34522</v>
      </c>
      <c r="M884" s="2" t="n">
        <v>1830</v>
      </c>
      <c r="N884" s="2" t="n">
        <v>58</v>
      </c>
      <c r="O884" s="2" t="n">
        <v>200</v>
      </c>
      <c r="P884" s="2" t="n">
        <v>208</v>
      </c>
      <c r="Q884" s="2" t="n">
        <v>376</v>
      </c>
      <c r="R884" s="2" t="n">
        <v>72</v>
      </c>
      <c r="S884" s="2" t="n">
        <v>16</v>
      </c>
      <c r="T884" s="2" t="s">
        <v>33</v>
      </c>
      <c r="U884" s="4" t="n">
        <f aca="false">(M884+N884+O884+P884)/L884</f>
        <v>0.0665083135391924</v>
      </c>
      <c r="V884" s="2" t="str">
        <f aca="false">IF(S884&lt;=5,"Late night (0-5)",IF(S884&lt;=11,"Morning (6-11)",IF(S884&lt;=17,"Afternoon (12-17)","Evening (18-23)")))</f>
        <v>Afternoon (12-17)</v>
      </c>
    </row>
    <row r="885" customFormat="false" ht="15" hidden="false" customHeight="false" outlineLevel="0" collapsed="false">
      <c r="A885" s="2" t="s">
        <v>1651</v>
      </c>
      <c r="B885" s="2" t="s">
        <v>220</v>
      </c>
      <c r="C885" s="2" t="s">
        <v>48</v>
      </c>
      <c r="D885" s="3" t="n">
        <v>45951</v>
      </c>
      <c r="E885" s="2" t="s">
        <v>1652</v>
      </c>
      <c r="F885" s="2" t="s">
        <v>38</v>
      </c>
      <c r="G885" s="2" t="n">
        <v>18917</v>
      </c>
      <c r="H885" s="2" t="n">
        <v>18</v>
      </c>
      <c r="I885" s="2" t="n">
        <v>204</v>
      </c>
      <c r="J885" s="2" t="n">
        <v>0</v>
      </c>
      <c r="K885" s="2" t="n">
        <v>5183</v>
      </c>
      <c r="L885" s="2" t="n">
        <v>3199</v>
      </c>
      <c r="M885" s="2" t="n">
        <v>269</v>
      </c>
      <c r="N885" s="2" t="n">
        <v>15</v>
      </c>
      <c r="O885" s="2" t="n">
        <v>32</v>
      </c>
      <c r="P885" s="2" t="n">
        <v>73</v>
      </c>
      <c r="Q885" s="2" t="n">
        <v>52</v>
      </c>
      <c r="R885" s="2" t="n">
        <v>13</v>
      </c>
      <c r="S885" s="2" t="n">
        <v>14</v>
      </c>
      <c r="T885" s="2" t="s">
        <v>51</v>
      </c>
      <c r="U885" s="4" t="n">
        <f aca="false">(M885+N885+O885+P885)/L885</f>
        <v>0.121600500156299</v>
      </c>
      <c r="V885" s="2" t="str">
        <f aca="false">IF(S885&lt;=5,"Late night (0-5)",IF(S885&lt;=11,"Morning (6-11)",IF(S885&lt;=17,"Afternoon (12-17)","Evening (18-23)")))</f>
        <v>Afternoon (12-17)</v>
      </c>
    </row>
    <row r="886" customFormat="false" ht="15" hidden="false" customHeight="false" outlineLevel="0" collapsed="false">
      <c r="A886" s="2" t="s">
        <v>1653</v>
      </c>
      <c r="B886" s="2" t="s">
        <v>164</v>
      </c>
      <c r="C886" s="2" t="s">
        <v>36</v>
      </c>
      <c r="D886" s="3" t="n">
        <v>45833</v>
      </c>
      <c r="E886" s="2" t="s">
        <v>1654</v>
      </c>
      <c r="F886" s="2" t="s">
        <v>26</v>
      </c>
      <c r="G886" s="2" t="n">
        <v>44230</v>
      </c>
      <c r="H886" s="2" t="n">
        <v>18</v>
      </c>
      <c r="I886" s="2" t="n">
        <v>159</v>
      </c>
      <c r="J886" s="2" t="n">
        <v>1</v>
      </c>
      <c r="K886" s="2" t="n">
        <v>39147</v>
      </c>
      <c r="L886" s="2" t="n">
        <v>34687</v>
      </c>
      <c r="M886" s="2" t="n">
        <v>2351</v>
      </c>
      <c r="N886" s="2" t="n">
        <v>157</v>
      </c>
      <c r="O886" s="2" t="n">
        <v>446</v>
      </c>
      <c r="P886" s="2" t="n">
        <v>456</v>
      </c>
      <c r="Q886" s="2" t="n">
        <v>519</v>
      </c>
      <c r="R886" s="2" t="n">
        <v>47</v>
      </c>
      <c r="S886" s="2" t="n">
        <v>22</v>
      </c>
      <c r="T886" s="2" t="s">
        <v>66</v>
      </c>
      <c r="U886" s="4" t="n">
        <f aca="false">(M886+N886+O886+P886)/L886</f>
        <v>0.0983077233545709</v>
      </c>
      <c r="V886" s="2" t="str">
        <f aca="false">IF(S886&lt;=5,"Late night (0-5)",IF(S886&lt;=11,"Morning (6-11)",IF(S886&lt;=17,"Afternoon (12-17)","Evening (18-23)")))</f>
        <v>Evening (18-23)</v>
      </c>
    </row>
    <row r="887" customFormat="false" ht="15" hidden="false" customHeight="false" outlineLevel="0" collapsed="false">
      <c r="A887" s="2" t="s">
        <v>1655</v>
      </c>
      <c r="B887" s="2" t="s">
        <v>68</v>
      </c>
      <c r="C887" s="2" t="s">
        <v>54</v>
      </c>
      <c r="D887" s="3" t="n">
        <v>45801</v>
      </c>
      <c r="E887" s="2" t="s">
        <v>1101</v>
      </c>
      <c r="F887" s="2" t="s">
        <v>32</v>
      </c>
      <c r="G887" s="2" t="n">
        <v>35922</v>
      </c>
      <c r="H887" s="2" t="n">
        <v>19</v>
      </c>
      <c r="I887" s="2" t="n">
        <v>141</v>
      </c>
      <c r="J887" s="2" t="n">
        <v>0</v>
      </c>
      <c r="K887" s="2" t="n">
        <v>54332</v>
      </c>
      <c r="L887" s="2" t="n">
        <v>34719</v>
      </c>
      <c r="M887" s="2" t="n">
        <v>2056</v>
      </c>
      <c r="N887" s="2" t="n">
        <v>109</v>
      </c>
      <c r="O887" s="2" t="n">
        <v>136</v>
      </c>
      <c r="P887" s="2" t="n">
        <v>383</v>
      </c>
      <c r="Q887" s="2" t="n">
        <v>548</v>
      </c>
      <c r="R887" s="2" t="n">
        <v>131</v>
      </c>
      <c r="S887" s="2" t="n">
        <v>6</v>
      </c>
      <c r="T887" s="2" t="s">
        <v>62</v>
      </c>
      <c r="U887" s="4" t="n">
        <f aca="false">(M887+N887+O887+P887)/L887</f>
        <v>0.0773063740315101</v>
      </c>
      <c r="V887" s="2" t="str">
        <f aca="false">IF(S887&lt;=5,"Late night (0-5)",IF(S887&lt;=11,"Morning (6-11)",IF(S887&lt;=17,"Afternoon (12-17)","Evening (18-23)")))</f>
        <v>Morning (6-11)</v>
      </c>
    </row>
    <row r="888" customFormat="false" ht="15" hidden="false" customHeight="false" outlineLevel="0" collapsed="false">
      <c r="A888" s="2" t="s">
        <v>1656</v>
      </c>
      <c r="B888" s="2" t="s">
        <v>90</v>
      </c>
      <c r="C888" s="2" t="s">
        <v>91</v>
      </c>
      <c r="D888" s="3" t="n">
        <v>45947</v>
      </c>
      <c r="E888" s="2" t="s">
        <v>1464</v>
      </c>
      <c r="F888" s="2" t="s">
        <v>32</v>
      </c>
      <c r="G888" s="2" t="n">
        <v>54788</v>
      </c>
      <c r="H888" s="2" t="n">
        <v>19</v>
      </c>
      <c r="I888" s="2" t="n">
        <v>69</v>
      </c>
      <c r="J888" s="2" t="n">
        <v>0</v>
      </c>
      <c r="K888" s="2" t="n">
        <v>91942</v>
      </c>
      <c r="L888" s="2" t="n">
        <v>62652</v>
      </c>
      <c r="M888" s="2" t="n">
        <v>5292</v>
      </c>
      <c r="N888" s="2" t="n">
        <v>325</v>
      </c>
      <c r="O888" s="2" t="n">
        <v>455</v>
      </c>
      <c r="P888" s="2" t="n">
        <v>518</v>
      </c>
      <c r="Q888" s="2" t="n">
        <v>639</v>
      </c>
      <c r="R888" s="2" t="n">
        <v>180</v>
      </c>
      <c r="S888" s="2" t="n">
        <v>23</v>
      </c>
      <c r="T888" s="2" t="s">
        <v>96</v>
      </c>
      <c r="U888" s="4" t="n">
        <f aca="false">(M888+N888+O888+P888)/L888</f>
        <v>0.105184192044947</v>
      </c>
      <c r="V888" s="2" t="str">
        <f aca="false">IF(S888&lt;=5,"Late night (0-5)",IF(S888&lt;=11,"Morning (6-11)",IF(S888&lt;=17,"Afternoon (12-17)","Evening (18-23)")))</f>
        <v>Evening (18-23)</v>
      </c>
    </row>
    <row r="889" customFormat="false" ht="15" hidden="false" customHeight="false" outlineLevel="0" collapsed="false">
      <c r="A889" s="2" t="s">
        <v>1657</v>
      </c>
      <c r="B889" s="2" t="s">
        <v>123</v>
      </c>
      <c r="C889" s="2" t="s">
        <v>24</v>
      </c>
      <c r="D889" s="3" t="n">
        <v>45739</v>
      </c>
      <c r="E889" s="2" t="s">
        <v>1658</v>
      </c>
      <c r="F889" s="2" t="s">
        <v>26</v>
      </c>
      <c r="G889" s="2" t="n">
        <v>41391</v>
      </c>
      <c r="H889" s="2" t="n">
        <v>9</v>
      </c>
      <c r="I889" s="2" t="n">
        <v>106</v>
      </c>
      <c r="J889" s="2" t="n">
        <v>1</v>
      </c>
      <c r="K889" s="2" t="n">
        <v>24556</v>
      </c>
      <c r="L889" s="2" t="n">
        <v>18886</v>
      </c>
      <c r="M889" s="2" t="n">
        <v>1296</v>
      </c>
      <c r="N889" s="2" t="n">
        <v>60</v>
      </c>
      <c r="O889" s="2" t="n">
        <v>243</v>
      </c>
      <c r="P889" s="2" t="n">
        <v>536</v>
      </c>
      <c r="Q889" s="2" t="n">
        <v>459</v>
      </c>
      <c r="R889" s="2" t="n">
        <v>127</v>
      </c>
      <c r="S889" s="2" t="n">
        <v>0</v>
      </c>
      <c r="T889" s="2" t="s">
        <v>27</v>
      </c>
      <c r="U889" s="4" t="n">
        <f aca="false">(M889+N889+O889+P889)/L889</f>
        <v>0.113046701260193</v>
      </c>
      <c r="V889" s="2" t="str">
        <f aca="false">IF(S889&lt;=5,"Late night (0-5)",IF(S889&lt;=11,"Morning (6-11)",IF(S889&lt;=17,"Afternoon (12-17)","Evening (18-23)")))</f>
        <v>Late night (0-5)</v>
      </c>
    </row>
    <row r="890" customFormat="false" ht="15" hidden="false" customHeight="false" outlineLevel="0" collapsed="false">
      <c r="A890" s="2" t="s">
        <v>1659</v>
      </c>
      <c r="B890" s="2" t="s">
        <v>426</v>
      </c>
      <c r="C890" s="2" t="s">
        <v>30</v>
      </c>
      <c r="D890" s="3" t="n">
        <v>45823</v>
      </c>
      <c r="E890" s="2" t="s">
        <v>854</v>
      </c>
      <c r="F890" s="2" t="s">
        <v>38</v>
      </c>
      <c r="G890" s="2" t="n">
        <v>40649</v>
      </c>
      <c r="H890" s="2" t="n">
        <v>11</v>
      </c>
      <c r="I890" s="2" t="n">
        <v>211</v>
      </c>
      <c r="J890" s="2" t="n">
        <v>1</v>
      </c>
      <c r="K890" s="2" t="n">
        <v>22249</v>
      </c>
      <c r="L890" s="2" t="n">
        <v>13166</v>
      </c>
      <c r="M890" s="2" t="n">
        <v>885</v>
      </c>
      <c r="N890" s="2" t="n">
        <v>47</v>
      </c>
      <c r="O890" s="2" t="n">
        <v>74</v>
      </c>
      <c r="P890" s="2" t="n">
        <v>249</v>
      </c>
      <c r="Q890" s="2" t="n">
        <v>174</v>
      </c>
      <c r="R890" s="2" t="n">
        <v>45</v>
      </c>
      <c r="S890" s="2" t="n">
        <v>16</v>
      </c>
      <c r="T890" s="2" t="s">
        <v>27</v>
      </c>
      <c r="U890" s="4" t="n">
        <f aca="false">(M890+N890+O890+P890)/L890</f>
        <v>0.0953212820902324</v>
      </c>
      <c r="V890" s="2" t="str">
        <f aca="false">IF(S890&lt;=5,"Late night (0-5)",IF(S890&lt;=11,"Morning (6-11)",IF(S890&lt;=17,"Afternoon (12-17)","Evening (18-23)")))</f>
        <v>Afternoon (12-17)</v>
      </c>
    </row>
    <row r="891" customFormat="false" ht="15" hidden="false" customHeight="false" outlineLevel="0" collapsed="false">
      <c r="A891" s="2" t="s">
        <v>1660</v>
      </c>
      <c r="B891" s="2" t="s">
        <v>409</v>
      </c>
      <c r="C891" s="2" t="s">
        <v>48</v>
      </c>
      <c r="D891" s="3" t="n">
        <v>46006</v>
      </c>
      <c r="E891" s="2" t="s">
        <v>1661</v>
      </c>
      <c r="F891" s="2" t="s">
        <v>32</v>
      </c>
      <c r="G891" s="2" t="n">
        <v>31525</v>
      </c>
      <c r="H891" s="2" t="n">
        <v>9</v>
      </c>
      <c r="I891" s="2" t="n">
        <v>269</v>
      </c>
      <c r="J891" s="2" t="n">
        <v>0</v>
      </c>
      <c r="K891" s="2" t="n">
        <v>46189</v>
      </c>
      <c r="L891" s="2" t="n">
        <v>36387</v>
      </c>
      <c r="M891" s="2" t="n">
        <v>3876</v>
      </c>
      <c r="N891" s="2" t="n">
        <v>103</v>
      </c>
      <c r="O891" s="2" t="n">
        <v>923</v>
      </c>
      <c r="P891" s="2" t="n">
        <v>811</v>
      </c>
      <c r="Q891" s="2" t="n">
        <v>359</v>
      </c>
      <c r="R891" s="2" t="n">
        <v>101</v>
      </c>
      <c r="S891" s="2" t="n">
        <v>9</v>
      </c>
      <c r="T891" s="2" t="s">
        <v>33</v>
      </c>
      <c r="U891" s="4" t="n">
        <f aca="false">(M891+N891+O891+P891)/L891</f>
        <v>0.157006623244565</v>
      </c>
      <c r="V891" s="2" t="str">
        <f aca="false">IF(S891&lt;=5,"Late night (0-5)",IF(S891&lt;=11,"Morning (6-11)",IF(S891&lt;=17,"Afternoon (12-17)","Evening (18-23)")))</f>
        <v>Morning (6-11)</v>
      </c>
    </row>
    <row r="892" customFormat="false" ht="15" hidden="false" customHeight="false" outlineLevel="0" collapsed="false">
      <c r="A892" s="2" t="s">
        <v>1662</v>
      </c>
      <c r="B892" s="2" t="s">
        <v>29</v>
      </c>
      <c r="C892" s="2" t="s">
        <v>30</v>
      </c>
      <c r="D892" s="3" t="n">
        <v>45939</v>
      </c>
      <c r="E892" s="2" t="s">
        <v>732</v>
      </c>
      <c r="F892" s="2" t="s">
        <v>26</v>
      </c>
      <c r="G892" s="2" t="n">
        <v>11612</v>
      </c>
      <c r="H892" s="2" t="n">
        <v>12</v>
      </c>
      <c r="I892" s="2" t="n">
        <v>277</v>
      </c>
      <c r="J892" s="2" t="n">
        <v>0</v>
      </c>
      <c r="K892" s="2" t="n">
        <v>11216</v>
      </c>
      <c r="L892" s="2" t="n">
        <v>9883</v>
      </c>
      <c r="M892" s="2" t="n">
        <v>318</v>
      </c>
      <c r="N892" s="2" t="n">
        <v>23</v>
      </c>
      <c r="O892" s="2" t="n">
        <v>15</v>
      </c>
      <c r="P892" s="2" t="n">
        <v>102</v>
      </c>
      <c r="Q892" s="2" t="n">
        <v>98</v>
      </c>
      <c r="R892" s="2" t="n">
        <v>13</v>
      </c>
      <c r="S892" s="2" t="n">
        <v>21</v>
      </c>
      <c r="T892" s="2" t="s">
        <v>79</v>
      </c>
      <c r="U892" s="4" t="n">
        <f aca="false">(M892+N892+O892+P892)/L892</f>
        <v>0.046342203784276</v>
      </c>
      <c r="V892" s="2" t="str">
        <f aca="false">IF(S892&lt;=5,"Late night (0-5)",IF(S892&lt;=11,"Morning (6-11)",IF(S892&lt;=17,"Afternoon (12-17)","Evening (18-23)")))</f>
        <v>Evening (18-23)</v>
      </c>
    </row>
    <row r="893" customFormat="false" ht="15" hidden="false" customHeight="false" outlineLevel="0" collapsed="false">
      <c r="A893" s="2" t="s">
        <v>1663</v>
      </c>
      <c r="B893" s="2" t="s">
        <v>114</v>
      </c>
      <c r="C893" s="2" t="s">
        <v>84</v>
      </c>
      <c r="D893" s="3" t="n">
        <v>45830</v>
      </c>
      <c r="E893" s="2" t="s">
        <v>1664</v>
      </c>
      <c r="F893" s="2" t="s">
        <v>38</v>
      </c>
      <c r="G893" s="2" t="n">
        <v>64307</v>
      </c>
      <c r="H893" s="2" t="n">
        <v>9</v>
      </c>
      <c r="I893" s="2" t="n">
        <v>238</v>
      </c>
      <c r="J893" s="2" t="n">
        <v>0</v>
      </c>
      <c r="K893" s="2" t="n">
        <v>155595</v>
      </c>
      <c r="L893" s="2" t="n">
        <v>105453</v>
      </c>
      <c r="M893" s="2" t="n">
        <v>7817</v>
      </c>
      <c r="N893" s="2" t="n">
        <v>392</v>
      </c>
      <c r="O893" s="2" t="n">
        <v>821</v>
      </c>
      <c r="P893" s="2" t="n">
        <v>1424</v>
      </c>
      <c r="Q893" s="2" t="n">
        <v>1972</v>
      </c>
      <c r="R893" s="2" t="n">
        <v>251</v>
      </c>
      <c r="S893" s="2" t="n">
        <v>13</v>
      </c>
      <c r="T893" s="2" t="s">
        <v>27</v>
      </c>
      <c r="U893" s="4" t="n">
        <f aca="false">(M893+N893+O893+P893)/L893</f>
        <v>0.0991342114496506</v>
      </c>
      <c r="V893" s="2" t="str">
        <f aca="false">IF(S893&lt;=5,"Late night (0-5)",IF(S893&lt;=11,"Morning (6-11)",IF(S893&lt;=17,"Afternoon (12-17)","Evening (18-23)")))</f>
        <v>Afternoon (12-17)</v>
      </c>
    </row>
    <row r="894" customFormat="false" ht="15" hidden="false" customHeight="false" outlineLevel="0" collapsed="false">
      <c r="A894" s="2" t="s">
        <v>1665</v>
      </c>
      <c r="B894" s="2" t="s">
        <v>35</v>
      </c>
      <c r="C894" s="2" t="s">
        <v>36</v>
      </c>
      <c r="D894" s="3" t="n">
        <v>45698</v>
      </c>
      <c r="E894" s="2" t="s">
        <v>1666</v>
      </c>
      <c r="F894" s="2" t="s">
        <v>50</v>
      </c>
      <c r="G894" s="2" t="n">
        <v>33933</v>
      </c>
      <c r="H894" s="2" t="n">
        <v>9</v>
      </c>
      <c r="I894" s="2" t="n">
        <v>348</v>
      </c>
      <c r="J894" s="2" t="n">
        <v>1</v>
      </c>
      <c r="K894" s="2" t="n">
        <v>56368</v>
      </c>
      <c r="L894" s="2" t="n">
        <v>31774</v>
      </c>
      <c r="M894" s="2" t="n">
        <v>1162</v>
      </c>
      <c r="N894" s="2" t="n">
        <v>62</v>
      </c>
      <c r="O894" s="2" t="n">
        <v>102</v>
      </c>
      <c r="P894" s="2" t="n">
        <v>245</v>
      </c>
      <c r="Q894" s="2" t="n">
        <v>674</v>
      </c>
      <c r="R894" s="2" t="n">
        <v>74</v>
      </c>
      <c r="S894" s="2" t="n">
        <v>13</v>
      </c>
      <c r="T894" s="2" t="s">
        <v>33</v>
      </c>
      <c r="U894" s="4" t="n">
        <f aca="false">(M894+N894+O894+P894)/L894</f>
        <v>0.0494429407691824</v>
      </c>
      <c r="V894" s="2" t="str">
        <f aca="false">IF(S894&lt;=5,"Late night (0-5)",IF(S894&lt;=11,"Morning (6-11)",IF(S894&lt;=17,"Afternoon (12-17)","Evening (18-23)")))</f>
        <v>Afternoon (12-17)</v>
      </c>
    </row>
    <row r="895" customFormat="false" ht="15" hidden="false" customHeight="false" outlineLevel="0" collapsed="false">
      <c r="A895" s="2" t="s">
        <v>1667</v>
      </c>
      <c r="B895" s="2" t="s">
        <v>141</v>
      </c>
      <c r="C895" s="2" t="s">
        <v>48</v>
      </c>
      <c r="D895" s="3" t="n">
        <v>45778</v>
      </c>
      <c r="E895" s="2" t="s">
        <v>687</v>
      </c>
      <c r="F895" s="2" t="s">
        <v>38</v>
      </c>
      <c r="G895" s="2" t="n">
        <v>16119</v>
      </c>
      <c r="H895" s="2" t="n">
        <v>12</v>
      </c>
      <c r="I895" s="2" t="n">
        <v>324</v>
      </c>
      <c r="J895" s="2" t="n">
        <v>0</v>
      </c>
      <c r="K895" s="2" t="n">
        <v>4173</v>
      </c>
      <c r="L895" s="2" t="n">
        <v>2772</v>
      </c>
      <c r="M895" s="2" t="n">
        <v>186</v>
      </c>
      <c r="N895" s="2" t="n">
        <v>6</v>
      </c>
      <c r="O895" s="2" t="n">
        <v>19</v>
      </c>
      <c r="P895" s="2" t="n">
        <v>26</v>
      </c>
      <c r="Q895" s="2" t="n">
        <v>59</v>
      </c>
      <c r="R895" s="2" t="n">
        <v>5</v>
      </c>
      <c r="S895" s="2" t="n">
        <v>17</v>
      </c>
      <c r="T895" s="2" t="s">
        <v>79</v>
      </c>
      <c r="U895" s="4" t="n">
        <f aca="false">(M895+N895+O895+P895)/L895</f>
        <v>0.0854978354978355</v>
      </c>
      <c r="V895" s="2" t="str">
        <f aca="false">IF(S895&lt;=5,"Late night (0-5)",IF(S895&lt;=11,"Morning (6-11)",IF(S895&lt;=17,"Afternoon (12-17)","Evening (18-23)")))</f>
        <v>Afternoon (12-17)</v>
      </c>
    </row>
    <row r="896" customFormat="false" ht="15" hidden="false" customHeight="false" outlineLevel="0" collapsed="false">
      <c r="A896" s="2" t="s">
        <v>1668</v>
      </c>
      <c r="B896" s="2" t="s">
        <v>264</v>
      </c>
      <c r="C896" s="2" t="s">
        <v>36</v>
      </c>
      <c r="D896" s="3" t="n">
        <v>45923</v>
      </c>
      <c r="E896" s="2" t="s">
        <v>1669</v>
      </c>
      <c r="F896" s="2" t="s">
        <v>38</v>
      </c>
      <c r="G896" s="2" t="n">
        <v>22362</v>
      </c>
      <c r="H896" s="2" t="n">
        <v>0</v>
      </c>
      <c r="I896" s="2" t="n">
        <v>151</v>
      </c>
      <c r="J896" s="2" t="n">
        <v>0</v>
      </c>
      <c r="K896" s="2" t="n">
        <v>7188</v>
      </c>
      <c r="L896" s="2" t="n">
        <v>6263</v>
      </c>
      <c r="M896" s="2" t="n">
        <v>293</v>
      </c>
      <c r="N896" s="2" t="n">
        <v>8</v>
      </c>
      <c r="O896" s="2" t="n">
        <v>56</v>
      </c>
      <c r="P896" s="2" t="n">
        <v>74</v>
      </c>
      <c r="Q896" s="2" t="n">
        <v>43</v>
      </c>
      <c r="R896" s="2" t="n">
        <v>7</v>
      </c>
      <c r="S896" s="2" t="n">
        <v>10</v>
      </c>
      <c r="T896" s="2" t="s">
        <v>51</v>
      </c>
      <c r="U896" s="4" t="n">
        <f aca="false">(M896+N896+O896+P896)/L896</f>
        <v>0.0688168609292671</v>
      </c>
      <c r="V896" s="2" t="str">
        <f aca="false">IF(S896&lt;=5,"Late night (0-5)",IF(S896&lt;=11,"Morning (6-11)",IF(S896&lt;=17,"Afternoon (12-17)","Evening (18-23)")))</f>
        <v>Morning (6-11)</v>
      </c>
    </row>
    <row r="897" customFormat="false" ht="15" hidden="false" customHeight="false" outlineLevel="0" collapsed="false">
      <c r="A897" s="2" t="s">
        <v>1670</v>
      </c>
      <c r="B897" s="2" t="s">
        <v>68</v>
      </c>
      <c r="C897" s="2" t="s">
        <v>54</v>
      </c>
      <c r="D897" s="3" t="n">
        <v>45809</v>
      </c>
      <c r="E897" s="2" t="s">
        <v>787</v>
      </c>
      <c r="F897" s="2" t="s">
        <v>32</v>
      </c>
      <c r="G897" s="2" t="n">
        <v>35922</v>
      </c>
      <c r="H897" s="2" t="n">
        <v>15</v>
      </c>
      <c r="I897" s="2" t="n">
        <v>10</v>
      </c>
      <c r="J897" s="2" t="n">
        <v>0</v>
      </c>
      <c r="K897" s="2" t="n">
        <v>43818</v>
      </c>
      <c r="L897" s="2" t="n">
        <v>35485</v>
      </c>
      <c r="M897" s="2" t="n">
        <v>2351</v>
      </c>
      <c r="N897" s="2" t="n">
        <v>111</v>
      </c>
      <c r="O897" s="2" t="n">
        <v>417</v>
      </c>
      <c r="P897" s="2" t="n">
        <v>278</v>
      </c>
      <c r="Q897" s="2" t="n">
        <v>454</v>
      </c>
      <c r="R897" s="2" t="n">
        <v>97</v>
      </c>
      <c r="S897" s="2" t="n">
        <v>15</v>
      </c>
      <c r="T897" s="2" t="s">
        <v>27</v>
      </c>
      <c r="U897" s="4" t="n">
        <f aca="false">(M897+N897+O897+P897)/L897</f>
        <v>0.0889671692264337</v>
      </c>
      <c r="V897" s="2" t="str">
        <f aca="false">IF(S897&lt;=5,"Late night (0-5)",IF(S897&lt;=11,"Morning (6-11)",IF(S897&lt;=17,"Afternoon (12-17)","Evening (18-23)")))</f>
        <v>Afternoon (12-17)</v>
      </c>
    </row>
    <row r="898" customFormat="false" ht="15" hidden="false" customHeight="false" outlineLevel="0" collapsed="false">
      <c r="A898" s="2" t="s">
        <v>1671</v>
      </c>
      <c r="B898" s="2" t="s">
        <v>462</v>
      </c>
      <c r="C898" s="2" t="s">
        <v>84</v>
      </c>
      <c r="D898" s="3" t="n">
        <v>45877</v>
      </c>
      <c r="E898" s="2" t="s">
        <v>1672</v>
      </c>
      <c r="F898" s="2" t="s">
        <v>38</v>
      </c>
      <c r="G898" s="2" t="n">
        <v>43510</v>
      </c>
      <c r="H898" s="2" t="n">
        <v>12</v>
      </c>
      <c r="I898" s="2" t="n">
        <v>244</v>
      </c>
      <c r="J898" s="2" t="n">
        <v>0</v>
      </c>
      <c r="K898" s="2" t="n">
        <v>66818</v>
      </c>
      <c r="L898" s="2" t="n">
        <v>46658</v>
      </c>
      <c r="M898" s="2" t="n">
        <v>2672</v>
      </c>
      <c r="N898" s="2" t="n">
        <v>203</v>
      </c>
      <c r="O898" s="2" t="n">
        <v>516</v>
      </c>
      <c r="P898" s="2" t="n">
        <v>775</v>
      </c>
      <c r="Q898" s="2" t="n">
        <v>1188</v>
      </c>
      <c r="R898" s="2" t="n">
        <v>196</v>
      </c>
      <c r="S898" s="2" t="n">
        <v>13</v>
      </c>
      <c r="T898" s="2" t="s">
        <v>96</v>
      </c>
      <c r="U898" s="4" t="n">
        <f aca="false">(M898+N898+O898+P898)/L898</f>
        <v>0.0892880106305457</v>
      </c>
      <c r="V898" s="2" t="str">
        <f aca="false">IF(S898&lt;=5,"Late night (0-5)",IF(S898&lt;=11,"Morning (6-11)",IF(S898&lt;=17,"Afternoon (12-17)","Evening (18-23)")))</f>
        <v>Afternoon (12-17)</v>
      </c>
    </row>
    <row r="899" customFormat="false" ht="15" hidden="false" customHeight="false" outlineLevel="0" collapsed="false">
      <c r="A899" s="2" t="s">
        <v>1673</v>
      </c>
      <c r="B899" s="2" t="s">
        <v>409</v>
      </c>
      <c r="C899" s="2" t="s">
        <v>48</v>
      </c>
      <c r="D899" s="3" t="n">
        <v>45723</v>
      </c>
      <c r="E899" s="2" t="s">
        <v>1476</v>
      </c>
      <c r="F899" s="2" t="s">
        <v>50</v>
      </c>
      <c r="G899" s="2" t="n">
        <v>31525</v>
      </c>
      <c r="H899" s="2" t="n">
        <v>16</v>
      </c>
      <c r="I899" s="2" t="n">
        <v>75</v>
      </c>
      <c r="J899" s="2" t="n">
        <v>0</v>
      </c>
      <c r="K899" s="2" t="n">
        <v>40910</v>
      </c>
      <c r="L899" s="2" t="n">
        <v>25562</v>
      </c>
      <c r="M899" s="2" t="n">
        <v>1688</v>
      </c>
      <c r="N899" s="2" t="n">
        <v>103</v>
      </c>
      <c r="O899" s="2" t="n">
        <v>78</v>
      </c>
      <c r="P899" s="2" t="n">
        <v>163</v>
      </c>
      <c r="Q899" s="2" t="n">
        <v>176</v>
      </c>
      <c r="R899" s="2" t="n">
        <v>35</v>
      </c>
      <c r="S899" s="2" t="n">
        <v>22</v>
      </c>
      <c r="T899" s="2" t="s">
        <v>96</v>
      </c>
      <c r="U899" s="4" t="n">
        <f aca="false">(M899+N899+O899+P899)/L899</f>
        <v>0.0794929974180424</v>
      </c>
      <c r="V899" s="2" t="str">
        <f aca="false">IF(S899&lt;=5,"Late night (0-5)",IF(S899&lt;=11,"Morning (6-11)",IF(S899&lt;=17,"Afternoon (12-17)","Evening (18-23)")))</f>
        <v>Evening (18-23)</v>
      </c>
    </row>
    <row r="900" customFormat="false" ht="15" hidden="false" customHeight="false" outlineLevel="0" collapsed="false">
      <c r="A900" s="2" t="s">
        <v>1674</v>
      </c>
      <c r="B900" s="2" t="s">
        <v>35</v>
      </c>
      <c r="C900" s="2" t="s">
        <v>36</v>
      </c>
      <c r="D900" s="3" t="n">
        <v>45939</v>
      </c>
      <c r="E900" s="2" t="s">
        <v>1675</v>
      </c>
      <c r="F900" s="2" t="s">
        <v>38</v>
      </c>
      <c r="G900" s="2" t="n">
        <v>33933</v>
      </c>
      <c r="H900" s="2" t="n">
        <v>6</v>
      </c>
      <c r="I900" s="2" t="n">
        <v>76</v>
      </c>
      <c r="J900" s="2" t="n">
        <v>0</v>
      </c>
      <c r="K900" s="2" t="n">
        <v>12417</v>
      </c>
      <c r="L900" s="2" t="n">
        <v>8137</v>
      </c>
      <c r="M900" s="2" t="n">
        <v>550</v>
      </c>
      <c r="N900" s="2" t="n">
        <v>31</v>
      </c>
      <c r="O900" s="2" t="n">
        <v>46</v>
      </c>
      <c r="P900" s="2" t="n">
        <v>36</v>
      </c>
      <c r="Q900" s="2" t="n">
        <v>83</v>
      </c>
      <c r="R900" s="2" t="n">
        <v>7</v>
      </c>
      <c r="S900" s="2" t="n">
        <v>3</v>
      </c>
      <c r="T900" s="2" t="s">
        <v>79</v>
      </c>
      <c r="U900" s="4" t="n">
        <f aca="false">(M900+N900+O900+P900)/L900</f>
        <v>0.0814796608086518</v>
      </c>
      <c r="V900" s="2" t="str">
        <f aca="false">IF(S900&lt;=5,"Late night (0-5)",IF(S900&lt;=11,"Morning (6-11)",IF(S900&lt;=17,"Afternoon (12-17)","Evening (18-23)")))</f>
        <v>Late night (0-5)</v>
      </c>
    </row>
    <row r="901" customFormat="false" ht="15" hidden="false" customHeight="false" outlineLevel="0" collapsed="false">
      <c r="A901" s="2" t="s">
        <v>1676</v>
      </c>
      <c r="B901" s="2" t="s">
        <v>409</v>
      </c>
      <c r="C901" s="2" t="s">
        <v>48</v>
      </c>
      <c r="D901" s="3" t="n">
        <v>45831</v>
      </c>
      <c r="E901" s="2" t="s">
        <v>85</v>
      </c>
      <c r="F901" s="2" t="s">
        <v>32</v>
      </c>
      <c r="G901" s="2" t="n">
        <v>31525</v>
      </c>
      <c r="H901" s="2" t="n">
        <v>16</v>
      </c>
      <c r="I901" s="2" t="n">
        <v>211</v>
      </c>
      <c r="J901" s="2" t="n">
        <v>0</v>
      </c>
      <c r="K901" s="2" t="n">
        <v>46900</v>
      </c>
      <c r="L901" s="2" t="n">
        <v>26713</v>
      </c>
      <c r="M901" s="2" t="n">
        <v>1688</v>
      </c>
      <c r="N901" s="2" t="n">
        <v>60</v>
      </c>
      <c r="O901" s="2" t="n">
        <v>504</v>
      </c>
      <c r="P901" s="2" t="n">
        <v>308</v>
      </c>
      <c r="Q901" s="2" t="n">
        <v>710</v>
      </c>
      <c r="R901" s="2" t="n">
        <v>197</v>
      </c>
      <c r="S901" s="2" t="n">
        <v>1</v>
      </c>
      <c r="T901" s="2" t="s">
        <v>33</v>
      </c>
      <c r="U901" s="4" t="n">
        <f aca="false">(M901+N901+O901+P901)/L901</f>
        <v>0.0958334893123198</v>
      </c>
      <c r="V901" s="2" t="str">
        <f aca="false">IF(S901&lt;=5,"Late night (0-5)",IF(S901&lt;=11,"Morning (6-11)",IF(S901&lt;=17,"Afternoon (12-17)","Evening (18-23)")))</f>
        <v>Late night (0-5)</v>
      </c>
    </row>
    <row r="902" customFormat="false" ht="15" hidden="false" customHeight="false" outlineLevel="0" collapsed="false">
      <c r="A902" s="2" t="s">
        <v>1677</v>
      </c>
      <c r="B902" s="2" t="s">
        <v>164</v>
      </c>
      <c r="C902" s="2" t="s">
        <v>36</v>
      </c>
      <c r="D902" s="3" t="n">
        <v>45816</v>
      </c>
      <c r="E902" s="2" t="s">
        <v>1678</v>
      </c>
      <c r="F902" s="2" t="s">
        <v>26</v>
      </c>
      <c r="G902" s="2" t="n">
        <v>44230</v>
      </c>
      <c r="H902" s="2" t="n">
        <v>13</v>
      </c>
      <c r="I902" s="2" t="n">
        <v>145</v>
      </c>
      <c r="J902" s="2" t="n">
        <v>0</v>
      </c>
      <c r="K902" s="2" t="n">
        <v>18199</v>
      </c>
      <c r="L902" s="2" t="n">
        <v>12498</v>
      </c>
      <c r="M902" s="2" t="n">
        <v>913</v>
      </c>
      <c r="N902" s="2" t="n">
        <v>32</v>
      </c>
      <c r="O902" s="2" t="n">
        <v>160</v>
      </c>
      <c r="P902" s="2" t="n">
        <v>70</v>
      </c>
      <c r="Q902" s="2" t="n">
        <v>123</v>
      </c>
      <c r="R902" s="2" t="n">
        <v>30</v>
      </c>
      <c r="S902" s="2" t="n">
        <v>8</v>
      </c>
      <c r="T902" s="2" t="s">
        <v>27</v>
      </c>
      <c r="U902" s="4" t="n">
        <f aca="false">(M902+N902+O902+P902)/L902</f>
        <v>0.0940150424067851</v>
      </c>
      <c r="V902" s="2" t="str">
        <f aca="false">IF(S902&lt;=5,"Late night (0-5)",IF(S902&lt;=11,"Morning (6-11)",IF(S902&lt;=17,"Afternoon (12-17)","Evening (18-23)")))</f>
        <v>Morning (6-11)</v>
      </c>
    </row>
    <row r="903" customFormat="false" ht="15" hidden="false" customHeight="false" outlineLevel="0" collapsed="false">
      <c r="A903" s="2" t="s">
        <v>1679</v>
      </c>
      <c r="B903" s="2" t="s">
        <v>103</v>
      </c>
      <c r="C903" s="2" t="s">
        <v>36</v>
      </c>
      <c r="D903" s="3" t="n">
        <v>45747</v>
      </c>
      <c r="E903" s="2" t="s">
        <v>65</v>
      </c>
      <c r="F903" s="2" t="s">
        <v>32</v>
      </c>
      <c r="G903" s="2" t="n">
        <v>56979</v>
      </c>
      <c r="H903" s="2" t="n">
        <v>1</v>
      </c>
      <c r="I903" s="2" t="n">
        <v>85</v>
      </c>
      <c r="J903" s="2" t="n">
        <v>1</v>
      </c>
      <c r="K903" s="2" t="n">
        <v>180536</v>
      </c>
      <c r="L903" s="2" t="n">
        <v>120530</v>
      </c>
      <c r="M903" s="2" t="n">
        <v>7758</v>
      </c>
      <c r="N903" s="2" t="n">
        <v>403</v>
      </c>
      <c r="O903" s="2" t="n">
        <v>572</v>
      </c>
      <c r="P903" s="2" t="n">
        <v>1749</v>
      </c>
      <c r="Q903" s="2" t="n">
        <v>3524</v>
      </c>
      <c r="R903" s="2" t="n">
        <v>291</v>
      </c>
      <c r="S903" s="2" t="n">
        <v>7</v>
      </c>
      <c r="T903" s="2" t="s">
        <v>33</v>
      </c>
      <c r="U903" s="4" t="n">
        <f aca="false">(M903+N903+O903+P903)/L903</f>
        <v>0.0869659006056583</v>
      </c>
      <c r="V903" s="2" t="str">
        <f aca="false">IF(S903&lt;=5,"Late night (0-5)",IF(S903&lt;=11,"Morning (6-11)",IF(S903&lt;=17,"Afternoon (12-17)","Evening (18-23)")))</f>
        <v>Morning (6-11)</v>
      </c>
    </row>
    <row r="904" customFormat="false" ht="15" hidden="false" customHeight="false" outlineLevel="0" collapsed="false">
      <c r="A904" s="2" t="s">
        <v>1680</v>
      </c>
      <c r="B904" s="2" t="s">
        <v>462</v>
      </c>
      <c r="C904" s="2" t="s">
        <v>84</v>
      </c>
      <c r="D904" s="3" t="n">
        <v>45887</v>
      </c>
      <c r="E904" s="2" t="s">
        <v>1681</v>
      </c>
      <c r="F904" s="2" t="s">
        <v>38</v>
      </c>
      <c r="G904" s="2" t="n">
        <v>43510</v>
      </c>
      <c r="H904" s="2" t="n">
        <v>14</v>
      </c>
      <c r="I904" s="2" t="n">
        <v>152</v>
      </c>
      <c r="J904" s="2" t="n">
        <v>0</v>
      </c>
      <c r="K904" s="2" t="n">
        <v>36051</v>
      </c>
      <c r="L904" s="2" t="n">
        <v>28579</v>
      </c>
      <c r="M904" s="2" t="n">
        <v>2410</v>
      </c>
      <c r="N904" s="2" t="n">
        <v>120</v>
      </c>
      <c r="O904" s="2" t="n">
        <v>382</v>
      </c>
      <c r="P904" s="2" t="n">
        <v>632</v>
      </c>
      <c r="Q904" s="2" t="n">
        <v>856</v>
      </c>
      <c r="R904" s="2" t="n">
        <v>90</v>
      </c>
      <c r="S904" s="2" t="n">
        <v>11</v>
      </c>
      <c r="T904" s="2" t="s">
        <v>33</v>
      </c>
      <c r="U904" s="4" t="n">
        <f aca="false">(M904+N904+O904+P904)/L904</f>
        <v>0.124007138108401</v>
      </c>
      <c r="V904" s="2" t="str">
        <f aca="false">IF(S904&lt;=5,"Late night (0-5)",IF(S904&lt;=11,"Morning (6-11)",IF(S904&lt;=17,"Afternoon (12-17)","Evening (18-23)")))</f>
        <v>Morning (6-11)</v>
      </c>
    </row>
    <row r="905" customFormat="false" ht="15" hidden="false" customHeight="false" outlineLevel="0" collapsed="false">
      <c r="A905" s="2" t="s">
        <v>1682</v>
      </c>
      <c r="B905" s="2" t="s">
        <v>123</v>
      </c>
      <c r="C905" s="2" t="s">
        <v>24</v>
      </c>
      <c r="D905" s="3" t="n">
        <v>45702</v>
      </c>
      <c r="E905" s="2" t="s">
        <v>308</v>
      </c>
      <c r="F905" s="2" t="s">
        <v>38</v>
      </c>
      <c r="G905" s="2" t="n">
        <v>41391</v>
      </c>
      <c r="H905" s="2" t="n">
        <v>14</v>
      </c>
      <c r="I905" s="2" t="n">
        <v>166</v>
      </c>
      <c r="J905" s="2" t="n">
        <v>0</v>
      </c>
      <c r="K905" s="2" t="n">
        <v>33015</v>
      </c>
      <c r="L905" s="2" t="n">
        <v>26780</v>
      </c>
      <c r="M905" s="2" t="n">
        <v>974</v>
      </c>
      <c r="N905" s="2" t="n">
        <v>75</v>
      </c>
      <c r="O905" s="2" t="n">
        <v>128</v>
      </c>
      <c r="P905" s="2" t="n">
        <v>149</v>
      </c>
      <c r="Q905" s="2" t="n">
        <v>528</v>
      </c>
      <c r="R905" s="2" t="n">
        <v>34</v>
      </c>
      <c r="S905" s="2" t="n">
        <v>19</v>
      </c>
      <c r="T905" s="2" t="s">
        <v>96</v>
      </c>
      <c r="U905" s="4" t="n">
        <f aca="false">(M905+N905+O905+P905)/L905</f>
        <v>0.0495145631067961</v>
      </c>
      <c r="V905" s="2" t="str">
        <f aca="false">IF(S905&lt;=5,"Late night (0-5)",IF(S905&lt;=11,"Morning (6-11)",IF(S905&lt;=17,"Afternoon (12-17)","Evening (18-23)")))</f>
        <v>Evening (18-23)</v>
      </c>
    </row>
    <row r="906" customFormat="false" ht="15" hidden="false" customHeight="false" outlineLevel="0" collapsed="false">
      <c r="A906" s="2" t="s">
        <v>1683</v>
      </c>
      <c r="B906" s="2" t="s">
        <v>53</v>
      </c>
      <c r="C906" s="2" t="s">
        <v>54</v>
      </c>
      <c r="D906" s="3" t="n">
        <v>45744</v>
      </c>
      <c r="E906" s="2" t="s">
        <v>1684</v>
      </c>
      <c r="F906" s="2" t="s">
        <v>32</v>
      </c>
      <c r="G906" s="2" t="n">
        <v>11318</v>
      </c>
      <c r="H906" s="2" t="n">
        <v>8</v>
      </c>
      <c r="I906" s="2" t="n">
        <v>152</v>
      </c>
      <c r="J906" s="2" t="n">
        <v>0</v>
      </c>
      <c r="K906" s="2" t="n">
        <v>7447</v>
      </c>
      <c r="L906" s="2" t="n">
        <v>6690</v>
      </c>
      <c r="M906" s="2" t="n">
        <v>568</v>
      </c>
      <c r="N906" s="2" t="n">
        <v>14</v>
      </c>
      <c r="O906" s="2" t="n">
        <v>122</v>
      </c>
      <c r="P906" s="2" t="n">
        <v>111</v>
      </c>
      <c r="Q906" s="2" t="n">
        <v>140</v>
      </c>
      <c r="R906" s="2" t="n">
        <v>13</v>
      </c>
      <c r="S906" s="2" t="n">
        <v>5</v>
      </c>
      <c r="T906" s="2" t="s">
        <v>96</v>
      </c>
      <c r="U906" s="4" t="n">
        <f aca="false">(M906+N906+O906+P906)/L906</f>
        <v>0.121823617339312</v>
      </c>
      <c r="V906" s="2" t="str">
        <f aca="false">IF(S906&lt;=5,"Late night (0-5)",IF(S906&lt;=11,"Morning (6-11)",IF(S906&lt;=17,"Afternoon (12-17)","Evening (18-23)")))</f>
        <v>Late night (0-5)</v>
      </c>
    </row>
    <row r="907" customFormat="false" ht="15" hidden="false" customHeight="false" outlineLevel="0" collapsed="false">
      <c r="A907" s="2" t="s">
        <v>1685</v>
      </c>
      <c r="B907" s="2" t="s">
        <v>29</v>
      </c>
      <c r="C907" s="2" t="s">
        <v>30</v>
      </c>
      <c r="D907" s="3" t="n">
        <v>45785</v>
      </c>
      <c r="E907" s="2" t="s">
        <v>706</v>
      </c>
      <c r="F907" s="2" t="s">
        <v>32</v>
      </c>
      <c r="G907" s="2" t="n">
        <v>11612</v>
      </c>
      <c r="H907" s="2" t="n">
        <v>5</v>
      </c>
      <c r="I907" s="2" t="n">
        <v>282</v>
      </c>
      <c r="J907" s="2" t="n">
        <v>1</v>
      </c>
      <c r="K907" s="2" t="n">
        <v>7665</v>
      </c>
      <c r="L907" s="2" t="n">
        <v>5926</v>
      </c>
      <c r="M907" s="2" t="n">
        <v>638</v>
      </c>
      <c r="N907" s="2" t="n">
        <v>25</v>
      </c>
      <c r="O907" s="2" t="n">
        <v>63</v>
      </c>
      <c r="P907" s="2" t="n">
        <v>110</v>
      </c>
      <c r="Q907" s="2" t="n">
        <v>63</v>
      </c>
      <c r="R907" s="2" t="n">
        <v>11</v>
      </c>
      <c r="S907" s="2" t="n">
        <v>1</v>
      </c>
      <c r="T907" s="2" t="s">
        <v>79</v>
      </c>
      <c r="U907" s="4" t="n">
        <f aca="false">(M907+N907+O907+P907)/L907</f>
        <v>0.141073236584543</v>
      </c>
      <c r="V907" s="2" t="str">
        <f aca="false">IF(S907&lt;=5,"Late night (0-5)",IF(S907&lt;=11,"Morning (6-11)",IF(S907&lt;=17,"Afternoon (12-17)","Evening (18-23)")))</f>
        <v>Late night (0-5)</v>
      </c>
    </row>
    <row r="908" customFormat="false" ht="15" hidden="false" customHeight="false" outlineLevel="0" collapsed="false">
      <c r="A908" s="2" t="s">
        <v>1686</v>
      </c>
      <c r="B908" s="2" t="s">
        <v>154</v>
      </c>
      <c r="C908" s="2" t="s">
        <v>41</v>
      </c>
      <c r="D908" s="3" t="n">
        <v>45737</v>
      </c>
      <c r="E908" s="2" t="s">
        <v>1687</v>
      </c>
      <c r="F908" s="2" t="s">
        <v>32</v>
      </c>
      <c r="G908" s="2" t="n">
        <v>33644</v>
      </c>
      <c r="H908" s="2" t="n">
        <v>13</v>
      </c>
      <c r="I908" s="2" t="n">
        <v>123</v>
      </c>
      <c r="J908" s="2" t="n">
        <v>0</v>
      </c>
      <c r="K908" s="2" t="n">
        <v>21543</v>
      </c>
      <c r="L908" s="2" t="n">
        <v>16940</v>
      </c>
      <c r="M908" s="2" t="n">
        <v>690</v>
      </c>
      <c r="N908" s="2" t="n">
        <v>41</v>
      </c>
      <c r="O908" s="2" t="n">
        <v>35</v>
      </c>
      <c r="P908" s="2" t="n">
        <v>174</v>
      </c>
      <c r="Q908" s="2" t="n">
        <v>478</v>
      </c>
      <c r="R908" s="2" t="n">
        <v>108</v>
      </c>
      <c r="S908" s="2" t="n">
        <v>10</v>
      </c>
      <c r="T908" s="2" t="s">
        <v>96</v>
      </c>
      <c r="U908" s="4" t="n">
        <f aca="false">(M908+N908+O908+P908)/L908</f>
        <v>0.0554899645808737</v>
      </c>
      <c r="V908" s="2" t="str">
        <f aca="false">IF(S908&lt;=5,"Late night (0-5)",IF(S908&lt;=11,"Morning (6-11)",IF(S908&lt;=17,"Afternoon (12-17)","Evening (18-23)")))</f>
        <v>Morning (6-11)</v>
      </c>
    </row>
    <row r="909" customFormat="false" ht="15" hidden="false" customHeight="false" outlineLevel="0" collapsed="false">
      <c r="A909" s="2" t="s">
        <v>1688</v>
      </c>
      <c r="B909" s="2" t="s">
        <v>227</v>
      </c>
      <c r="C909" s="2" t="s">
        <v>54</v>
      </c>
      <c r="D909" s="3" t="n">
        <v>45676</v>
      </c>
      <c r="E909" s="2" t="s">
        <v>236</v>
      </c>
      <c r="F909" s="2" t="s">
        <v>32</v>
      </c>
      <c r="G909" s="2" t="n">
        <v>11796</v>
      </c>
      <c r="H909" s="2" t="n">
        <v>19</v>
      </c>
      <c r="I909" s="2" t="n">
        <v>180</v>
      </c>
      <c r="J909" s="2" t="n">
        <v>1</v>
      </c>
      <c r="K909" s="2" t="n">
        <v>20436</v>
      </c>
      <c r="L909" s="2" t="n">
        <v>12928</v>
      </c>
      <c r="M909" s="2" t="n">
        <v>783</v>
      </c>
      <c r="N909" s="2" t="n">
        <v>18</v>
      </c>
      <c r="O909" s="2" t="n">
        <v>98</v>
      </c>
      <c r="P909" s="2" t="n">
        <v>87</v>
      </c>
      <c r="Q909" s="2" t="n">
        <v>66</v>
      </c>
      <c r="R909" s="2" t="n">
        <v>12</v>
      </c>
      <c r="S909" s="2" t="n">
        <v>23</v>
      </c>
      <c r="T909" s="2" t="s">
        <v>27</v>
      </c>
      <c r="U909" s="4" t="n">
        <f aca="false">(M909+N909+O909+P909)/L909</f>
        <v>0.0762685643564356</v>
      </c>
      <c r="V909" s="2" t="str">
        <f aca="false">IF(S909&lt;=5,"Late night (0-5)",IF(S909&lt;=11,"Morning (6-11)",IF(S909&lt;=17,"Afternoon (12-17)","Evening (18-23)")))</f>
        <v>Evening (18-23)</v>
      </c>
    </row>
    <row r="910" customFormat="false" ht="15" hidden="false" customHeight="false" outlineLevel="0" collapsed="false">
      <c r="A910" s="2" t="s">
        <v>1689</v>
      </c>
      <c r="B910" s="2" t="s">
        <v>106</v>
      </c>
      <c r="C910" s="2" t="s">
        <v>91</v>
      </c>
      <c r="D910" s="3" t="n">
        <v>45896</v>
      </c>
      <c r="E910" s="2" t="s">
        <v>1690</v>
      </c>
      <c r="F910" s="2" t="s">
        <v>26</v>
      </c>
      <c r="G910" s="2" t="n">
        <v>59477</v>
      </c>
      <c r="H910" s="2" t="n">
        <v>11</v>
      </c>
      <c r="I910" s="2" t="n">
        <v>289</v>
      </c>
      <c r="J910" s="2" t="n">
        <v>0</v>
      </c>
      <c r="K910" s="2" t="n">
        <v>41463</v>
      </c>
      <c r="L910" s="2" t="n">
        <v>27282</v>
      </c>
      <c r="M910" s="2" t="n">
        <v>1190</v>
      </c>
      <c r="N910" s="2" t="n">
        <v>25</v>
      </c>
      <c r="O910" s="2" t="n">
        <v>160</v>
      </c>
      <c r="P910" s="2" t="n">
        <v>443</v>
      </c>
      <c r="Q910" s="2" t="n">
        <v>181</v>
      </c>
      <c r="R910" s="2" t="n">
        <v>27</v>
      </c>
      <c r="S910" s="2" t="n">
        <v>3</v>
      </c>
      <c r="T910" s="2" t="s">
        <v>66</v>
      </c>
      <c r="U910" s="4" t="n">
        <f aca="false">(M910+N910+O910+P910)/L910</f>
        <v>0.0666373433032769</v>
      </c>
      <c r="V910" s="2" t="str">
        <f aca="false">IF(S910&lt;=5,"Late night (0-5)",IF(S910&lt;=11,"Morning (6-11)",IF(S910&lt;=17,"Afternoon (12-17)","Evening (18-23)")))</f>
        <v>Late night (0-5)</v>
      </c>
    </row>
    <row r="911" customFormat="false" ht="15" hidden="false" customHeight="false" outlineLevel="0" collapsed="false">
      <c r="A911" s="2" t="s">
        <v>1691</v>
      </c>
      <c r="B911" s="2" t="s">
        <v>83</v>
      </c>
      <c r="C911" s="2" t="s">
        <v>84</v>
      </c>
      <c r="D911" s="3" t="n">
        <v>45947</v>
      </c>
      <c r="E911" s="2" t="s">
        <v>1174</v>
      </c>
      <c r="F911" s="2" t="s">
        <v>32</v>
      </c>
      <c r="G911" s="2" t="n">
        <v>17918</v>
      </c>
      <c r="H911" s="2" t="n">
        <v>19</v>
      </c>
      <c r="I911" s="2" t="n">
        <v>217</v>
      </c>
      <c r="J911" s="2" t="n">
        <v>1</v>
      </c>
      <c r="K911" s="2" t="n">
        <v>30269</v>
      </c>
      <c r="L911" s="2" t="n">
        <v>18589</v>
      </c>
      <c r="M911" s="2" t="n">
        <v>1148</v>
      </c>
      <c r="N911" s="2" t="n">
        <v>27</v>
      </c>
      <c r="O911" s="2" t="n">
        <v>200</v>
      </c>
      <c r="P911" s="2" t="n">
        <v>337</v>
      </c>
      <c r="Q911" s="2" t="n">
        <v>408</v>
      </c>
      <c r="R911" s="2" t="n">
        <v>36</v>
      </c>
      <c r="S911" s="2" t="n">
        <v>1</v>
      </c>
      <c r="T911" s="2" t="s">
        <v>96</v>
      </c>
      <c r="U911" s="4" t="n">
        <f aca="false">(M911+N911+O911+P911)/L911</f>
        <v>0.0920974770025284</v>
      </c>
      <c r="V911" s="2" t="str">
        <f aca="false">IF(S911&lt;=5,"Late night (0-5)",IF(S911&lt;=11,"Morning (6-11)",IF(S911&lt;=17,"Afternoon (12-17)","Evening (18-23)")))</f>
        <v>Late night (0-5)</v>
      </c>
    </row>
    <row r="912" customFormat="false" ht="15" hidden="false" customHeight="false" outlineLevel="0" collapsed="false">
      <c r="A912" s="2" t="s">
        <v>1692</v>
      </c>
      <c r="B912" s="2" t="s">
        <v>68</v>
      </c>
      <c r="C912" s="2" t="s">
        <v>54</v>
      </c>
      <c r="D912" s="3" t="n">
        <v>45789</v>
      </c>
      <c r="E912" s="2" t="s">
        <v>1693</v>
      </c>
      <c r="F912" s="2" t="s">
        <v>32</v>
      </c>
      <c r="G912" s="2" t="n">
        <v>35922</v>
      </c>
      <c r="H912" s="2" t="n">
        <v>14</v>
      </c>
      <c r="I912" s="2" t="n">
        <v>133</v>
      </c>
      <c r="J912" s="2" t="n">
        <v>0</v>
      </c>
      <c r="K912" s="2" t="n">
        <v>185480</v>
      </c>
      <c r="L912" s="2" t="n">
        <v>121599</v>
      </c>
      <c r="M912" s="2" t="n">
        <v>12751</v>
      </c>
      <c r="N912" s="2" t="n">
        <v>571</v>
      </c>
      <c r="O912" s="2" t="n">
        <v>1923</v>
      </c>
      <c r="P912" s="2" t="n">
        <v>976</v>
      </c>
      <c r="Q912" s="2" t="n">
        <v>715</v>
      </c>
      <c r="R912" s="2" t="n">
        <v>79</v>
      </c>
      <c r="S912" s="2" t="n">
        <v>15</v>
      </c>
      <c r="T912" s="2" t="s">
        <v>33</v>
      </c>
      <c r="U912" s="4" t="n">
        <f aca="false">(M912+N912+O912+P912)/L912</f>
        <v>0.133397478597686</v>
      </c>
      <c r="V912" s="2" t="str">
        <f aca="false">IF(S912&lt;=5,"Late night (0-5)",IF(S912&lt;=11,"Morning (6-11)",IF(S912&lt;=17,"Afternoon (12-17)","Evening (18-23)")))</f>
        <v>Afternoon (12-17)</v>
      </c>
    </row>
    <row r="913" customFormat="false" ht="15" hidden="false" customHeight="false" outlineLevel="0" collapsed="false">
      <c r="A913" s="2" t="s">
        <v>1694</v>
      </c>
      <c r="B913" s="2" t="s">
        <v>360</v>
      </c>
      <c r="C913" s="2" t="s">
        <v>48</v>
      </c>
      <c r="D913" s="3" t="n">
        <v>45913</v>
      </c>
      <c r="E913" s="2" t="s">
        <v>704</v>
      </c>
      <c r="F913" s="2" t="s">
        <v>26</v>
      </c>
      <c r="G913" s="2" t="n">
        <v>19542</v>
      </c>
      <c r="H913" s="2" t="n">
        <v>1</v>
      </c>
      <c r="I913" s="2" t="n">
        <v>255</v>
      </c>
      <c r="J913" s="2" t="n">
        <v>0</v>
      </c>
      <c r="K913" s="2" t="n">
        <v>16183</v>
      </c>
      <c r="L913" s="2" t="n">
        <v>9900</v>
      </c>
      <c r="M913" s="2" t="n">
        <v>736</v>
      </c>
      <c r="N913" s="2" t="n">
        <v>44</v>
      </c>
      <c r="O913" s="2" t="n">
        <v>33</v>
      </c>
      <c r="P913" s="2" t="n">
        <v>245</v>
      </c>
      <c r="Q913" s="2" t="n">
        <v>111</v>
      </c>
      <c r="R913" s="2" t="n">
        <v>9</v>
      </c>
      <c r="S913" s="2" t="n">
        <v>19</v>
      </c>
      <c r="T913" s="2" t="s">
        <v>62</v>
      </c>
      <c r="U913" s="4" t="n">
        <f aca="false">(M913+N913+O913+P913)/L913</f>
        <v>0.106868686868687</v>
      </c>
      <c r="V913" s="2" t="str">
        <f aca="false">IF(S913&lt;=5,"Late night (0-5)",IF(S913&lt;=11,"Morning (6-11)",IF(S913&lt;=17,"Afternoon (12-17)","Evening (18-23)")))</f>
        <v>Evening (18-23)</v>
      </c>
    </row>
    <row r="914" customFormat="false" ht="15" hidden="false" customHeight="false" outlineLevel="0" collapsed="false">
      <c r="A914" s="2" t="s">
        <v>1695</v>
      </c>
      <c r="B914" s="2" t="s">
        <v>409</v>
      </c>
      <c r="C914" s="2" t="s">
        <v>48</v>
      </c>
      <c r="D914" s="3" t="n">
        <v>45979</v>
      </c>
      <c r="E914" s="2" t="s">
        <v>1006</v>
      </c>
      <c r="F914" s="2" t="s">
        <v>32</v>
      </c>
      <c r="G914" s="2" t="n">
        <v>31525</v>
      </c>
      <c r="H914" s="2" t="n">
        <v>11</v>
      </c>
      <c r="I914" s="2" t="n">
        <v>128</v>
      </c>
      <c r="J914" s="2" t="n">
        <v>0</v>
      </c>
      <c r="K914" s="2" t="n">
        <v>27569</v>
      </c>
      <c r="L914" s="2" t="n">
        <v>21655</v>
      </c>
      <c r="M914" s="2" t="n">
        <v>1467</v>
      </c>
      <c r="N914" s="2" t="n">
        <v>80</v>
      </c>
      <c r="O914" s="2" t="n">
        <v>203</v>
      </c>
      <c r="P914" s="2" t="n">
        <v>426</v>
      </c>
      <c r="Q914" s="2" t="n">
        <v>111</v>
      </c>
      <c r="R914" s="2" t="n">
        <v>30</v>
      </c>
      <c r="S914" s="2" t="n">
        <v>8</v>
      </c>
      <c r="T914" s="2" t="s">
        <v>51</v>
      </c>
      <c r="U914" s="4" t="n">
        <f aca="false">(M914+N914+O914+P914)/L914</f>
        <v>0.100484876471946</v>
      </c>
      <c r="V914" s="2" t="str">
        <f aca="false">IF(S914&lt;=5,"Late night (0-5)",IF(S914&lt;=11,"Morning (6-11)",IF(S914&lt;=17,"Afternoon (12-17)","Evening (18-23)")))</f>
        <v>Morning (6-11)</v>
      </c>
    </row>
    <row r="915" customFormat="false" ht="15" hidden="false" customHeight="false" outlineLevel="0" collapsed="false">
      <c r="A915" s="2" t="s">
        <v>1696</v>
      </c>
      <c r="B915" s="2" t="s">
        <v>132</v>
      </c>
      <c r="C915" s="2" t="s">
        <v>36</v>
      </c>
      <c r="D915" s="3" t="n">
        <v>45945</v>
      </c>
      <c r="E915" s="2" t="s">
        <v>450</v>
      </c>
      <c r="F915" s="2" t="s">
        <v>26</v>
      </c>
      <c r="G915" s="2" t="n">
        <v>83053</v>
      </c>
      <c r="H915" s="2" t="n">
        <v>13</v>
      </c>
      <c r="I915" s="2" t="n">
        <v>238</v>
      </c>
      <c r="J915" s="2" t="n">
        <v>0</v>
      </c>
      <c r="K915" s="2" t="n">
        <v>91966</v>
      </c>
      <c r="L915" s="2" t="n">
        <v>55388</v>
      </c>
      <c r="M915" s="2" t="n">
        <v>3714</v>
      </c>
      <c r="N915" s="2" t="n">
        <v>266</v>
      </c>
      <c r="O915" s="2" t="n">
        <v>710</v>
      </c>
      <c r="P915" s="2" t="n">
        <v>712</v>
      </c>
      <c r="Q915" s="2" t="n">
        <v>402</v>
      </c>
      <c r="R915" s="2" t="n">
        <v>42</v>
      </c>
      <c r="S915" s="2" t="n">
        <v>23</v>
      </c>
      <c r="T915" s="2" t="s">
        <v>66</v>
      </c>
      <c r="U915" s="4" t="n">
        <f aca="false">(M915+N915+O915+P915)/L915</f>
        <v>0.0975301509352206</v>
      </c>
      <c r="V915" s="2" t="str">
        <f aca="false">IF(S915&lt;=5,"Late night (0-5)",IF(S915&lt;=11,"Morning (6-11)",IF(S915&lt;=17,"Afternoon (12-17)","Evening (18-23)")))</f>
        <v>Evening (18-23)</v>
      </c>
    </row>
    <row r="916" customFormat="false" ht="15" hidden="false" customHeight="false" outlineLevel="0" collapsed="false">
      <c r="A916" s="2" t="s">
        <v>1697</v>
      </c>
      <c r="B916" s="2" t="s">
        <v>148</v>
      </c>
      <c r="C916" s="2" t="s">
        <v>48</v>
      </c>
      <c r="D916" s="3" t="n">
        <v>45691</v>
      </c>
      <c r="E916" s="2" t="s">
        <v>136</v>
      </c>
      <c r="F916" s="2" t="s">
        <v>32</v>
      </c>
      <c r="G916" s="2" t="n">
        <v>46311</v>
      </c>
      <c r="H916" s="2" t="n">
        <v>19</v>
      </c>
      <c r="I916" s="2" t="n">
        <v>265</v>
      </c>
      <c r="J916" s="2" t="n">
        <v>0</v>
      </c>
      <c r="K916" s="2" t="n">
        <v>98334</v>
      </c>
      <c r="L916" s="2" t="n">
        <v>71356</v>
      </c>
      <c r="M916" s="2" t="n">
        <v>5714</v>
      </c>
      <c r="N916" s="2" t="n">
        <v>157</v>
      </c>
      <c r="O916" s="2" t="n">
        <v>493</v>
      </c>
      <c r="P916" s="2" t="n">
        <v>718</v>
      </c>
      <c r="Q916" s="2" t="n">
        <v>662</v>
      </c>
      <c r="R916" s="2" t="n">
        <v>145</v>
      </c>
      <c r="S916" s="2" t="n">
        <v>0</v>
      </c>
      <c r="T916" s="2" t="s">
        <v>33</v>
      </c>
      <c r="U916" s="4" t="n">
        <f aca="false">(M916+N916+O916+P916)/L916</f>
        <v>0.0992488368182073</v>
      </c>
      <c r="V916" s="2" t="str">
        <f aca="false">IF(S916&lt;=5,"Late night (0-5)",IF(S916&lt;=11,"Morning (6-11)",IF(S916&lt;=17,"Afternoon (12-17)","Evening (18-23)")))</f>
        <v>Late night (0-5)</v>
      </c>
    </row>
    <row r="917" customFormat="false" ht="15" hidden="false" customHeight="false" outlineLevel="0" collapsed="false">
      <c r="A917" s="2" t="s">
        <v>1698</v>
      </c>
      <c r="B917" s="2" t="s">
        <v>132</v>
      </c>
      <c r="C917" s="2" t="s">
        <v>36</v>
      </c>
      <c r="D917" s="3" t="n">
        <v>45715</v>
      </c>
      <c r="E917" s="2" t="s">
        <v>1292</v>
      </c>
      <c r="F917" s="2" t="s">
        <v>32</v>
      </c>
      <c r="G917" s="2" t="n">
        <v>83053</v>
      </c>
      <c r="H917" s="2" t="n">
        <v>12</v>
      </c>
      <c r="I917" s="2" t="n">
        <v>240</v>
      </c>
      <c r="J917" s="2" t="n">
        <v>1</v>
      </c>
      <c r="K917" s="2" t="n">
        <v>108094</v>
      </c>
      <c r="L917" s="2" t="n">
        <v>77131</v>
      </c>
      <c r="M917" s="2" t="n">
        <v>3745</v>
      </c>
      <c r="N917" s="2" t="n">
        <v>261</v>
      </c>
      <c r="O917" s="2" t="n">
        <v>478</v>
      </c>
      <c r="P917" s="2" t="n">
        <v>1062</v>
      </c>
      <c r="Q917" s="2" t="n">
        <v>1482</v>
      </c>
      <c r="R917" s="2" t="n">
        <v>264</v>
      </c>
      <c r="S917" s="2" t="n">
        <v>15</v>
      </c>
      <c r="T917" s="2" t="s">
        <v>79</v>
      </c>
      <c r="U917" s="4" t="n">
        <f aca="false">(M917+N917+O917+P917)/L917</f>
        <v>0.0719036444490542</v>
      </c>
      <c r="V917" s="2" t="str">
        <f aca="false">IF(S917&lt;=5,"Late night (0-5)",IF(S917&lt;=11,"Morning (6-11)",IF(S917&lt;=17,"Afternoon (12-17)","Evening (18-23)")))</f>
        <v>Afternoon (12-17)</v>
      </c>
    </row>
    <row r="918" customFormat="false" ht="15" hidden="false" customHeight="false" outlineLevel="0" collapsed="false">
      <c r="A918" s="2" t="s">
        <v>1699</v>
      </c>
      <c r="B918" s="2" t="s">
        <v>103</v>
      </c>
      <c r="C918" s="2" t="s">
        <v>36</v>
      </c>
      <c r="D918" s="3" t="n">
        <v>45840</v>
      </c>
      <c r="E918" s="2" t="s">
        <v>825</v>
      </c>
      <c r="F918" s="2" t="s">
        <v>50</v>
      </c>
      <c r="G918" s="2" t="n">
        <v>56979</v>
      </c>
      <c r="H918" s="2" t="n">
        <v>10</v>
      </c>
      <c r="I918" s="2" t="n">
        <v>183</v>
      </c>
      <c r="J918" s="2" t="n">
        <v>0</v>
      </c>
      <c r="K918" s="2" t="n">
        <v>38690</v>
      </c>
      <c r="L918" s="2" t="n">
        <v>27775</v>
      </c>
      <c r="M918" s="2" t="n">
        <v>2028</v>
      </c>
      <c r="N918" s="2" t="n">
        <v>151</v>
      </c>
      <c r="O918" s="2" t="n">
        <v>306</v>
      </c>
      <c r="P918" s="2" t="n">
        <v>336</v>
      </c>
      <c r="Q918" s="2" t="n">
        <v>815</v>
      </c>
      <c r="R918" s="2" t="n">
        <v>48</v>
      </c>
      <c r="S918" s="2" t="n">
        <v>18</v>
      </c>
      <c r="T918" s="2" t="s">
        <v>66</v>
      </c>
      <c r="U918" s="4" t="n">
        <f aca="false">(M918+N918+O918+P918)/L918</f>
        <v>0.101566156615662</v>
      </c>
      <c r="V918" s="2" t="str">
        <f aca="false">IF(S918&lt;=5,"Late night (0-5)",IF(S918&lt;=11,"Morning (6-11)",IF(S918&lt;=17,"Afternoon (12-17)","Evening (18-23)")))</f>
        <v>Evening (18-23)</v>
      </c>
    </row>
    <row r="919" customFormat="false" ht="15" hidden="false" customHeight="false" outlineLevel="0" collapsed="false">
      <c r="A919" s="2" t="s">
        <v>1700</v>
      </c>
      <c r="B919" s="2" t="s">
        <v>60</v>
      </c>
      <c r="C919" s="2" t="s">
        <v>41</v>
      </c>
      <c r="D919" s="3" t="n">
        <v>45709</v>
      </c>
      <c r="E919" s="2" t="s">
        <v>1701</v>
      </c>
      <c r="F919" s="2" t="s">
        <v>26</v>
      </c>
      <c r="G919" s="2" t="n">
        <v>7512</v>
      </c>
      <c r="H919" s="2" t="n">
        <v>13</v>
      </c>
      <c r="I919" s="2" t="n">
        <v>77</v>
      </c>
      <c r="J919" s="2" t="n">
        <v>1</v>
      </c>
      <c r="K919" s="2" t="n">
        <v>6671</v>
      </c>
      <c r="L919" s="2" t="n">
        <v>3744</v>
      </c>
      <c r="M919" s="2" t="n">
        <v>156</v>
      </c>
      <c r="N919" s="2" t="n">
        <v>3</v>
      </c>
      <c r="O919" s="2" t="n">
        <v>29</v>
      </c>
      <c r="P919" s="2" t="n">
        <v>59</v>
      </c>
      <c r="Q919" s="2" t="n">
        <v>80</v>
      </c>
      <c r="R919" s="2" t="n">
        <v>15</v>
      </c>
      <c r="S919" s="2" t="n">
        <v>1</v>
      </c>
      <c r="T919" s="2" t="s">
        <v>96</v>
      </c>
      <c r="U919" s="4" t="n">
        <f aca="false">(M919+N919+O919+P919)/L919</f>
        <v>0.0659722222222222</v>
      </c>
      <c r="V919" s="2" t="str">
        <f aca="false">IF(S919&lt;=5,"Late night (0-5)",IF(S919&lt;=11,"Morning (6-11)",IF(S919&lt;=17,"Afternoon (12-17)","Evening (18-23)")))</f>
        <v>Late night (0-5)</v>
      </c>
    </row>
    <row r="920" customFormat="false" ht="15" hidden="false" customHeight="false" outlineLevel="0" collapsed="false">
      <c r="A920" s="2" t="s">
        <v>1702</v>
      </c>
      <c r="B920" s="2" t="s">
        <v>307</v>
      </c>
      <c r="C920" s="2" t="s">
        <v>48</v>
      </c>
      <c r="D920" s="3" t="n">
        <v>45744</v>
      </c>
      <c r="E920" s="2" t="s">
        <v>1703</v>
      </c>
      <c r="F920" s="2" t="s">
        <v>26</v>
      </c>
      <c r="G920" s="2" t="n">
        <v>91358</v>
      </c>
      <c r="H920" s="2" t="n">
        <v>10</v>
      </c>
      <c r="I920" s="2" t="n">
        <v>270</v>
      </c>
      <c r="J920" s="2" t="n">
        <v>0</v>
      </c>
      <c r="K920" s="2" t="n">
        <v>83973</v>
      </c>
      <c r="L920" s="2" t="n">
        <v>51202</v>
      </c>
      <c r="M920" s="2" t="n">
        <v>3548</v>
      </c>
      <c r="N920" s="2" t="n">
        <v>259</v>
      </c>
      <c r="O920" s="2" t="n">
        <v>263</v>
      </c>
      <c r="P920" s="2" t="n">
        <v>876</v>
      </c>
      <c r="Q920" s="2" t="n">
        <v>305</v>
      </c>
      <c r="R920" s="2" t="n">
        <v>84</v>
      </c>
      <c r="S920" s="2" t="n">
        <v>17</v>
      </c>
      <c r="T920" s="2" t="s">
        <v>96</v>
      </c>
      <c r="U920" s="4" t="n">
        <f aca="false">(M920+N920+O920+P920)/L920</f>
        <v>0.0965977891488614</v>
      </c>
      <c r="V920" s="2" t="str">
        <f aca="false">IF(S920&lt;=5,"Late night (0-5)",IF(S920&lt;=11,"Morning (6-11)",IF(S920&lt;=17,"Afternoon (12-17)","Evening (18-23)")))</f>
        <v>Afternoon (12-17)</v>
      </c>
    </row>
    <row r="921" customFormat="false" ht="15" hidden="false" customHeight="false" outlineLevel="0" collapsed="false">
      <c r="A921" s="2" t="s">
        <v>1704</v>
      </c>
      <c r="B921" s="2" t="s">
        <v>264</v>
      </c>
      <c r="C921" s="2" t="s">
        <v>36</v>
      </c>
      <c r="D921" s="3" t="n">
        <v>45704</v>
      </c>
      <c r="E921" s="2" t="s">
        <v>1705</v>
      </c>
      <c r="F921" s="2" t="s">
        <v>26</v>
      </c>
      <c r="G921" s="2" t="n">
        <v>22362</v>
      </c>
      <c r="H921" s="2" t="n">
        <v>0</v>
      </c>
      <c r="I921" s="2" t="n">
        <v>176</v>
      </c>
      <c r="J921" s="2" t="n">
        <v>1</v>
      </c>
      <c r="K921" s="2" t="n">
        <v>17632</v>
      </c>
      <c r="L921" s="2" t="n">
        <v>14797</v>
      </c>
      <c r="M921" s="2" t="n">
        <v>833</v>
      </c>
      <c r="N921" s="2" t="n">
        <v>31</v>
      </c>
      <c r="O921" s="2" t="n">
        <v>77</v>
      </c>
      <c r="P921" s="2" t="n">
        <v>127</v>
      </c>
      <c r="Q921" s="2" t="n">
        <v>356</v>
      </c>
      <c r="R921" s="2" t="n">
        <v>100</v>
      </c>
      <c r="S921" s="2" t="n">
        <v>13</v>
      </c>
      <c r="T921" s="2" t="s">
        <v>27</v>
      </c>
      <c r="U921" s="4" t="n">
        <f aca="false">(M921+N921+O921+P921)/L921</f>
        <v>0.0721767925930932</v>
      </c>
      <c r="V921" s="2" t="str">
        <f aca="false">IF(S921&lt;=5,"Late night (0-5)",IF(S921&lt;=11,"Morning (6-11)",IF(S921&lt;=17,"Afternoon (12-17)","Evening (18-23)")))</f>
        <v>Afternoon (12-17)</v>
      </c>
    </row>
    <row r="922" customFormat="false" ht="15" hidden="false" customHeight="false" outlineLevel="0" collapsed="false">
      <c r="A922" s="2" t="s">
        <v>1706</v>
      </c>
      <c r="B922" s="2" t="s">
        <v>126</v>
      </c>
      <c r="C922" s="2" t="s">
        <v>36</v>
      </c>
      <c r="D922" s="3" t="n">
        <v>45947</v>
      </c>
      <c r="E922" s="2" t="s">
        <v>1707</v>
      </c>
      <c r="F922" s="2" t="s">
        <v>32</v>
      </c>
      <c r="G922" s="2" t="n">
        <v>28784</v>
      </c>
      <c r="H922" s="2" t="n">
        <v>0</v>
      </c>
      <c r="I922" s="2" t="n">
        <v>78</v>
      </c>
      <c r="J922" s="2" t="n">
        <v>1</v>
      </c>
      <c r="K922" s="2" t="n">
        <v>34194</v>
      </c>
      <c r="L922" s="2" t="n">
        <v>30963</v>
      </c>
      <c r="M922" s="2" t="n">
        <v>1897</v>
      </c>
      <c r="N922" s="2" t="n">
        <v>51</v>
      </c>
      <c r="O922" s="2" t="n">
        <v>147</v>
      </c>
      <c r="P922" s="2" t="n">
        <v>200</v>
      </c>
      <c r="Q922" s="2" t="n">
        <v>693</v>
      </c>
      <c r="R922" s="2" t="n">
        <v>195</v>
      </c>
      <c r="S922" s="2" t="n">
        <v>23</v>
      </c>
      <c r="T922" s="2" t="s">
        <v>96</v>
      </c>
      <c r="U922" s="4" t="n">
        <f aca="false">(M922+N922+O922+P922)/L922</f>
        <v>0.0741207247359752</v>
      </c>
      <c r="V922" s="2" t="str">
        <f aca="false">IF(S922&lt;=5,"Late night (0-5)",IF(S922&lt;=11,"Morning (6-11)",IF(S922&lt;=17,"Afternoon (12-17)","Evening (18-23)")))</f>
        <v>Evening (18-23)</v>
      </c>
    </row>
    <row r="923" customFormat="false" ht="15" hidden="false" customHeight="false" outlineLevel="0" collapsed="false">
      <c r="A923" s="2" t="s">
        <v>1708</v>
      </c>
      <c r="B923" s="2" t="s">
        <v>132</v>
      </c>
      <c r="C923" s="2" t="s">
        <v>36</v>
      </c>
      <c r="D923" s="3" t="n">
        <v>45969</v>
      </c>
      <c r="E923" s="2" t="s">
        <v>1709</v>
      </c>
      <c r="F923" s="2" t="s">
        <v>26</v>
      </c>
      <c r="G923" s="2" t="n">
        <v>83053</v>
      </c>
      <c r="H923" s="2" t="n">
        <v>2</v>
      </c>
      <c r="I923" s="2" t="n">
        <v>75</v>
      </c>
      <c r="J923" s="2" t="n">
        <v>1</v>
      </c>
      <c r="K923" s="2" t="n">
        <v>79966</v>
      </c>
      <c r="L923" s="2" t="n">
        <v>55546</v>
      </c>
      <c r="M923" s="2" t="n">
        <v>2836</v>
      </c>
      <c r="N923" s="2" t="n">
        <v>211</v>
      </c>
      <c r="O923" s="2" t="n">
        <v>248</v>
      </c>
      <c r="P923" s="2" t="n">
        <v>1168</v>
      </c>
      <c r="Q923" s="2" t="n">
        <v>1578</v>
      </c>
      <c r="R923" s="2" t="n">
        <v>184</v>
      </c>
      <c r="S923" s="2" t="n">
        <v>11</v>
      </c>
      <c r="T923" s="2" t="s">
        <v>62</v>
      </c>
      <c r="U923" s="4" t="n">
        <f aca="false">(M923+N923+O923+P923)/L923</f>
        <v>0.0803478198250099</v>
      </c>
      <c r="V923" s="2" t="str">
        <f aca="false">IF(S923&lt;=5,"Late night (0-5)",IF(S923&lt;=11,"Morning (6-11)",IF(S923&lt;=17,"Afternoon (12-17)","Evening (18-23)")))</f>
        <v>Morning (6-11)</v>
      </c>
    </row>
    <row r="924" customFormat="false" ht="15" hidden="false" customHeight="false" outlineLevel="0" collapsed="false">
      <c r="A924" s="2" t="s">
        <v>1710</v>
      </c>
      <c r="B924" s="2" t="s">
        <v>345</v>
      </c>
      <c r="C924" s="2" t="s">
        <v>30</v>
      </c>
      <c r="D924" s="3" t="n">
        <v>45908</v>
      </c>
      <c r="E924" s="2" t="s">
        <v>1711</v>
      </c>
      <c r="F924" s="2" t="s">
        <v>26</v>
      </c>
      <c r="G924" s="2" t="n">
        <v>8662</v>
      </c>
      <c r="H924" s="2" t="n">
        <v>15</v>
      </c>
      <c r="I924" s="2" t="n">
        <v>200</v>
      </c>
      <c r="J924" s="2" t="n">
        <v>0</v>
      </c>
      <c r="K924" s="2" t="n">
        <v>4779</v>
      </c>
      <c r="L924" s="2" t="n">
        <v>3270</v>
      </c>
      <c r="M924" s="2" t="n">
        <v>173</v>
      </c>
      <c r="N924" s="2" t="n">
        <v>7</v>
      </c>
      <c r="O924" s="2" t="n">
        <v>21</v>
      </c>
      <c r="P924" s="2" t="n">
        <v>33</v>
      </c>
      <c r="Q924" s="2" t="n">
        <v>75</v>
      </c>
      <c r="R924" s="2" t="n">
        <v>10</v>
      </c>
      <c r="S924" s="2" t="n">
        <v>7</v>
      </c>
      <c r="T924" s="2" t="s">
        <v>33</v>
      </c>
      <c r="U924" s="4" t="n">
        <f aca="false">(M924+N924+O924+P924)/L924</f>
        <v>0.0715596330275229</v>
      </c>
      <c r="V924" s="2" t="str">
        <f aca="false">IF(S924&lt;=5,"Late night (0-5)",IF(S924&lt;=11,"Morning (6-11)",IF(S924&lt;=17,"Afternoon (12-17)","Evening (18-23)")))</f>
        <v>Morning (6-11)</v>
      </c>
    </row>
    <row r="925" customFormat="false" ht="15" hidden="false" customHeight="false" outlineLevel="0" collapsed="false">
      <c r="A925" s="2" t="s">
        <v>1712</v>
      </c>
      <c r="B925" s="2" t="s">
        <v>426</v>
      </c>
      <c r="C925" s="2" t="s">
        <v>30</v>
      </c>
      <c r="D925" s="3" t="n">
        <v>45953</v>
      </c>
      <c r="E925" s="2" t="s">
        <v>1713</v>
      </c>
      <c r="F925" s="2" t="s">
        <v>32</v>
      </c>
      <c r="G925" s="2" t="n">
        <v>40649</v>
      </c>
      <c r="H925" s="2" t="n">
        <v>17</v>
      </c>
      <c r="I925" s="2" t="n">
        <v>140</v>
      </c>
      <c r="J925" s="2" t="n">
        <v>1</v>
      </c>
      <c r="K925" s="2" t="n">
        <v>153694</v>
      </c>
      <c r="L925" s="2" t="n">
        <v>108829</v>
      </c>
      <c r="M925" s="2" t="n">
        <v>10801</v>
      </c>
      <c r="N925" s="2" t="n">
        <v>716</v>
      </c>
      <c r="O925" s="2" t="n">
        <v>1360</v>
      </c>
      <c r="P925" s="2" t="n">
        <v>1355</v>
      </c>
      <c r="Q925" s="2" t="n">
        <v>3230</v>
      </c>
      <c r="R925" s="2" t="n">
        <v>689</v>
      </c>
      <c r="S925" s="2" t="n">
        <v>8</v>
      </c>
      <c r="T925" s="2" t="s">
        <v>79</v>
      </c>
      <c r="U925" s="4" t="n">
        <f aca="false">(M925+N925+O925+P925)/L925</f>
        <v>0.1307739664979</v>
      </c>
      <c r="V925" s="2" t="str">
        <f aca="false">IF(S925&lt;=5,"Late night (0-5)",IF(S925&lt;=11,"Morning (6-11)",IF(S925&lt;=17,"Afternoon (12-17)","Evening (18-23)")))</f>
        <v>Morning (6-11)</v>
      </c>
    </row>
    <row r="926" customFormat="false" ht="15" hidden="false" customHeight="false" outlineLevel="0" collapsed="false">
      <c r="A926" s="2" t="s">
        <v>1714</v>
      </c>
      <c r="B926" s="2" t="s">
        <v>374</v>
      </c>
      <c r="C926" s="2" t="s">
        <v>24</v>
      </c>
      <c r="D926" s="3" t="n">
        <v>45778</v>
      </c>
      <c r="E926" s="2" t="s">
        <v>1715</v>
      </c>
      <c r="F926" s="2" t="s">
        <v>32</v>
      </c>
      <c r="G926" s="2" t="n">
        <v>9509</v>
      </c>
      <c r="H926" s="2" t="n">
        <v>9</v>
      </c>
      <c r="I926" s="2" t="n">
        <v>174</v>
      </c>
      <c r="J926" s="2" t="n">
        <v>0</v>
      </c>
      <c r="K926" s="2" t="n">
        <v>24886</v>
      </c>
      <c r="L926" s="2" t="n">
        <v>13964</v>
      </c>
      <c r="M926" s="2" t="n">
        <v>1331</v>
      </c>
      <c r="N926" s="2" t="n">
        <v>103</v>
      </c>
      <c r="O926" s="2" t="n">
        <v>272</v>
      </c>
      <c r="P926" s="2" t="n">
        <v>142</v>
      </c>
      <c r="Q926" s="2" t="n">
        <v>282</v>
      </c>
      <c r="R926" s="2" t="n">
        <v>28</v>
      </c>
      <c r="S926" s="2" t="n">
        <v>14</v>
      </c>
      <c r="T926" s="2" t="s">
        <v>79</v>
      </c>
      <c r="U926" s="4" t="n">
        <f aca="false">(M926+N926+O926+P926)/L926</f>
        <v>0.132340303637926</v>
      </c>
      <c r="V926" s="2" t="str">
        <f aca="false">IF(S926&lt;=5,"Late night (0-5)",IF(S926&lt;=11,"Morning (6-11)",IF(S926&lt;=17,"Afternoon (12-17)","Evening (18-23)")))</f>
        <v>Afternoon (12-17)</v>
      </c>
    </row>
    <row r="927" customFormat="false" ht="15" hidden="false" customHeight="false" outlineLevel="0" collapsed="false">
      <c r="A927" s="2" t="s">
        <v>1716</v>
      </c>
      <c r="B927" s="2" t="s">
        <v>345</v>
      </c>
      <c r="C927" s="2" t="s">
        <v>30</v>
      </c>
      <c r="D927" s="3" t="n">
        <v>45901</v>
      </c>
      <c r="E927" s="2" t="s">
        <v>1717</v>
      </c>
      <c r="F927" s="2" t="s">
        <v>38</v>
      </c>
      <c r="G927" s="2" t="n">
        <v>8662</v>
      </c>
      <c r="H927" s="2" t="n">
        <v>7</v>
      </c>
      <c r="I927" s="2" t="n">
        <v>118</v>
      </c>
      <c r="J927" s="2" t="n">
        <v>0</v>
      </c>
      <c r="K927" s="2" t="n">
        <v>3474</v>
      </c>
      <c r="L927" s="2" t="n">
        <v>2304</v>
      </c>
      <c r="M927" s="2" t="n">
        <v>108</v>
      </c>
      <c r="N927" s="2" t="n">
        <v>6</v>
      </c>
      <c r="O927" s="2" t="n">
        <v>7</v>
      </c>
      <c r="P927" s="2" t="n">
        <v>23</v>
      </c>
      <c r="Q927" s="2" t="n">
        <v>26</v>
      </c>
      <c r="R927" s="2" t="n">
        <v>4</v>
      </c>
      <c r="S927" s="2" t="n">
        <v>2</v>
      </c>
      <c r="T927" s="2" t="s">
        <v>33</v>
      </c>
      <c r="U927" s="4" t="n">
        <f aca="false">(M927+N927+O927+P927)/L927</f>
        <v>0.0625</v>
      </c>
      <c r="V927" s="2" t="str">
        <f aca="false">IF(S927&lt;=5,"Late night (0-5)",IF(S927&lt;=11,"Morning (6-11)",IF(S927&lt;=17,"Afternoon (12-17)","Evening (18-23)")))</f>
        <v>Late night (0-5)</v>
      </c>
    </row>
    <row r="928" customFormat="false" ht="15" hidden="false" customHeight="false" outlineLevel="0" collapsed="false">
      <c r="A928" s="2" t="s">
        <v>1718</v>
      </c>
      <c r="B928" s="2" t="s">
        <v>64</v>
      </c>
      <c r="C928" s="2" t="s">
        <v>36</v>
      </c>
      <c r="D928" s="3" t="n">
        <v>45807</v>
      </c>
      <c r="E928" s="2" t="s">
        <v>1215</v>
      </c>
      <c r="F928" s="2" t="s">
        <v>32</v>
      </c>
      <c r="G928" s="2" t="n">
        <v>43781</v>
      </c>
      <c r="H928" s="2" t="n">
        <v>17</v>
      </c>
      <c r="I928" s="2" t="n">
        <v>141</v>
      </c>
      <c r="J928" s="2" t="n">
        <v>0</v>
      </c>
      <c r="K928" s="2" t="n">
        <v>60789</v>
      </c>
      <c r="L928" s="2" t="n">
        <v>35898</v>
      </c>
      <c r="M928" s="2" t="n">
        <v>1320</v>
      </c>
      <c r="N928" s="2" t="n">
        <v>75</v>
      </c>
      <c r="O928" s="2" t="n">
        <v>197</v>
      </c>
      <c r="P928" s="2" t="n">
        <v>129</v>
      </c>
      <c r="Q928" s="2" t="n">
        <v>1058</v>
      </c>
      <c r="R928" s="2" t="n">
        <v>159</v>
      </c>
      <c r="S928" s="2" t="n">
        <v>16</v>
      </c>
      <c r="T928" s="2" t="s">
        <v>96</v>
      </c>
      <c r="U928" s="4" t="n">
        <f aca="false">(M928+N928+O928+P928)/L928</f>
        <v>0.0479413894924508</v>
      </c>
      <c r="V928" s="2" t="str">
        <f aca="false">IF(S928&lt;=5,"Late night (0-5)",IF(S928&lt;=11,"Morning (6-11)",IF(S928&lt;=17,"Afternoon (12-17)","Evening (18-23)")))</f>
        <v>Afternoon (12-17)</v>
      </c>
    </row>
    <row r="929" customFormat="false" ht="15" hidden="false" customHeight="false" outlineLevel="0" collapsed="false">
      <c r="A929" s="2" t="s">
        <v>1719</v>
      </c>
      <c r="B929" s="2" t="s">
        <v>141</v>
      </c>
      <c r="C929" s="2" t="s">
        <v>48</v>
      </c>
      <c r="D929" s="3" t="n">
        <v>45718</v>
      </c>
      <c r="E929" s="2" t="s">
        <v>1302</v>
      </c>
      <c r="F929" s="2" t="s">
        <v>38</v>
      </c>
      <c r="G929" s="2" t="n">
        <v>16119</v>
      </c>
      <c r="H929" s="2" t="n">
        <v>5</v>
      </c>
      <c r="I929" s="2" t="n">
        <v>251</v>
      </c>
      <c r="J929" s="2" t="n">
        <v>0</v>
      </c>
      <c r="K929" s="2" t="n">
        <v>13318</v>
      </c>
      <c r="L929" s="2" t="n">
        <v>7990</v>
      </c>
      <c r="M929" s="2" t="n">
        <v>621</v>
      </c>
      <c r="N929" s="2" t="n">
        <v>17</v>
      </c>
      <c r="O929" s="2" t="n">
        <v>73</v>
      </c>
      <c r="P929" s="2" t="n">
        <v>46</v>
      </c>
      <c r="Q929" s="2" t="n">
        <v>166</v>
      </c>
      <c r="R929" s="2" t="n">
        <v>10</v>
      </c>
      <c r="S929" s="2" t="n">
        <v>10</v>
      </c>
      <c r="T929" s="2" t="s">
        <v>27</v>
      </c>
      <c r="U929" s="4" t="n">
        <f aca="false">(M929+N929+O929+P929)/L929</f>
        <v>0.0947434292866083</v>
      </c>
      <c r="V929" s="2" t="str">
        <f aca="false">IF(S929&lt;=5,"Late night (0-5)",IF(S929&lt;=11,"Morning (6-11)",IF(S929&lt;=17,"Afternoon (12-17)","Evening (18-23)")))</f>
        <v>Morning (6-11)</v>
      </c>
    </row>
    <row r="930" customFormat="false" ht="15" hidden="false" customHeight="false" outlineLevel="0" collapsed="false">
      <c r="A930" s="2" t="s">
        <v>1720</v>
      </c>
      <c r="B930" s="2" t="s">
        <v>148</v>
      </c>
      <c r="C930" s="2" t="s">
        <v>48</v>
      </c>
      <c r="D930" s="3" t="n">
        <v>45821</v>
      </c>
      <c r="E930" s="2" t="s">
        <v>1715</v>
      </c>
      <c r="F930" s="2" t="s">
        <v>38</v>
      </c>
      <c r="G930" s="2" t="n">
        <v>46311</v>
      </c>
      <c r="H930" s="2" t="n">
        <v>12</v>
      </c>
      <c r="I930" s="2" t="n">
        <v>276</v>
      </c>
      <c r="J930" s="2" t="n">
        <v>1</v>
      </c>
      <c r="K930" s="2" t="n">
        <v>23738</v>
      </c>
      <c r="L930" s="2" t="n">
        <v>16298</v>
      </c>
      <c r="M930" s="2" t="n">
        <v>1219</v>
      </c>
      <c r="N930" s="2" t="n">
        <v>61</v>
      </c>
      <c r="O930" s="2" t="n">
        <v>104</v>
      </c>
      <c r="P930" s="2" t="n">
        <v>92</v>
      </c>
      <c r="Q930" s="2" t="n">
        <v>164</v>
      </c>
      <c r="R930" s="2" t="n">
        <v>24</v>
      </c>
      <c r="S930" s="2" t="n">
        <v>14</v>
      </c>
      <c r="T930" s="2" t="s">
        <v>96</v>
      </c>
      <c r="U930" s="4" t="n">
        <f aca="false">(M930+N930+O930+P930)/L930</f>
        <v>0.0905632592956191</v>
      </c>
      <c r="V930" s="2" t="str">
        <f aca="false">IF(S930&lt;=5,"Late night (0-5)",IF(S930&lt;=11,"Morning (6-11)",IF(S930&lt;=17,"Afternoon (12-17)","Evening (18-23)")))</f>
        <v>Afternoon (12-17)</v>
      </c>
    </row>
    <row r="931" customFormat="false" ht="15" hidden="false" customHeight="false" outlineLevel="0" collapsed="false">
      <c r="A931" s="2" t="s">
        <v>1721</v>
      </c>
      <c r="B931" s="2" t="s">
        <v>409</v>
      </c>
      <c r="C931" s="2" t="s">
        <v>48</v>
      </c>
      <c r="D931" s="3" t="n">
        <v>45920</v>
      </c>
      <c r="E931" s="2" t="s">
        <v>1722</v>
      </c>
      <c r="F931" s="2" t="s">
        <v>38</v>
      </c>
      <c r="G931" s="2" t="n">
        <v>31525</v>
      </c>
      <c r="H931" s="2" t="n">
        <v>11</v>
      </c>
      <c r="I931" s="2" t="n">
        <v>150</v>
      </c>
      <c r="J931" s="2" t="n">
        <v>1</v>
      </c>
      <c r="K931" s="2" t="n">
        <v>25707</v>
      </c>
      <c r="L931" s="2" t="n">
        <v>19418</v>
      </c>
      <c r="M931" s="2" t="n">
        <v>1278</v>
      </c>
      <c r="N931" s="2" t="n">
        <v>37</v>
      </c>
      <c r="O931" s="2" t="n">
        <v>245</v>
      </c>
      <c r="P931" s="2" t="n">
        <v>294</v>
      </c>
      <c r="Q931" s="2" t="n">
        <v>196</v>
      </c>
      <c r="R931" s="2" t="n">
        <v>35</v>
      </c>
      <c r="S931" s="2" t="n">
        <v>15</v>
      </c>
      <c r="T931" s="2" t="s">
        <v>62</v>
      </c>
      <c r="U931" s="4" t="n">
        <f aca="false">(M931+N931+O931+P931)/L931</f>
        <v>0.0954784220826038</v>
      </c>
      <c r="V931" s="2" t="str">
        <f aca="false">IF(S931&lt;=5,"Late night (0-5)",IF(S931&lt;=11,"Morning (6-11)",IF(S931&lt;=17,"Afternoon (12-17)","Evening (18-23)")))</f>
        <v>Afternoon (12-17)</v>
      </c>
    </row>
    <row r="932" customFormat="false" ht="15" hidden="false" customHeight="false" outlineLevel="0" collapsed="false">
      <c r="A932" s="2" t="s">
        <v>1723</v>
      </c>
      <c r="B932" s="2" t="s">
        <v>123</v>
      </c>
      <c r="C932" s="2" t="s">
        <v>24</v>
      </c>
      <c r="D932" s="3" t="n">
        <v>45710</v>
      </c>
      <c r="E932" s="2" t="s">
        <v>1724</v>
      </c>
      <c r="F932" s="2" t="s">
        <v>32</v>
      </c>
      <c r="G932" s="2" t="n">
        <v>41391</v>
      </c>
      <c r="H932" s="2" t="n">
        <v>14</v>
      </c>
      <c r="I932" s="2" t="n">
        <v>94</v>
      </c>
      <c r="J932" s="2" t="n">
        <v>1</v>
      </c>
      <c r="K932" s="2" t="n">
        <v>154086</v>
      </c>
      <c r="L932" s="2" t="n">
        <v>107905</v>
      </c>
      <c r="M932" s="2" t="n">
        <v>4127</v>
      </c>
      <c r="N932" s="2" t="n">
        <v>320</v>
      </c>
      <c r="O932" s="2" t="n">
        <v>341</v>
      </c>
      <c r="P932" s="2" t="n">
        <v>570</v>
      </c>
      <c r="Q932" s="2" t="n">
        <v>1577</v>
      </c>
      <c r="R932" s="2" t="n">
        <v>271</v>
      </c>
      <c r="S932" s="2" t="n">
        <v>12</v>
      </c>
      <c r="T932" s="2" t="s">
        <v>62</v>
      </c>
      <c r="U932" s="4" t="n">
        <f aca="false">(M932+N932+O932+P932)/L932</f>
        <v>0.0496547889347111</v>
      </c>
      <c r="V932" s="2" t="str">
        <f aca="false">IF(S932&lt;=5,"Late night (0-5)",IF(S932&lt;=11,"Morning (6-11)",IF(S932&lt;=17,"Afternoon (12-17)","Evening (18-23)")))</f>
        <v>Afternoon (12-17)</v>
      </c>
    </row>
    <row r="933" customFormat="false" ht="15" hidden="false" customHeight="false" outlineLevel="0" collapsed="false">
      <c r="A933" s="2" t="s">
        <v>1725</v>
      </c>
      <c r="B933" s="2" t="s">
        <v>35</v>
      </c>
      <c r="C933" s="2" t="s">
        <v>36</v>
      </c>
      <c r="D933" s="3" t="n">
        <v>45756</v>
      </c>
      <c r="E933" s="2" t="s">
        <v>1726</v>
      </c>
      <c r="F933" s="2" t="s">
        <v>32</v>
      </c>
      <c r="G933" s="2" t="n">
        <v>33933</v>
      </c>
      <c r="H933" s="2" t="n">
        <v>9</v>
      </c>
      <c r="I933" s="2" t="n">
        <v>267</v>
      </c>
      <c r="J933" s="2" t="n">
        <v>1</v>
      </c>
      <c r="K933" s="2" t="n">
        <v>107405</v>
      </c>
      <c r="L933" s="2" t="n">
        <v>80412</v>
      </c>
      <c r="M933" s="2" t="n">
        <v>6614</v>
      </c>
      <c r="N933" s="2" t="n">
        <v>176</v>
      </c>
      <c r="O933" s="2" t="n">
        <v>1494</v>
      </c>
      <c r="P933" s="2" t="n">
        <v>1720</v>
      </c>
      <c r="Q933" s="2" t="n">
        <v>613</v>
      </c>
      <c r="R933" s="2" t="n">
        <v>49</v>
      </c>
      <c r="S933" s="2" t="n">
        <v>19</v>
      </c>
      <c r="T933" s="2" t="s">
        <v>66</v>
      </c>
      <c r="U933" s="4" t="n">
        <f aca="false">(M933+N933+O933+P933)/L933</f>
        <v>0.124409292145451</v>
      </c>
      <c r="V933" s="2" t="str">
        <f aca="false">IF(S933&lt;=5,"Late night (0-5)",IF(S933&lt;=11,"Morning (6-11)",IF(S933&lt;=17,"Afternoon (12-17)","Evening (18-23)")))</f>
        <v>Evening (18-23)</v>
      </c>
    </row>
    <row r="934" customFormat="false" ht="15" hidden="false" customHeight="false" outlineLevel="0" collapsed="false">
      <c r="A934" s="2" t="s">
        <v>1727</v>
      </c>
      <c r="B934" s="2" t="s">
        <v>151</v>
      </c>
      <c r="C934" s="2" t="s">
        <v>36</v>
      </c>
      <c r="D934" s="3" t="n">
        <v>46019</v>
      </c>
      <c r="E934" s="2" t="s">
        <v>169</v>
      </c>
      <c r="F934" s="2" t="s">
        <v>32</v>
      </c>
      <c r="G934" s="2" t="n">
        <v>19247</v>
      </c>
      <c r="H934" s="2" t="n">
        <v>17</v>
      </c>
      <c r="I934" s="2" t="n">
        <v>30</v>
      </c>
      <c r="J934" s="2" t="n">
        <v>1</v>
      </c>
      <c r="K934" s="2" t="n">
        <v>22042</v>
      </c>
      <c r="L934" s="2" t="n">
        <v>13042</v>
      </c>
      <c r="M934" s="2" t="n">
        <v>1200</v>
      </c>
      <c r="N934" s="2" t="n">
        <v>44</v>
      </c>
      <c r="O934" s="2" t="n">
        <v>89</v>
      </c>
      <c r="P934" s="2" t="n">
        <v>134</v>
      </c>
      <c r="Q934" s="2" t="n">
        <v>134</v>
      </c>
      <c r="R934" s="2" t="n">
        <v>31</v>
      </c>
      <c r="S934" s="2" t="n">
        <v>11</v>
      </c>
      <c r="T934" s="2" t="s">
        <v>27</v>
      </c>
      <c r="U934" s="4" t="n">
        <f aca="false">(M934+N934+O934+P934)/L934</f>
        <v>0.112482748044778</v>
      </c>
      <c r="V934" s="2" t="str">
        <f aca="false">IF(S934&lt;=5,"Late night (0-5)",IF(S934&lt;=11,"Morning (6-11)",IF(S934&lt;=17,"Afternoon (12-17)","Evening (18-23)")))</f>
        <v>Morning (6-11)</v>
      </c>
    </row>
    <row r="935" customFormat="false" ht="15" hidden="false" customHeight="false" outlineLevel="0" collapsed="false">
      <c r="A935" s="2" t="s">
        <v>1728</v>
      </c>
      <c r="B935" s="2" t="s">
        <v>141</v>
      </c>
      <c r="C935" s="2" t="s">
        <v>48</v>
      </c>
      <c r="D935" s="3" t="n">
        <v>45668</v>
      </c>
      <c r="E935" s="2" t="s">
        <v>1729</v>
      </c>
      <c r="F935" s="2" t="s">
        <v>38</v>
      </c>
      <c r="G935" s="2" t="n">
        <v>16119</v>
      </c>
      <c r="H935" s="2" t="n">
        <v>15</v>
      </c>
      <c r="I935" s="2" t="n">
        <v>259</v>
      </c>
      <c r="J935" s="2" t="n">
        <v>0</v>
      </c>
      <c r="K935" s="2" t="n">
        <v>29894</v>
      </c>
      <c r="L935" s="2" t="n">
        <v>17395</v>
      </c>
      <c r="M935" s="2" t="n">
        <v>1233</v>
      </c>
      <c r="N935" s="2" t="n">
        <v>89</v>
      </c>
      <c r="O935" s="2" t="n">
        <v>136</v>
      </c>
      <c r="P935" s="2" t="n">
        <v>194</v>
      </c>
      <c r="Q935" s="2" t="n">
        <v>190</v>
      </c>
      <c r="R935" s="2" t="n">
        <v>35</v>
      </c>
      <c r="S935" s="2" t="n">
        <v>21</v>
      </c>
      <c r="T935" s="2" t="s">
        <v>62</v>
      </c>
      <c r="U935" s="4" t="n">
        <f aca="false">(M935+N935+O935+P935)/L935</f>
        <v>0.0949698189134809</v>
      </c>
      <c r="V935" s="2" t="str">
        <f aca="false">IF(S935&lt;=5,"Late night (0-5)",IF(S935&lt;=11,"Morning (6-11)",IF(S935&lt;=17,"Afternoon (12-17)","Evening (18-23)")))</f>
        <v>Evening (18-23)</v>
      </c>
    </row>
    <row r="936" customFormat="false" ht="15" hidden="false" customHeight="false" outlineLevel="0" collapsed="false">
      <c r="A936" s="2" t="s">
        <v>1730</v>
      </c>
      <c r="B936" s="2" t="s">
        <v>68</v>
      </c>
      <c r="C936" s="2" t="s">
        <v>54</v>
      </c>
      <c r="D936" s="3" t="n">
        <v>45790</v>
      </c>
      <c r="E936" s="2" t="s">
        <v>1095</v>
      </c>
      <c r="F936" s="2" t="s">
        <v>26</v>
      </c>
      <c r="G936" s="2" t="n">
        <v>35922</v>
      </c>
      <c r="H936" s="2" t="n">
        <v>11</v>
      </c>
      <c r="I936" s="2" t="n">
        <v>10</v>
      </c>
      <c r="J936" s="2" t="n">
        <v>1</v>
      </c>
      <c r="K936" s="2" t="n">
        <v>54457</v>
      </c>
      <c r="L936" s="2" t="n">
        <v>48730</v>
      </c>
      <c r="M936" s="2" t="n">
        <v>2229</v>
      </c>
      <c r="N936" s="2" t="n">
        <v>106</v>
      </c>
      <c r="O936" s="2" t="n">
        <v>78</v>
      </c>
      <c r="P936" s="2" t="n">
        <v>637</v>
      </c>
      <c r="Q936" s="2" t="n">
        <v>1070</v>
      </c>
      <c r="R936" s="2" t="n">
        <v>253</v>
      </c>
      <c r="S936" s="2" t="n">
        <v>17</v>
      </c>
      <c r="T936" s="2" t="s">
        <v>51</v>
      </c>
      <c r="U936" s="4" t="n">
        <f aca="false">(M936+N936+O936+P936)/L936</f>
        <v>0.0625897804227375</v>
      </c>
      <c r="V936" s="2" t="str">
        <f aca="false">IF(S936&lt;=5,"Late night (0-5)",IF(S936&lt;=11,"Morning (6-11)",IF(S936&lt;=17,"Afternoon (12-17)","Evening (18-23)")))</f>
        <v>Afternoon (12-17)</v>
      </c>
    </row>
    <row r="937" customFormat="false" ht="15" hidden="false" customHeight="false" outlineLevel="0" collapsed="false">
      <c r="A937" s="2" t="s">
        <v>1731</v>
      </c>
      <c r="B937" s="2" t="s">
        <v>114</v>
      </c>
      <c r="C937" s="2" t="s">
        <v>84</v>
      </c>
      <c r="D937" s="3" t="n">
        <v>45855</v>
      </c>
      <c r="E937" s="2" t="s">
        <v>1732</v>
      </c>
      <c r="F937" s="2" t="s">
        <v>26</v>
      </c>
      <c r="G937" s="2" t="n">
        <v>64307</v>
      </c>
      <c r="H937" s="2" t="n">
        <v>15</v>
      </c>
      <c r="I937" s="2" t="n">
        <v>235</v>
      </c>
      <c r="J937" s="2" t="n">
        <v>0</v>
      </c>
      <c r="K937" s="2" t="n">
        <v>146721</v>
      </c>
      <c r="L937" s="2" t="n">
        <v>88172</v>
      </c>
      <c r="M937" s="2" t="n">
        <v>3953</v>
      </c>
      <c r="N937" s="2" t="n">
        <v>210</v>
      </c>
      <c r="O937" s="2" t="n">
        <v>318</v>
      </c>
      <c r="P937" s="2" t="n">
        <v>732</v>
      </c>
      <c r="Q937" s="2" t="n">
        <v>2495</v>
      </c>
      <c r="R937" s="2" t="n">
        <v>550</v>
      </c>
      <c r="S937" s="2" t="n">
        <v>22</v>
      </c>
      <c r="T937" s="2" t="s">
        <v>79</v>
      </c>
      <c r="U937" s="4" t="n">
        <f aca="false">(M937+N937+O937+P937)/L937</f>
        <v>0.0591230776210135</v>
      </c>
      <c r="V937" s="2" t="str">
        <f aca="false">IF(S937&lt;=5,"Late night (0-5)",IF(S937&lt;=11,"Morning (6-11)",IF(S937&lt;=17,"Afternoon (12-17)","Evening (18-23)")))</f>
        <v>Evening (18-23)</v>
      </c>
    </row>
    <row r="938" customFormat="false" ht="15" hidden="false" customHeight="false" outlineLevel="0" collapsed="false">
      <c r="A938" s="2" t="s">
        <v>1733</v>
      </c>
      <c r="B938" s="2" t="s">
        <v>193</v>
      </c>
      <c r="C938" s="2" t="s">
        <v>36</v>
      </c>
      <c r="D938" s="3" t="n">
        <v>45674</v>
      </c>
      <c r="E938" s="2" t="s">
        <v>1283</v>
      </c>
      <c r="F938" s="2" t="s">
        <v>38</v>
      </c>
      <c r="G938" s="2" t="n">
        <v>26454</v>
      </c>
      <c r="H938" s="2" t="n">
        <v>22</v>
      </c>
      <c r="I938" s="2" t="n">
        <v>241</v>
      </c>
      <c r="J938" s="2" t="n">
        <v>0</v>
      </c>
      <c r="K938" s="2" t="n">
        <v>11418</v>
      </c>
      <c r="L938" s="2" t="n">
        <v>7134</v>
      </c>
      <c r="M938" s="2" t="n">
        <v>591</v>
      </c>
      <c r="N938" s="2" t="n">
        <v>17</v>
      </c>
      <c r="O938" s="2" t="n">
        <v>38</v>
      </c>
      <c r="P938" s="2" t="n">
        <v>115</v>
      </c>
      <c r="Q938" s="2" t="n">
        <v>186</v>
      </c>
      <c r="R938" s="2" t="n">
        <v>12</v>
      </c>
      <c r="S938" s="2" t="n">
        <v>7</v>
      </c>
      <c r="T938" s="2" t="s">
        <v>96</v>
      </c>
      <c r="U938" s="4" t="n">
        <f aca="false">(M938+N938+O938+P938)/L938</f>
        <v>0.106672273619288</v>
      </c>
      <c r="V938" s="2" t="str">
        <f aca="false">IF(S938&lt;=5,"Late night (0-5)",IF(S938&lt;=11,"Morning (6-11)",IF(S938&lt;=17,"Afternoon (12-17)","Evening (18-23)")))</f>
        <v>Morning (6-11)</v>
      </c>
    </row>
    <row r="939" customFormat="false" ht="15" hidden="false" customHeight="false" outlineLevel="0" collapsed="false">
      <c r="A939" s="2" t="s">
        <v>1734</v>
      </c>
      <c r="B939" s="2" t="s">
        <v>264</v>
      </c>
      <c r="C939" s="2" t="s">
        <v>36</v>
      </c>
      <c r="D939" s="3" t="n">
        <v>45714</v>
      </c>
      <c r="E939" s="2" t="s">
        <v>1735</v>
      </c>
      <c r="F939" s="2" t="s">
        <v>38</v>
      </c>
      <c r="G939" s="2" t="n">
        <v>22362</v>
      </c>
      <c r="H939" s="2" t="n">
        <v>17</v>
      </c>
      <c r="I939" s="2" t="n">
        <v>203</v>
      </c>
      <c r="J939" s="2" t="n">
        <v>0</v>
      </c>
      <c r="K939" s="2" t="n">
        <v>8272</v>
      </c>
      <c r="L939" s="2" t="n">
        <v>6472</v>
      </c>
      <c r="M939" s="2" t="n">
        <v>542</v>
      </c>
      <c r="N939" s="2" t="n">
        <v>15</v>
      </c>
      <c r="O939" s="2" t="n">
        <v>21</v>
      </c>
      <c r="P939" s="2" t="n">
        <v>69</v>
      </c>
      <c r="Q939" s="2" t="n">
        <v>155</v>
      </c>
      <c r="R939" s="2" t="n">
        <v>34</v>
      </c>
      <c r="S939" s="2" t="n">
        <v>17</v>
      </c>
      <c r="T939" s="2" t="s">
        <v>66</v>
      </c>
      <c r="U939" s="4" t="n">
        <f aca="false">(M939+N939+O939+P939)/L939</f>
        <v>0.0999690976514215</v>
      </c>
      <c r="V939" s="2" t="str">
        <f aca="false">IF(S939&lt;=5,"Late night (0-5)",IF(S939&lt;=11,"Morning (6-11)",IF(S939&lt;=17,"Afternoon (12-17)","Evening (18-23)")))</f>
        <v>Afternoon (12-17)</v>
      </c>
    </row>
    <row r="940" customFormat="false" ht="15" hidden="false" customHeight="false" outlineLevel="0" collapsed="false">
      <c r="A940" s="2" t="s">
        <v>1736</v>
      </c>
      <c r="B940" s="2" t="s">
        <v>345</v>
      </c>
      <c r="C940" s="2" t="s">
        <v>30</v>
      </c>
      <c r="D940" s="3" t="n">
        <v>45724</v>
      </c>
      <c r="E940" s="2" t="s">
        <v>401</v>
      </c>
      <c r="F940" s="2" t="s">
        <v>38</v>
      </c>
      <c r="G940" s="2" t="n">
        <v>8662</v>
      </c>
      <c r="H940" s="2" t="n">
        <v>1</v>
      </c>
      <c r="I940" s="2" t="n">
        <v>131</v>
      </c>
      <c r="J940" s="2" t="n">
        <v>1</v>
      </c>
      <c r="K940" s="2" t="n">
        <v>3072</v>
      </c>
      <c r="L940" s="2" t="n">
        <v>1919</v>
      </c>
      <c r="M940" s="2" t="n">
        <v>72</v>
      </c>
      <c r="N940" s="2" t="n">
        <v>2</v>
      </c>
      <c r="O940" s="2" t="n">
        <v>9</v>
      </c>
      <c r="P940" s="2" t="n">
        <v>8</v>
      </c>
      <c r="Q940" s="2" t="n">
        <v>15</v>
      </c>
      <c r="R940" s="2" t="n">
        <v>1</v>
      </c>
      <c r="S940" s="2" t="n">
        <v>5</v>
      </c>
      <c r="T940" s="2" t="s">
        <v>62</v>
      </c>
      <c r="U940" s="4" t="n">
        <f aca="false">(M940+N940+O940+P940)/L940</f>
        <v>0.0474205315268369</v>
      </c>
      <c r="V940" s="2" t="str">
        <f aca="false">IF(S940&lt;=5,"Late night (0-5)",IF(S940&lt;=11,"Morning (6-11)",IF(S940&lt;=17,"Afternoon (12-17)","Evening (18-23)")))</f>
        <v>Late night (0-5)</v>
      </c>
    </row>
    <row r="941" customFormat="false" ht="15" hidden="false" customHeight="false" outlineLevel="0" collapsed="false">
      <c r="A941" s="2" t="s">
        <v>1737</v>
      </c>
      <c r="B941" s="2" t="s">
        <v>68</v>
      </c>
      <c r="C941" s="2" t="s">
        <v>54</v>
      </c>
      <c r="D941" s="3" t="n">
        <v>45876</v>
      </c>
      <c r="E941" s="2" t="s">
        <v>1738</v>
      </c>
      <c r="F941" s="2" t="s">
        <v>32</v>
      </c>
      <c r="G941" s="2" t="n">
        <v>35922</v>
      </c>
      <c r="H941" s="2" t="n">
        <v>9</v>
      </c>
      <c r="I941" s="2" t="n">
        <v>257</v>
      </c>
      <c r="J941" s="2" t="n">
        <v>0</v>
      </c>
      <c r="K941" s="2" t="n">
        <v>45263</v>
      </c>
      <c r="L941" s="2" t="n">
        <v>38917</v>
      </c>
      <c r="M941" s="2" t="n">
        <v>3343</v>
      </c>
      <c r="N941" s="2" t="n">
        <v>187</v>
      </c>
      <c r="O941" s="2" t="n">
        <v>438</v>
      </c>
      <c r="P941" s="2" t="n">
        <v>385</v>
      </c>
      <c r="Q941" s="2" t="n">
        <v>893</v>
      </c>
      <c r="R941" s="2" t="n">
        <v>210</v>
      </c>
      <c r="S941" s="2" t="n">
        <v>20</v>
      </c>
      <c r="T941" s="2" t="s">
        <v>79</v>
      </c>
      <c r="U941" s="4" t="n">
        <f aca="false">(M941+N941+O941+P941)/L941</f>
        <v>0.111853431662256</v>
      </c>
      <c r="V941" s="2" t="str">
        <f aca="false">IF(S941&lt;=5,"Late night (0-5)",IF(S941&lt;=11,"Morning (6-11)",IF(S941&lt;=17,"Afternoon (12-17)","Evening (18-23)")))</f>
        <v>Evening (18-23)</v>
      </c>
    </row>
    <row r="942" customFormat="false" ht="15" hidden="false" customHeight="false" outlineLevel="0" collapsed="false">
      <c r="A942" s="2" t="s">
        <v>1739</v>
      </c>
      <c r="B942" s="2" t="s">
        <v>90</v>
      </c>
      <c r="C942" s="2" t="s">
        <v>91</v>
      </c>
      <c r="D942" s="3" t="n">
        <v>45866</v>
      </c>
      <c r="E942" s="2" t="s">
        <v>1740</v>
      </c>
      <c r="F942" s="2" t="s">
        <v>32</v>
      </c>
      <c r="G942" s="2" t="n">
        <v>54788</v>
      </c>
      <c r="H942" s="2" t="n">
        <v>5</v>
      </c>
      <c r="I942" s="2" t="n">
        <v>13</v>
      </c>
      <c r="J942" s="2" t="n">
        <v>0</v>
      </c>
      <c r="K942" s="2" t="n">
        <v>45751</v>
      </c>
      <c r="L942" s="2" t="n">
        <v>35784</v>
      </c>
      <c r="M942" s="2" t="n">
        <v>2632</v>
      </c>
      <c r="N942" s="2" t="n">
        <v>55</v>
      </c>
      <c r="O942" s="2" t="n">
        <v>576</v>
      </c>
      <c r="P942" s="2" t="n">
        <v>535</v>
      </c>
      <c r="Q942" s="2" t="n">
        <v>198</v>
      </c>
      <c r="R942" s="2" t="n">
        <v>50</v>
      </c>
      <c r="S942" s="2" t="n">
        <v>22</v>
      </c>
      <c r="T942" s="2" t="s">
        <v>33</v>
      </c>
      <c r="U942" s="4" t="n">
        <f aca="false">(M942+N942+O942+P942)/L942</f>
        <v>0.106136820925553</v>
      </c>
      <c r="V942" s="2" t="str">
        <f aca="false">IF(S942&lt;=5,"Late night (0-5)",IF(S942&lt;=11,"Morning (6-11)",IF(S942&lt;=17,"Afternoon (12-17)","Evening (18-23)")))</f>
        <v>Evening (18-23)</v>
      </c>
    </row>
    <row r="943" customFormat="false" ht="15" hidden="false" customHeight="false" outlineLevel="0" collapsed="false">
      <c r="A943" s="2" t="s">
        <v>1741</v>
      </c>
      <c r="B943" s="2" t="s">
        <v>114</v>
      </c>
      <c r="C943" s="2" t="s">
        <v>84</v>
      </c>
      <c r="D943" s="3" t="n">
        <v>45734</v>
      </c>
      <c r="E943" s="2" t="s">
        <v>1742</v>
      </c>
      <c r="F943" s="2" t="s">
        <v>38</v>
      </c>
      <c r="G943" s="2" t="n">
        <v>64307</v>
      </c>
      <c r="H943" s="2" t="n">
        <v>5</v>
      </c>
      <c r="I943" s="2" t="n">
        <v>179</v>
      </c>
      <c r="J943" s="2" t="n">
        <v>1</v>
      </c>
      <c r="K943" s="2" t="n">
        <v>61120</v>
      </c>
      <c r="L943" s="2" t="n">
        <v>34665</v>
      </c>
      <c r="M943" s="2" t="n">
        <v>1899</v>
      </c>
      <c r="N943" s="2" t="n">
        <v>65</v>
      </c>
      <c r="O943" s="2" t="n">
        <v>214</v>
      </c>
      <c r="P943" s="2" t="n">
        <v>278</v>
      </c>
      <c r="Q943" s="2" t="n">
        <v>805</v>
      </c>
      <c r="R943" s="2" t="n">
        <v>233</v>
      </c>
      <c r="S943" s="2" t="n">
        <v>0</v>
      </c>
      <c r="T943" s="2" t="s">
        <v>51</v>
      </c>
      <c r="U943" s="4" t="n">
        <f aca="false">(M943+N943+O943+P943)/L943</f>
        <v>0.0708495600750036</v>
      </c>
      <c r="V943" s="2" t="str">
        <f aca="false">IF(S943&lt;=5,"Late night (0-5)",IF(S943&lt;=11,"Morning (6-11)",IF(S943&lt;=17,"Afternoon (12-17)","Evening (18-23)")))</f>
        <v>Late night (0-5)</v>
      </c>
    </row>
    <row r="944" customFormat="false" ht="15" hidden="false" customHeight="false" outlineLevel="0" collapsed="false">
      <c r="A944" s="2" t="s">
        <v>1743</v>
      </c>
      <c r="B944" s="2" t="s">
        <v>74</v>
      </c>
      <c r="C944" s="2" t="s">
        <v>30</v>
      </c>
      <c r="D944" s="3" t="n">
        <v>45953</v>
      </c>
      <c r="E944" s="2" t="s">
        <v>1744</v>
      </c>
      <c r="F944" s="2" t="s">
        <v>32</v>
      </c>
      <c r="G944" s="2" t="n">
        <v>20432</v>
      </c>
      <c r="H944" s="2" t="n">
        <v>12</v>
      </c>
      <c r="I944" s="2" t="n">
        <v>232</v>
      </c>
      <c r="J944" s="2" t="n">
        <v>1</v>
      </c>
      <c r="K944" s="2" t="n">
        <v>45187</v>
      </c>
      <c r="L944" s="2" t="n">
        <v>29303</v>
      </c>
      <c r="M944" s="2" t="n">
        <v>2770</v>
      </c>
      <c r="N944" s="2" t="n">
        <v>83</v>
      </c>
      <c r="O944" s="2" t="n">
        <v>431</v>
      </c>
      <c r="P944" s="2" t="n">
        <v>227</v>
      </c>
      <c r="Q944" s="2" t="n">
        <v>849</v>
      </c>
      <c r="R944" s="2" t="n">
        <v>55</v>
      </c>
      <c r="S944" s="2" t="n">
        <v>0</v>
      </c>
      <c r="T944" s="2" t="s">
        <v>79</v>
      </c>
      <c r="U944" s="4" t="n">
        <f aca="false">(M944+N944+O944+P944)/L944</f>
        <v>0.119817083575061</v>
      </c>
      <c r="V944" s="2" t="str">
        <f aca="false">IF(S944&lt;=5,"Late night (0-5)",IF(S944&lt;=11,"Morning (6-11)",IF(S944&lt;=17,"Afternoon (12-17)","Evening (18-23)")))</f>
        <v>Late night (0-5)</v>
      </c>
    </row>
    <row r="945" customFormat="false" ht="15" hidden="false" customHeight="false" outlineLevel="0" collapsed="false">
      <c r="A945" s="2" t="s">
        <v>1745</v>
      </c>
      <c r="B945" s="2" t="s">
        <v>426</v>
      </c>
      <c r="C945" s="2" t="s">
        <v>30</v>
      </c>
      <c r="D945" s="3" t="n">
        <v>45714</v>
      </c>
      <c r="E945" s="2" t="s">
        <v>544</v>
      </c>
      <c r="F945" s="2" t="s">
        <v>32</v>
      </c>
      <c r="G945" s="2" t="n">
        <v>40649</v>
      </c>
      <c r="H945" s="2" t="n">
        <v>7</v>
      </c>
      <c r="I945" s="2" t="n">
        <v>214</v>
      </c>
      <c r="J945" s="2" t="n">
        <v>1</v>
      </c>
      <c r="K945" s="2" t="n">
        <v>74628</v>
      </c>
      <c r="L945" s="2" t="n">
        <v>41767</v>
      </c>
      <c r="M945" s="2" t="n">
        <v>2033</v>
      </c>
      <c r="N945" s="2" t="n">
        <v>64</v>
      </c>
      <c r="O945" s="2" t="n">
        <v>166</v>
      </c>
      <c r="P945" s="2" t="n">
        <v>391</v>
      </c>
      <c r="Q945" s="2" t="n">
        <v>672</v>
      </c>
      <c r="R945" s="2" t="n">
        <v>75</v>
      </c>
      <c r="S945" s="2" t="n">
        <v>1</v>
      </c>
      <c r="T945" s="2" t="s">
        <v>66</v>
      </c>
      <c r="U945" s="4" t="n">
        <f aca="false">(M945+N945+O945+P945)/L945</f>
        <v>0.0635429884837312</v>
      </c>
      <c r="V945" s="2" t="str">
        <f aca="false">IF(S945&lt;=5,"Late night (0-5)",IF(S945&lt;=11,"Morning (6-11)",IF(S945&lt;=17,"Afternoon (12-17)","Evening (18-23)")))</f>
        <v>Late night (0-5)</v>
      </c>
    </row>
    <row r="946" customFormat="false" ht="15" hidden="false" customHeight="false" outlineLevel="0" collapsed="false">
      <c r="A946" s="2" t="s">
        <v>1746</v>
      </c>
      <c r="B946" s="2" t="s">
        <v>240</v>
      </c>
      <c r="C946" s="2" t="s">
        <v>41</v>
      </c>
      <c r="D946" s="3" t="n">
        <v>45664</v>
      </c>
      <c r="E946" s="2" t="s">
        <v>117</v>
      </c>
      <c r="F946" s="2" t="s">
        <v>50</v>
      </c>
      <c r="G946" s="2" t="n">
        <v>83197</v>
      </c>
      <c r="H946" s="2" t="n">
        <v>23</v>
      </c>
      <c r="I946" s="2" t="n">
        <v>109</v>
      </c>
      <c r="J946" s="2" t="n">
        <v>0</v>
      </c>
      <c r="K946" s="2" t="n">
        <v>93715</v>
      </c>
      <c r="L946" s="2" t="n">
        <v>59344</v>
      </c>
      <c r="M946" s="2" t="n">
        <v>3528</v>
      </c>
      <c r="N946" s="2" t="n">
        <v>74</v>
      </c>
      <c r="O946" s="2" t="n">
        <v>270</v>
      </c>
      <c r="P946" s="2" t="n">
        <v>1019</v>
      </c>
      <c r="Q946" s="2" t="n">
        <v>765</v>
      </c>
      <c r="R946" s="2" t="n">
        <v>72</v>
      </c>
      <c r="S946" s="2" t="n">
        <v>12</v>
      </c>
      <c r="T946" s="2" t="s">
        <v>51</v>
      </c>
      <c r="U946" s="4" t="n">
        <f aca="false">(M946+N946+O946+P946)/L946</f>
        <v>0.082417767592343</v>
      </c>
      <c r="V946" s="2" t="str">
        <f aca="false">IF(S946&lt;=5,"Late night (0-5)",IF(S946&lt;=11,"Morning (6-11)",IF(S946&lt;=17,"Afternoon (12-17)","Evening (18-23)")))</f>
        <v>Afternoon (12-17)</v>
      </c>
    </row>
    <row r="947" customFormat="false" ht="15" hidden="false" customHeight="false" outlineLevel="0" collapsed="false">
      <c r="A947" s="2" t="s">
        <v>1747</v>
      </c>
      <c r="B947" s="2" t="s">
        <v>106</v>
      </c>
      <c r="C947" s="2" t="s">
        <v>91</v>
      </c>
      <c r="D947" s="3" t="n">
        <v>45702</v>
      </c>
      <c r="E947" s="2" t="s">
        <v>49</v>
      </c>
      <c r="F947" s="2" t="s">
        <v>38</v>
      </c>
      <c r="G947" s="2" t="n">
        <v>59477</v>
      </c>
      <c r="H947" s="2" t="n">
        <v>12</v>
      </c>
      <c r="I947" s="2" t="n">
        <v>173</v>
      </c>
      <c r="J947" s="2" t="n">
        <v>1</v>
      </c>
      <c r="K947" s="2" t="n">
        <v>25153</v>
      </c>
      <c r="L947" s="2" t="n">
        <v>15893</v>
      </c>
      <c r="M947" s="2" t="n">
        <v>745</v>
      </c>
      <c r="N947" s="2" t="n">
        <v>33</v>
      </c>
      <c r="O947" s="2" t="n">
        <v>31</v>
      </c>
      <c r="P947" s="2" t="n">
        <v>148</v>
      </c>
      <c r="Q947" s="2" t="n">
        <v>432</v>
      </c>
      <c r="R947" s="2" t="n">
        <v>34</v>
      </c>
      <c r="S947" s="2" t="n">
        <v>0</v>
      </c>
      <c r="T947" s="2" t="s">
        <v>96</v>
      </c>
      <c r="U947" s="4" t="n">
        <f aca="false">(M947+N947+O947+P947)/L947</f>
        <v>0.0602151890769521</v>
      </c>
      <c r="V947" s="2" t="str">
        <f aca="false">IF(S947&lt;=5,"Late night (0-5)",IF(S947&lt;=11,"Morning (6-11)",IF(S947&lt;=17,"Afternoon (12-17)","Evening (18-23)")))</f>
        <v>Late night (0-5)</v>
      </c>
    </row>
    <row r="948" customFormat="false" ht="15" hidden="false" customHeight="false" outlineLevel="0" collapsed="false">
      <c r="A948" s="2" t="s">
        <v>1748</v>
      </c>
      <c r="B948" s="2" t="s">
        <v>29</v>
      </c>
      <c r="C948" s="2" t="s">
        <v>30</v>
      </c>
      <c r="D948" s="3" t="n">
        <v>45664</v>
      </c>
      <c r="E948" s="2" t="s">
        <v>1749</v>
      </c>
      <c r="F948" s="2" t="s">
        <v>32</v>
      </c>
      <c r="G948" s="2" t="n">
        <v>11612</v>
      </c>
      <c r="H948" s="2" t="n">
        <v>15</v>
      </c>
      <c r="I948" s="2" t="n">
        <v>164</v>
      </c>
      <c r="J948" s="2" t="n">
        <v>0</v>
      </c>
      <c r="K948" s="2" t="n">
        <v>12076</v>
      </c>
      <c r="L948" s="2" t="n">
        <v>9311</v>
      </c>
      <c r="M948" s="2" t="n">
        <v>418</v>
      </c>
      <c r="N948" s="2" t="n">
        <v>27</v>
      </c>
      <c r="O948" s="2" t="n">
        <v>79</v>
      </c>
      <c r="P948" s="2" t="n">
        <v>85</v>
      </c>
      <c r="Q948" s="2" t="n">
        <v>273</v>
      </c>
      <c r="R948" s="2" t="n">
        <v>37</v>
      </c>
      <c r="S948" s="2" t="n">
        <v>10</v>
      </c>
      <c r="T948" s="2" t="s">
        <v>51</v>
      </c>
      <c r="U948" s="4" t="n">
        <f aca="false">(M948+N948+O948+P948)/L948</f>
        <v>0.0654065084308882</v>
      </c>
      <c r="V948" s="2" t="str">
        <f aca="false">IF(S948&lt;=5,"Late night (0-5)",IF(S948&lt;=11,"Morning (6-11)",IF(S948&lt;=17,"Afternoon (12-17)","Evening (18-23)")))</f>
        <v>Morning (6-11)</v>
      </c>
    </row>
    <row r="949" customFormat="false" ht="15" hidden="false" customHeight="false" outlineLevel="0" collapsed="false">
      <c r="A949" s="2" t="s">
        <v>1750</v>
      </c>
      <c r="B949" s="2" t="s">
        <v>126</v>
      </c>
      <c r="C949" s="2" t="s">
        <v>36</v>
      </c>
      <c r="D949" s="3" t="n">
        <v>45675</v>
      </c>
      <c r="E949" s="2" t="s">
        <v>1751</v>
      </c>
      <c r="F949" s="2" t="s">
        <v>26</v>
      </c>
      <c r="G949" s="2" t="n">
        <v>28784</v>
      </c>
      <c r="H949" s="2" t="n">
        <v>14</v>
      </c>
      <c r="I949" s="2" t="n">
        <v>158</v>
      </c>
      <c r="J949" s="2" t="n">
        <v>0</v>
      </c>
      <c r="K949" s="2" t="n">
        <v>37584</v>
      </c>
      <c r="L949" s="2" t="n">
        <v>23064</v>
      </c>
      <c r="M949" s="2" t="n">
        <v>1959</v>
      </c>
      <c r="N949" s="2" t="n">
        <v>103</v>
      </c>
      <c r="O949" s="2" t="n">
        <v>161</v>
      </c>
      <c r="P949" s="2" t="n">
        <v>172</v>
      </c>
      <c r="Q949" s="2" t="n">
        <v>581</v>
      </c>
      <c r="R949" s="2" t="n">
        <v>119</v>
      </c>
      <c r="S949" s="2" t="n">
        <v>6</v>
      </c>
      <c r="T949" s="2" t="s">
        <v>62</v>
      </c>
      <c r="U949" s="4" t="n">
        <f aca="false">(M949+N949+O949+P949)/L949</f>
        <v>0.10384148456469</v>
      </c>
      <c r="V949" s="2" t="str">
        <f aca="false">IF(S949&lt;=5,"Late night (0-5)",IF(S949&lt;=11,"Morning (6-11)",IF(S949&lt;=17,"Afternoon (12-17)","Evening (18-23)")))</f>
        <v>Morning (6-11)</v>
      </c>
    </row>
    <row r="950" customFormat="false" ht="15" hidden="false" customHeight="false" outlineLevel="0" collapsed="false">
      <c r="A950" s="2" t="s">
        <v>1752</v>
      </c>
      <c r="B950" s="2" t="s">
        <v>240</v>
      </c>
      <c r="C950" s="2" t="s">
        <v>41</v>
      </c>
      <c r="D950" s="3" t="n">
        <v>45779</v>
      </c>
      <c r="E950" s="2" t="s">
        <v>267</v>
      </c>
      <c r="F950" s="2" t="s">
        <v>26</v>
      </c>
      <c r="G950" s="2" t="n">
        <v>83197</v>
      </c>
      <c r="H950" s="2" t="n">
        <v>21</v>
      </c>
      <c r="I950" s="2" t="n">
        <v>247</v>
      </c>
      <c r="J950" s="2" t="n">
        <v>1</v>
      </c>
      <c r="K950" s="2" t="n">
        <v>277013</v>
      </c>
      <c r="L950" s="2" t="n">
        <v>249769</v>
      </c>
      <c r="M950" s="2" t="n">
        <v>15133</v>
      </c>
      <c r="N950" s="2" t="n">
        <v>1097</v>
      </c>
      <c r="O950" s="2" t="n">
        <v>2022</v>
      </c>
      <c r="P950" s="2" t="n">
        <v>3708</v>
      </c>
      <c r="Q950" s="2" t="n">
        <v>7030</v>
      </c>
      <c r="R950" s="2" t="n">
        <v>654</v>
      </c>
      <c r="S950" s="2" t="n">
        <v>18</v>
      </c>
      <c r="T950" s="2" t="s">
        <v>96</v>
      </c>
      <c r="U950" s="4" t="n">
        <f aca="false">(M950+N950+O950+P950)/L950</f>
        <v>0.0879212392250439</v>
      </c>
      <c r="V950" s="2" t="str">
        <f aca="false">IF(S950&lt;=5,"Late night (0-5)",IF(S950&lt;=11,"Morning (6-11)",IF(S950&lt;=17,"Afternoon (12-17)","Evening (18-23)")))</f>
        <v>Evening (18-23)</v>
      </c>
    </row>
    <row r="951" customFormat="false" ht="15" hidden="false" customHeight="false" outlineLevel="0" collapsed="false">
      <c r="A951" s="2" t="s">
        <v>1753</v>
      </c>
      <c r="B951" s="2" t="s">
        <v>129</v>
      </c>
      <c r="C951" s="2" t="s">
        <v>54</v>
      </c>
      <c r="D951" s="3" t="n">
        <v>45834</v>
      </c>
      <c r="E951" s="2" t="s">
        <v>1754</v>
      </c>
      <c r="F951" s="2" t="s">
        <v>32</v>
      </c>
      <c r="G951" s="2" t="n">
        <v>10312</v>
      </c>
      <c r="H951" s="2" t="n">
        <v>9</v>
      </c>
      <c r="I951" s="2" t="n">
        <v>360</v>
      </c>
      <c r="J951" s="2" t="n">
        <v>0</v>
      </c>
      <c r="K951" s="2" t="n">
        <v>18466</v>
      </c>
      <c r="L951" s="2" t="n">
        <v>16164</v>
      </c>
      <c r="M951" s="2" t="n">
        <v>1011</v>
      </c>
      <c r="N951" s="2" t="n">
        <v>35</v>
      </c>
      <c r="O951" s="2" t="n">
        <v>144</v>
      </c>
      <c r="P951" s="2" t="n">
        <v>100</v>
      </c>
      <c r="Q951" s="2" t="n">
        <v>186</v>
      </c>
      <c r="R951" s="2" t="n">
        <v>38</v>
      </c>
      <c r="S951" s="2" t="n">
        <v>0</v>
      </c>
      <c r="T951" s="2" t="s">
        <v>79</v>
      </c>
      <c r="U951" s="4" t="n">
        <f aca="false">(M951+N951+O951+P951)/L951</f>
        <v>0.0798069784706756</v>
      </c>
      <c r="V951" s="2" t="str">
        <f aca="false">IF(S951&lt;=5,"Late night (0-5)",IF(S951&lt;=11,"Morning (6-11)",IF(S951&lt;=17,"Afternoon (12-17)","Evening (18-23)")))</f>
        <v>Late night (0-5)</v>
      </c>
    </row>
    <row r="952" customFormat="false" ht="15" hidden="false" customHeight="false" outlineLevel="0" collapsed="false">
      <c r="A952" s="2" t="s">
        <v>1755</v>
      </c>
      <c r="B952" s="2" t="s">
        <v>74</v>
      </c>
      <c r="C952" s="2" t="s">
        <v>30</v>
      </c>
      <c r="D952" s="3" t="n">
        <v>45878</v>
      </c>
      <c r="E952" s="2" t="s">
        <v>1756</v>
      </c>
      <c r="F952" s="2" t="s">
        <v>38</v>
      </c>
      <c r="G952" s="2" t="n">
        <v>20432</v>
      </c>
      <c r="H952" s="2" t="n">
        <v>15</v>
      </c>
      <c r="I952" s="2" t="n">
        <v>170</v>
      </c>
      <c r="J952" s="2" t="n">
        <v>1</v>
      </c>
      <c r="K952" s="2" t="n">
        <v>5532</v>
      </c>
      <c r="L952" s="2" t="n">
        <v>3230</v>
      </c>
      <c r="M952" s="2" t="n">
        <v>228</v>
      </c>
      <c r="N952" s="2" t="n">
        <v>10</v>
      </c>
      <c r="O952" s="2" t="n">
        <v>33</v>
      </c>
      <c r="P952" s="2" t="n">
        <v>29</v>
      </c>
      <c r="Q952" s="2" t="n">
        <v>60</v>
      </c>
      <c r="R952" s="2" t="n">
        <v>11</v>
      </c>
      <c r="S952" s="2" t="n">
        <v>5</v>
      </c>
      <c r="T952" s="2" t="s">
        <v>62</v>
      </c>
      <c r="U952" s="4" t="n">
        <f aca="false">(M952+N952+O952+P952)/L952</f>
        <v>0.0928792569659443</v>
      </c>
      <c r="V952" s="2" t="str">
        <f aca="false">IF(S952&lt;=5,"Late night (0-5)",IF(S952&lt;=11,"Morning (6-11)",IF(S952&lt;=17,"Afternoon (12-17)","Evening (18-23)")))</f>
        <v>Late night (0-5)</v>
      </c>
    </row>
    <row r="953" customFormat="false" ht="15" hidden="false" customHeight="false" outlineLevel="0" collapsed="false">
      <c r="A953" s="2" t="s">
        <v>1757</v>
      </c>
      <c r="B953" s="2" t="s">
        <v>206</v>
      </c>
      <c r="C953" s="2" t="s">
        <v>48</v>
      </c>
      <c r="D953" s="3" t="n">
        <v>45924</v>
      </c>
      <c r="E953" s="2" t="s">
        <v>1758</v>
      </c>
      <c r="F953" s="2" t="s">
        <v>32</v>
      </c>
      <c r="G953" s="2" t="n">
        <v>42937</v>
      </c>
      <c r="H953" s="2" t="n">
        <v>18</v>
      </c>
      <c r="I953" s="2" t="n">
        <v>174</v>
      </c>
      <c r="J953" s="2" t="n">
        <v>1</v>
      </c>
      <c r="K953" s="2" t="n">
        <v>142896</v>
      </c>
      <c r="L953" s="2" t="n">
        <v>104767</v>
      </c>
      <c r="M953" s="2" t="n">
        <v>7594</v>
      </c>
      <c r="N953" s="2" t="n">
        <v>307</v>
      </c>
      <c r="O953" s="2" t="n">
        <v>1598</v>
      </c>
      <c r="P953" s="2" t="n">
        <v>809</v>
      </c>
      <c r="Q953" s="2" t="n">
        <v>590</v>
      </c>
      <c r="R953" s="2" t="n">
        <v>29</v>
      </c>
      <c r="S953" s="2" t="n">
        <v>17</v>
      </c>
      <c r="T953" s="2" t="s">
        <v>66</v>
      </c>
      <c r="U953" s="4" t="n">
        <f aca="false">(M953+N953+O953+P953)/L953</f>
        <v>0.0983897601343935</v>
      </c>
      <c r="V953" s="2" t="str">
        <f aca="false">IF(S953&lt;=5,"Late night (0-5)",IF(S953&lt;=11,"Morning (6-11)",IF(S953&lt;=17,"Afternoon (12-17)","Evening (18-23)")))</f>
        <v>Afternoon (12-17)</v>
      </c>
    </row>
    <row r="954" customFormat="false" ht="15" hidden="false" customHeight="false" outlineLevel="0" collapsed="false">
      <c r="A954" s="2" t="s">
        <v>1759</v>
      </c>
      <c r="B954" s="2" t="s">
        <v>83</v>
      </c>
      <c r="C954" s="2" t="s">
        <v>84</v>
      </c>
      <c r="D954" s="3" t="n">
        <v>46011</v>
      </c>
      <c r="E954" s="2" t="s">
        <v>1760</v>
      </c>
      <c r="F954" s="2" t="s">
        <v>26</v>
      </c>
      <c r="G954" s="2" t="n">
        <v>17918</v>
      </c>
      <c r="H954" s="2" t="n">
        <v>5</v>
      </c>
      <c r="I954" s="2" t="n">
        <v>387</v>
      </c>
      <c r="J954" s="2" t="n">
        <v>1</v>
      </c>
      <c r="K954" s="2" t="n">
        <v>13811</v>
      </c>
      <c r="L954" s="2" t="n">
        <v>10533</v>
      </c>
      <c r="M954" s="2" t="n">
        <v>886</v>
      </c>
      <c r="N954" s="2" t="n">
        <v>20</v>
      </c>
      <c r="O954" s="2" t="n">
        <v>167</v>
      </c>
      <c r="P954" s="2" t="n">
        <v>321</v>
      </c>
      <c r="Q954" s="2" t="n">
        <v>83</v>
      </c>
      <c r="R954" s="2" t="n">
        <v>5</v>
      </c>
      <c r="S954" s="2" t="n">
        <v>17</v>
      </c>
      <c r="T954" s="2" t="s">
        <v>62</v>
      </c>
      <c r="U954" s="4" t="n">
        <f aca="false">(M954+N954+O954+P954)/L954</f>
        <v>0.1323459603152</v>
      </c>
      <c r="V954" s="2" t="str">
        <f aca="false">IF(S954&lt;=5,"Late night (0-5)",IF(S954&lt;=11,"Morning (6-11)",IF(S954&lt;=17,"Afternoon (12-17)","Evening (18-23)")))</f>
        <v>Afternoon (12-17)</v>
      </c>
    </row>
    <row r="955" customFormat="false" ht="15" hidden="false" customHeight="false" outlineLevel="0" collapsed="false">
      <c r="A955" s="2" t="s">
        <v>1761</v>
      </c>
      <c r="B955" s="2" t="s">
        <v>327</v>
      </c>
      <c r="C955" s="2" t="s">
        <v>91</v>
      </c>
      <c r="D955" s="3" t="n">
        <v>45966</v>
      </c>
      <c r="E955" s="2" t="s">
        <v>92</v>
      </c>
      <c r="F955" s="2" t="s">
        <v>26</v>
      </c>
      <c r="G955" s="2" t="n">
        <v>16943</v>
      </c>
      <c r="H955" s="2" t="n">
        <v>11</v>
      </c>
      <c r="I955" s="2" t="n">
        <v>13</v>
      </c>
      <c r="J955" s="2" t="n">
        <v>0</v>
      </c>
      <c r="K955" s="2" t="n">
        <v>14680</v>
      </c>
      <c r="L955" s="2" t="n">
        <v>9039</v>
      </c>
      <c r="M955" s="2" t="n">
        <v>414</v>
      </c>
      <c r="N955" s="2" t="n">
        <v>24</v>
      </c>
      <c r="O955" s="2" t="n">
        <v>15</v>
      </c>
      <c r="P955" s="2" t="n">
        <v>57</v>
      </c>
      <c r="Q955" s="2" t="n">
        <v>255</v>
      </c>
      <c r="R955" s="2" t="n">
        <v>59</v>
      </c>
      <c r="S955" s="2" t="n">
        <v>21</v>
      </c>
      <c r="T955" s="2" t="s">
        <v>66</v>
      </c>
      <c r="U955" s="4" t="n">
        <f aca="false">(M955+N955+O955+P955)/L955</f>
        <v>0.0564221705940923</v>
      </c>
      <c r="V955" s="2" t="str">
        <f aca="false">IF(S955&lt;=5,"Late night (0-5)",IF(S955&lt;=11,"Morning (6-11)",IF(S955&lt;=17,"Afternoon (12-17)","Evening (18-23)")))</f>
        <v>Evening (18-23)</v>
      </c>
    </row>
    <row r="956" customFormat="false" ht="15" hidden="false" customHeight="false" outlineLevel="0" collapsed="false">
      <c r="A956" s="2" t="s">
        <v>1762</v>
      </c>
      <c r="B956" s="2" t="s">
        <v>98</v>
      </c>
      <c r="C956" s="2" t="s">
        <v>54</v>
      </c>
      <c r="D956" s="3" t="n">
        <v>45763</v>
      </c>
      <c r="E956" s="2" t="s">
        <v>1763</v>
      </c>
      <c r="F956" s="2" t="s">
        <v>26</v>
      </c>
      <c r="G956" s="2" t="n">
        <v>18366</v>
      </c>
      <c r="H956" s="2" t="n">
        <v>15</v>
      </c>
      <c r="I956" s="2" t="n">
        <v>227</v>
      </c>
      <c r="J956" s="2" t="n">
        <v>1</v>
      </c>
      <c r="K956" s="2" t="n">
        <v>26858</v>
      </c>
      <c r="L956" s="2" t="n">
        <v>16409</v>
      </c>
      <c r="M956" s="2" t="n">
        <v>656</v>
      </c>
      <c r="N956" s="2" t="n">
        <v>14</v>
      </c>
      <c r="O956" s="2" t="n">
        <v>68</v>
      </c>
      <c r="P956" s="2" t="n">
        <v>223</v>
      </c>
      <c r="Q956" s="2" t="n">
        <v>349</v>
      </c>
      <c r="R956" s="2" t="n">
        <v>78</v>
      </c>
      <c r="S956" s="2" t="n">
        <v>19</v>
      </c>
      <c r="T956" s="2" t="s">
        <v>66</v>
      </c>
      <c r="U956" s="4" t="n">
        <f aca="false">(M956+N956+O956+P956)/L956</f>
        <v>0.0585654214150771</v>
      </c>
      <c r="V956" s="2" t="str">
        <f aca="false">IF(S956&lt;=5,"Late night (0-5)",IF(S956&lt;=11,"Morning (6-11)",IF(S956&lt;=17,"Afternoon (12-17)","Evening (18-23)")))</f>
        <v>Evening (18-23)</v>
      </c>
    </row>
    <row r="957" customFormat="false" ht="15" hidden="false" customHeight="false" outlineLevel="0" collapsed="false">
      <c r="A957" s="2" t="s">
        <v>1764</v>
      </c>
      <c r="B957" s="2" t="s">
        <v>57</v>
      </c>
      <c r="C957" s="2" t="s">
        <v>24</v>
      </c>
      <c r="D957" s="3" t="n">
        <v>45961</v>
      </c>
      <c r="E957" s="2" t="s">
        <v>614</v>
      </c>
      <c r="F957" s="2" t="s">
        <v>38</v>
      </c>
      <c r="G957" s="2" t="n">
        <v>31021</v>
      </c>
      <c r="H957" s="2" t="n">
        <v>16</v>
      </c>
      <c r="I957" s="2" t="n">
        <v>72</v>
      </c>
      <c r="J957" s="2" t="n">
        <v>1</v>
      </c>
      <c r="K957" s="2" t="n">
        <v>43198</v>
      </c>
      <c r="L957" s="2" t="n">
        <v>32668</v>
      </c>
      <c r="M957" s="2" t="n">
        <v>1142</v>
      </c>
      <c r="N957" s="2" t="n">
        <v>33</v>
      </c>
      <c r="O957" s="2" t="n">
        <v>115</v>
      </c>
      <c r="P957" s="2" t="n">
        <v>308</v>
      </c>
      <c r="Q957" s="2" t="n">
        <v>210</v>
      </c>
      <c r="R957" s="2" t="n">
        <v>21</v>
      </c>
      <c r="S957" s="2" t="n">
        <v>8</v>
      </c>
      <c r="T957" s="2" t="s">
        <v>96</v>
      </c>
      <c r="U957" s="4" t="n">
        <f aca="false">(M957+N957+O957+P957)/L957</f>
        <v>0.0489163707603771</v>
      </c>
      <c r="V957" s="2" t="str">
        <f aca="false">IF(S957&lt;=5,"Late night (0-5)",IF(S957&lt;=11,"Morning (6-11)",IF(S957&lt;=17,"Afternoon (12-17)","Evening (18-23)")))</f>
        <v>Morning (6-11)</v>
      </c>
    </row>
    <row r="958" customFormat="false" ht="15" hidden="false" customHeight="false" outlineLevel="0" collapsed="false">
      <c r="A958" s="2" t="s">
        <v>1765</v>
      </c>
      <c r="B958" s="2" t="s">
        <v>227</v>
      </c>
      <c r="C958" s="2" t="s">
        <v>54</v>
      </c>
      <c r="D958" s="3" t="n">
        <v>45843</v>
      </c>
      <c r="E958" s="2" t="s">
        <v>1766</v>
      </c>
      <c r="F958" s="2" t="s">
        <v>26</v>
      </c>
      <c r="G958" s="2" t="n">
        <v>11796</v>
      </c>
      <c r="H958" s="2" t="n">
        <v>8</v>
      </c>
      <c r="I958" s="2" t="n">
        <v>159</v>
      </c>
      <c r="J958" s="2" t="n">
        <v>0</v>
      </c>
      <c r="K958" s="2" t="n">
        <v>16799</v>
      </c>
      <c r="L958" s="2" t="n">
        <v>9812</v>
      </c>
      <c r="M958" s="2" t="n">
        <v>760</v>
      </c>
      <c r="N958" s="2" t="n">
        <v>34</v>
      </c>
      <c r="O958" s="2" t="n">
        <v>38</v>
      </c>
      <c r="P958" s="2" t="n">
        <v>152</v>
      </c>
      <c r="Q958" s="2" t="n">
        <v>278</v>
      </c>
      <c r="R958" s="2" t="n">
        <v>79</v>
      </c>
      <c r="S958" s="2" t="n">
        <v>13</v>
      </c>
      <c r="T958" s="2" t="s">
        <v>62</v>
      </c>
      <c r="U958" s="4" t="n">
        <f aca="false">(M958+N958+O958+P958)/L958</f>
        <v>0.100285364859356</v>
      </c>
      <c r="V958" s="2" t="str">
        <f aca="false">IF(S958&lt;=5,"Late night (0-5)",IF(S958&lt;=11,"Morning (6-11)",IF(S958&lt;=17,"Afternoon (12-17)","Evening (18-23)")))</f>
        <v>Afternoon (12-17)</v>
      </c>
    </row>
    <row r="959" customFormat="false" ht="15" hidden="false" customHeight="false" outlineLevel="0" collapsed="false">
      <c r="A959" s="2" t="s">
        <v>1767</v>
      </c>
      <c r="B959" s="2" t="s">
        <v>426</v>
      </c>
      <c r="C959" s="2" t="s">
        <v>30</v>
      </c>
      <c r="D959" s="3" t="n">
        <v>45810</v>
      </c>
      <c r="E959" s="2" t="s">
        <v>265</v>
      </c>
      <c r="F959" s="2" t="s">
        <v>38</v>
      </c>
      <c r="G959" s="2" t="n">
        <v>40649</v>
      </c>
      <c r="H959" s="2" t="n">
        <v>12</v>
      </c>
      <c r="I959" s="2" t="n">
        <v>223</v>
      </c>
      <c r="J959" s="2" t="n">
        <v>1</v>
      </c>
      <c r="K959" s="2" t="n">
        <v>40862</v>
      </c>
      <c r="L959" s="2" t="n">
        <v>26234</v>
      </c>
      <c r="M959" s="2" t="n">
        <v>1320</v>
      </c>
      <c r="N959" s="2" t="n">
        <v>78</v>
      </c>
      <c r="O959" s="2" t="n">
        <v>60</v>
      </c>
      <c r="P959" s="2" t="n">
        <v>379</v>
      </c>
      <c r="Q959" s="2" t="n">
        <v>622</v>
      </c>
      <c r="R959" s="2" t="n">
        <v>167</v>
      </c>
      <c r="S959" s="2" t="n">
        <v>15</v>
      </c>
      <c r="T959" s="2" t="s">
        <v>33</v>
      </c>
      <c r="U959" s="4" t="n">
        <f aca="false">(M959+N959+O959+P959)/L959</f>
        <v>0.0700236334527712</v>
      </c>
      <c r="V959" s="2" t="str">
        <f aca="false">IF(S959&lt;=5,"Late night (0-5)",IF(S959&lt;=11,"Morning (6-11)",IF(S959&lt;=17,"Afternoon (12-17)","Evening (18-23)")))</f>
        <v>Afternoon (12-17)</v>
      </c>
    </row>
    <row r="960" customFormat="false" ht="15" hidden="false" customHeight="false" outlineLevel="0" collapsed="false">
      <c r="A960" s="2" t="s">
        <v>1768</v>
      </c>
      <c r="B960" s="2" t="s">
        <v>23</v>
      </c>
      <c r="C960" s="2" t="s">
        <v>24</v>
      </c>
      <c r="D960" s="3" t="n">
        <v>46005</v>
      </c>
      <c r="E960" s="2" t="s">
        <v>1769</v>
      </c>
      <c r="F960" s="2" t="s">
        <v>32</v>
      </c>
      <c r="G960" s="2" t="n">
        <v>63447</v>
      </c>
      <c r="H960" s="2" t="n">
        <v>5</v>
      </c>
      <c r="I960" s="2" t="n">
        <v>113</v>
      </c>
      <c r="J960" s="2" t="n">
        <v>1</v>
      </c>
      <c r="K960" s="2" t="n">
        <v>55367</v>
      </c>
      <c r="L960" s="2" t="n">
        <v>38093</v>
      </c>
      <c r="M960" s="2" t="n">
        <v>2327</v>
      </c>
      <c r="N960" s="2" t="n">
        <v>156</v>
      </c>
      <c r="O960" s="2" t="n">
        <v>470</v>
      </c>
      <c r="P960" s="2" t="n">
        <v>411</v>
      </c>
      <c r="Q960" s="2" t="n">
        <v>926</v>
      </c>
      <c r="R960" s="2" t="n">
        <v>172</v>
      </c>
      <c r="S960" s="2" t="n">
        <v>21</v>
      </c>
      <c r="T960" s="2" t="s">
        <v>27</v>
      </c>
      <c r="U960" s="4" t="n">
        <f aca="false">(M960+N960+O960+P960)/L960</f>
        <v>0.0883101882235581</v>
      </c>
      <c r="V960" s="2" t="str">
        <f aca="false">IF(S960&lt;=5,"Late night (0-5)",IF(S960&lt;=11,"Morning (6-11)",IF(S960&lt;=17,"Afternoon (12-17)","Evening (18-23)")))</f>
        <v>Evening (18-23)</v>
      </c>
    </row>
    <row r="961" customFormat="false" ht="15" hidden="false" customHeight="false" outlineLevel="0" collapsed="false">
      <c r="A961" s="2" t="s">
        <v>1770</v>
      </c>
      <c r="B961" s="2" t="s">
        <v>132</v>
      </c>
      <c r="C961" s="2" t="s">
        <v>36</v>
      </c>
      <c r="D961" s="3" t="n">
        <v>45866</v>
      </c>
      <c r="E961" s="2" t="s">
        <v>1771</v>
      </c>
      <c r="F961" s="2" t="s">
        <v>50</v>
      </c>
      <c r="G961" s="2" t="n">
        <v>83053</v>
      </c>
      <c r="H961" s="2" t="n">
        <v>10</v>
      </c>
      <c r="I961" s="2" t="n">
        <v>66</v>
      </c>
      <c r="J961" s="2" t="n">
        <v>0</v>
      </c>
      <c r="K961" s="2" t="n">
        <v>42638</v>
      </c>
      <c r="L961" s="2" t="n">
        <v>30108</v>
      </c>
      <c r="M961" s="2" t="n">
        <v>2440</v>
      </c>
      <c r="N961" s="2" t="n">
        <v>52</v>
      </c>
      <c r="O961" s="2" t="n">
        <v>419</v>
      </c>
      <c r="P961" s="2" t="n">
        <v>425</v>
      </c>
      <c r="Q961" s="2" t="n">
        <v>657</v>
      </c>
      <c r="R961" s="2" t="n">
        <v>94</v>
      </c>
      <c r="S961" s="2" t="n">
        <v>22</v>
      </c>
      <c r="T961" s="2" t="s">
        <v>33</v>
      </c>
      <c r="U961" s="4" t="n">
        <f aca="false">(M961+N961+O961+P961)/L961</f>
        <v>0.110801115982463</v>
      </c>
      <c r="V961" s="2" t="str">
        <f aca="false">IF(S961&lt;=5,"Late night (0-5)",IF(S961&lt;=11,"Morning (6-11)",IF(S961&lt;=17,"Afternoon (12-17)","Evening (18-23)")))</f>
        <v>Evening (18-23)</v>
      </c>
    </row>
    <row r="962" customFormat="false" ht="15" hidden="false" customHeight="false" outlineLevel="0" collapsed="false">
      <c r="A962" s="2" t="s">
        <v>1772</v>
      </c>
      <c r="B962" s="2" t="s">
        <v>44</v>
      </c>
      <c r="C962" s="2" t="s">
        <v>36</v>
      </c>
      <c r="D962" s="3" t="n">
        <v>45879</v>
      </c>
      <c r="E962" s="2" t="s">
        <v>1773</v>
      </c>
      <c r="F962" s="2" t="s">
        <v>38</v>
      </c>
      <c r="G962" s="2" t="n">
        <v>6265</v>
      </c>
      <c r="H962" s="2" t="n">
        <v>16</v>
      </c>
      <c r="I962" s="2" t="n">
        <v>159</v>
      </c>
      <c r="J962" s="2" t="n">
        <v>0</v>
      </c>
      <c r="K962" s="2" t="n">
        <v>7444</v>
      </c>
      <c r="L962" s="2" t="n">
        <v>6365</v>
      </c>
      <c r="M962" s="2" t="n">
        <v>478</v>
      </c>
      <c r="N962" s="2" t="n">
        <v>15</v>
      </c>
      <c r="O962" s="2" t="n">
        <v>14</v>
      </c>
      <c r="P962" s="2" t="n">
        <v>55</v>
      </c>
      <c r="Q962" s="2" t="n">
        <v>167</v>
      </c>
      <c r="R962" s="2" t="n">
        <v>14</v>
      </c>
      <c r="S962" s="2" t="n">
        <v>21</v>
      </c>
      <c r="T962" s="2" t="s">
        <v>27</v>
      </c>
      <c r="U962" s="4" t="n">
        <f aca="false">(M962+N962+O962+P962)/L962</f>
        <v>0.0882953652788688</v>
      </c>
      <c r="V962" s="2" t="str">
        <f aca="false">IF(S962&lt;=5,"Late night (0-5)",IF(S962&lt;=11,"Morning (6-11)",IF(S962&lt;=17,"Afternoon (12-17)","Evening (18-23)")))</f>
        <v>Evening (18-23)</v>
      </c>
    </row>
    <row r="963" customFormat="false" ht="15" hidden="false" customHeight="false" outlineLevel="0" collapsed="false">
      <c r="A963" s="2" t="s">
        <v>1774</v>
      </c>
      <c r="B963" s="2" t="s">
        <v>327</v>
      </c>
      <c r="C963" s="2" t="s">
        <v>91</v>
      </c>
      <c r="D963" s="3" t="n">
        <v>45873</v>
      </c>
      <c r="E963" s="2" t="s">
        <v>963</v>
      </c>
      <c r="F963" s="2" t="s">
        <v>32</v>
      </c>
      <c r="G963" s="2" t="n">
        <v>16943</v>
      </c>
      <c r="H963" s="2" t="n">
        <v>16</v>
      </c>
      <c r="I963" s="2" t="n">
        <v>190</v>
      </c>
      <c r="J963" s="2" t="n">
        <v>0</v>
      </c>
      <c r="K963" s="2" t="n">
        <v>22060</v>
      </c>
      <c r="L963" s="2" t="n">
        <v>16291</v>
      </c>
      <c r="M963" s="2" t="n">
        <v>1106</v>
      </c>
      <c r="N963" s="2" t="n">
        <v>66</v>
      </c>
      <c r="O963" s="2" t="n">
        <v>303</v>
      </c>
      <c r="P963" s="2" t="n">
        <v>207</v>
      </c>
      <c r="Q963" s="2" t="n">
        <v>356</v>
      </c>
      <c r="R963" s="2" t="n">
        <v>24</v>
      </c>
      <c r="S963" s="2" t="n">
        <v>5</v>
      </c>
      <c r="T963" s="2" t="s">
        <v>33</v>
      </c>
      <c r="U963" s="4" t="n">
        <f aca="false">(M963+N963+O963+P963)/L963</f>
        <v>0.103247191700939</v>
      </c>
      <c r="V963" s="2" t="str">
        <f aca="false">IF(S963&lt;=5,"Late night (0-5)",IF(S963&lt;=11,"Morning (6-11)",IF(S963&lt;=17,"Afternoon (12-17)","Evening (18-23)")))</f>
        <v>Late night (0-5)</v>
      </c>
    </row>
    <row r="964" customFormat="false" ht="15" hidden="false" customHeight="false" outlineLevel="0" collapsed="false">
      <c r="A964" s="2" t="s">
        <v>1775</v>
      </c>
      <c r="B964" s="2" t="s">
        <v>29</v>
      </c>
      <c r="C964" s="2" t="s">
        <v>30</v>
      </c>
      <c r="D964" s="3" t="n">
        <v>45701</v>
      </c>
      <c r="E964" s="2" t="s">
        <v>1118</v>
      </c>
      <c r="F964" s="2" t="s">
        <v>38</v>
      </c>
      <c r="G964" s="2" t="n">
        <v>11612</v>
      </c>
      <c r="H964" s="2" t="n">
        <v>4</v>
      </c>
      <c r="I964" s="2" t="n">
        <v>22</v>
      </c>
      <c r="J964" s="2" t="n">
        <v>1</v>
      </c>
      <c r="K964" s="2" t="n">
        <v>6271</v>
      </c>
      <c r="L964" s="2" t="n">
        <v>5482</v>
      </c>
      <c r="M964" s="2" t="n">
        <v>372</v>
      </c>
      <c r="N964" s="2" t="n">
        <v>19</v>
      </c>
      <c r="O964" s="2" t="n">
        <v>21</v>
      </c>
      <c r="P964" s="2" t="n">
        <v>33</v>
      </c>
      <c r="Q964" s="2" t="n">
        <v>138</v>
      </c>
      <c r="R964" s="2" t="n">
        <v>7</v>
      </c>
      <c r="S964" s="2" t="n">
        <v>13</v>
      </c>
      <c r="T964" s="2" t="s">
        <v>79</v>
      </c>
      <c r="U964" s="4" t="n">
        <f aca="false">(M964+N964+O964+P964)/L964</f>
        <v>0.0811747537395111</v>
      </c>
      <c r="V964" s="2" t="str">
        <f aca="false">IF(S964&lt;=5,"Late night (0-5)",IF(S964&lt;=11,"Morning (6-11)",IF(S964&lt;=17,"Afternoon (12-17)","Evening (18-23)")))</f>
        <v>Afternoon (12-17)</v>
      </c>
    </row>
    <row r="965" customFormat="false" ht="15" hidden="false" customHeight="false" outlineLevel="0" collapsed="false">
      <c r="A965" s="2" t="s">
        <v>1776</v>
      </c>
      <c r="B965" s="2" t="s">
        <v>77</v>
      </c>
      <c r="C965" s="2" t="s">
        <v>30</v>
      </c>
      <c r="D965" s="3" t="n">
        <v>45746</v>
      </c>
      <c r="E965" s="2" t="s">
        <v>835</v>
      </c>
      <c r="F965" s="2" t="s">
        <v>38</v>
      </c>
      <c r="G965" s="2" t="n">
        <v>17548</v>
      </c>
      <c r="H965" s="2" t="n">
        <v>18</v>
      </c>
      <c r="I965" s="2" t="n">
        <v>252</v>
      </c>
      <c r="J965" s="2" t="n">
        <v>0</v>
      </c>
      <c r="K965" s="2" t="n">
        <v>4368</v>
      </c>
      <c r="L965" s="2" t="n">
        <v>3933</v>
      </c>
      <c r="M965" s="2" t="n">
        <v>346</v>
      </c>
      <c r="N965" s="2" t="n">
        <v>21</v>
      </c>
      <c r="O965" s="2" t="n">
        <v>58</v>
      </c>
      <c r="P965" s="2" t="n">
        <v>85</v>
      </c>
      <c r="Q965" s="2" t="n">
        <v>92</v>
      </c>
      <c r="R965" s="2" t="n">
        <v>21</v>
      </c>
      <c r="S965" s="2" t="n">
        <v>4</v>
      </c>
      <c r="T965" s="2" t="s">
        <v>27</v>
      </c>
      <c r="U965" s="4" t="n">
        <f aca="false">(M965+N965+O965+P965)/L965</f>
        <v>0.129672006102212</v>
      </c>
      <c r="V965" s="2" t="str">
        <f aca="false">IF(S965&lt;=5,"Late night (0-5)",IF(S965&lt;=11,"Morning (6-11)",IF(S965&lt;=17,"Afternoon (12-17)","Evening (18-23)")))</f>
        <v>Late night (0-5)</v>
      </c>
    </row>
    <row r="966" customFormat="false" ht="15" hidden="false" customHeight="false" outlineLevel="0" collapsed="false">
      <c r="A966" s="2" t="s">
        <v>1777</v>
      </c>
      <c r="B966" s="2" t="s">
        <v>47</v>
      </c>
      <c r="C966" s="2" t="s">
        <v>48</v>
      </c>
      <c r="D966" s="3" t="n">
        <v>45957</v>
      </c>
      <c r="E966" s="2" t="s">
        <v>115</v>
      </c>
      <c r="F966" s="2" t="s">
        <v>32</v>
      </c>
      <c r="G966" s="2" t="n">
        <v>19609</v>
      </c>
      <c r="H966" s="2" t="n">
        <v>19</v>
      </c>
      <c r="I966" s="2" t="n">
        <v>297</v>
      </c>
      <c r="J966" s="2" t="n">
        <v>0</v>
      </c>
      <c r="K966" s="2" t="n">
        <v>23854</v>
      </c>
      <c r="L966" s="2" t="n">
        <v>15889</v>
      </c>
      <c r="M966" s="2" t="n">
        <v>603</v>
      </c>
      <c r="N966" s="2" t="n">
        <v>46</v>
      </c>
      <c r="O966" s="2" t="n">
        <v>71</v>
      </c>
      <c r="P966" s="2" t="n">
        <v>51</v>
      </c>
      <c r="Q966" s="2" t="n">
        <v>81</v>
      </c>
      <c r="R966" s="2" t="n">
        <v>21</v>
      </c>
      <c r="S966" s="2" t="n">
        <v>5</v>
      </c>
      <c r="T966" s="2" t="s">
        <v>33</v>
      </c>
      <c r="U966" s="4" t="n">
        <f aca="false">(M966+N966+O966+P966)/L966</f>
        <v>0.0485241361948518</v>
      </c>
      <c r="V966" s="2" t="str">
        <f aca="false">IF(S966&lt;=5,"Late night (0-5)",IF(S966&lt;=11,"Morning (6-11)",IF(S966&lt;=17,"Afternoon (12-17)","Evening (18-23)")))</f>
        <v>Late night (0-5)</v>
      </c>
    </row>
    <row r="967" customFormat="false" ht="15" hidden="false" customHeight="false" outlineLevel="0" collapsed="false">
      <c r="A967" s="2" t="s">
        <v>1778</v>
      </c>
      <c r="B967" s="2" t="s">
        <v>40</v>
      </c>
      <c r="C967" s="2" t="s">
        <v>41</v>
      </c>
      <c r="D967" s="3" t="n">
        <v>45809</v>
      </c>
      <c r="E967" s="2" t="s">
        <v>1636</v>
      </c>
      <c r="F967" s="2" t="s">
        <v>32</v>
      </c>
      <c r="G967" s="2" t="n">
        <v>23051</v>
      </c>
      <c r="H967" s="2" t="n">
        <v>3</v>
      </c>
      <c r="I967" s="2" t="n">
        <v>207</v>
      </c>
      <c r="J967" s="2" t="n">
        <v>1</v>
      </c>
      <c r="K967" s="2" t="n">
        <v>16039</v>
      </c>
      <c r="L967" s="2" t="n">
        <v>12536</v>
      </c>
      <c r="M967" s="2" t="n">
        <v>1243</v>
      </c>
      <c r="N967" s="2" t="n">
        <v>80</v>
      </c>
      <c r="O967" s="2" t="n">
        <v>367</v>
      </c>
      <c r="P967" s="2" t="n">
        <v>320</v>
      </c>
      <c r="Q967" s="2" t="n">
        <v>138</v>
      </c>
      <c r="R967" s="2" t="n">
        <v>21</v>
      </c>
      <c r="S967" s="2" t="n">
        <v>2</v>
      </c>
      <c r="T967" s="2" t="s">
        <v>27</v>
      </c>
      <c r="U967" s="4" t="n">
        <f aca="false">(M967+N967+O967+P967)/L967</f>
        <v>0.160338225909381</v>
      </c>
      <c r="V967" s="2" t="str">
        <f aca="false">IF(S967&lt;=5,"Late night (0-5)",IF(S967&lt;=11,"Morning (6-11)",IF(S967&lt;=17,"Afternoon (12-17)","Evening (18-23)")))</f>
        <v>Late night (0-5)</v>
      </c>
    </row>
    <row r="968" customFormat="false" ht="15" hidden="false" customHeight="false" outlineLevel="0" collapsed="false">
      <c r="A968" s="2" t="s">
        <v>1779</v>
      </c>
      <c r="B968" s="2" t="s">
        <v>60</v>
      </c>
      <c r="C968" s="2" t="s">
        <v>41</v>
      </c>
      <c r="D968" s="3" t="n">
        <v>45750</v>
      </c>
      <c r="E968" s="2" t="s">
        <v>1780</v>
      </c>
      <c r="F968" s="2" t="s">
        <v>32</v>
      </c>
      <c r="G968" s="2" t="n">
        <v>7512</v>
      </c>
      <c r="H968" s="2" t="n">
        <v>10</v>
      </c>
      <c r="I968" s="2" t="n">
        <v>137</v>
      </c>
      <c r="J968" s="2" t="n">
        <v>0</v>
      </c>
      <c r="K968" s="2" t="n">
        <v>10975</v>
      </c>
      <c r="L968" s="2" t="n">
        <v>8314</v>
      </c>
      <c r="M968" s="2" t="n">
        <v>556</v>
      </c>
      <c r="N968" s="2" t="n">
        <v>11</v>
      </c>
      <c r="O968" s="2" t="n">
        <v>83</v>
      </c>
      <c r="P968" s="2" t="n">
        <v>66</v>
      </c>
      <c r="Q968" s="2" t="n">
        <v>160</v>
      </c>
      <c r="R968" s="2" t="n">
        <v>44</v>
      </c>
      <c r="S968" s="2" t="n">
        <v>14</v>
      </c>
      <c r="T968" s="2" t="s">
        <v>79</v>
      </c>
      <c r="U968" s="4" t="n">
        <f aca="false">(M968+N968+O968+P968)/L968</f>
        <v>0.0861197979312004</v>
      </c>
      <c r="V968" s="2" t="str">
        <f aca="false">IF(S968&lt;=5,"Late night (0-5)",IF(S968&lt;=11,"Morning (6-11)",IF(S968&lt;=17,"Afternoon (12-17)","Evening (18-23)")))</f>
        <v>Afternoon (12-17)</v>
      </c>
    </row>
    <row r="969" customFormat="false" ht="15" hidden="false" customHeight="false" outlineLevel="0" collapsed="false">
      <c r="A969" s="2" t="s">
        <v>1781</v>
      </c>
      <c r="B969" s="2" t="s">
        <v>106</v>
      </c>
      <c r="C969" s="2" t="s">
        <v>91</v>
      </c>
      <c r="D969" s="3" t="n">
        <v>45928</v>
      </c>
      <c r="E969" s="2" t="s">
        <v>173</v>
      </c>
      <c r="F969" s="2" t="s">
        <v>50</v>
      </c>
      <c r="G969" s="2" t="n">
        <v>59477</v>
      </c>
      <c r="H969" s="2" t="n">
        <v>4</v>
      </c>
      <c r="I969" s="2" t="n">
        <v>205</v>
      </c>
      <c r="J969" s="2" t="n">
        <v>1</v>
      </c>
      <c r="K969" s="2" t="n">
        <v>23774</v>
      </c>
      <c r="L969" s="2" t="n">
        <v>20634</v>
      </c>
      <c r="M969" s="2" t="n">
        <v>1614</v>
      </c>
      <c r="N969" s="2" t="n">
        <v>45</v>
      </c>
      <c r="O969" s="2" t="n">
        <v>96</v>
      </c>
      <c r="P969" s="2" t="n">
        <v>316</v>
      </c>
      <c r="Q969" s="2" t="n">
        <v>597</v>
      </c>
      <c r="R969" s="2" t="n">
        <v>114</v>
      </c>
      <c r="S969" s="2" t="n">
        <v>0</v>
      </c>
      <c r="T969" s="2" t="s">
        <v>27</v>
      </c>
      <c r="U969" s="4" t="n">
        <f aca="false">(M969+N969+O969+P969)/L969</f>
        <v>0.10036832412523</v>
      </c>
      <c r="V969" s="2" t="str">
        <f aca="false">IF(S969&lt;=5,"Late night (0-5)",IF(S969&lt;=11,"Morning (6-11)",IF(S969&lt;=17,"Afternoon (12-17)","Evening (18-23)")))</f>
        <v>Late night (0-5)</v>
      </c>
    </row>
    <row r="970" customFormat="false" ht="15" hidden="false" customHeight="false" outlineLevel="0" collapsed="false">
      <c r="A970" s="2" t="s">
        <v>1782</v>
      </c>
      <c r="B970" s="2" t="s">
        <v>40</v>
      </c>
      <c r="C970" s="2" t="s">
        <v>41</v>
      </c>
      <c r="D970" s="3" t="n">
        <v>45843</v>
      </c>
      <c r="E970" s="2" t="s">
        <v>1783</v>
      </c>
      <c r="F970" s="2" t="s">
        <v>38</v>
      </c>
      <c r="G970" s="2" t="n">
        <v>23051</v>
      </c>
      <c r="H970" s="2" t="n">
        <v>19</v>
      </c>
      <c r="I970" s="2" t="n">
        <v>118</v>
      </c>
      <c r="J970" s="2" t="n">
        <v>1</v>
      </c>
      <c r="K970" s="2" t="n">
        <v>38042</v>
      </c>
      <c r="L970" s="2" t="n">
        <v>28324</v>
      </c>
      <c r="M970" s="2" t="n">
        <v>1886</v>
      </c>
      <c r="N970" s="2" t="n">
        <v>67</v>
      </c>
      <c r="O970" s="2" t="n">
        <v>239</v>
      </c>
      <c r="P970" s="2" t="n">
        <v>98</v>
      </c>
      <c r="Q970" s="2" t="n">
        <v>406</v>
      </c>
      <c r="R970" s="2" t="n">
        <v>104</v>
      </c>
      <c r="S970" s="2" t="n">
        <v>11</v>
      </c>
      <c r="T970" s="2" t="s">
        <v>62</v>
      </c>
      <c r="U970" s="4" t="n">
        <f aca="false">(M970+N970+O970+P970)/L970</f>
        <v>0.0808501624064398</v>
      </c>
      <c r="V970" s="2" t="str">
        <f aca="false">IF(S970&lt;=5,"Late night (0-5)",IF(S970&lt;=11,"Morning (6-11)",IF(S970&lt;=17,"Afternoon (12-17)","Evening (18-23)")))</f>
        <v>Morning (6-11)</v>
      </c>
    </row>
    <row r="971" customFormat="false" ht="15" hidden="false" customHeight="false" outlineLevel="0" collapsed="false">
      <c r="A971" s="2" t="s">
        <v>1784</v>
      </c>
      <c r="B971" s="2" t="s">
        <v>129</v>
      </c>
      <c r="C971" s="2" t="s">
        <v>54</v>
      </c>
      <c r="D971" s="3" t="n">
        <v>45736</v>
      </c>
      <c r="E971" s="2" t="s">
        <v>1385</v>
      </c>
      <c r="F971" s="2" t="s">
        <v>26</v>
      </c>
      <c r="G971" s="2" t="n">
        <v>10312</v>
      </c>
      <c r="H971" s="2" t="n">
        <v>9</v>
      </c>
      <c r="I971" s="2" t="n">
        <v>87</v>
      </c>
      <c r="J971" s="2" t="n">
        <v>0</v>
      </c>
      <c r="K971" s="2" t="n">
        <v>12997</v>
      </c>
      <c r="L971" s="2" t="n">
        <v>7604</v>
      </c>
      <c r="M971" s="2" t="n">
        <v>501</v>
      </c>
      <c r="N971" s="2" t="n">
        <v>26</v>
      </c>
      <c r="O971" s="2" t="n">
        <v>95</v>
      </c>
      <c r="P971" s="2" t="n">
        <v>151</v>
      </c>
      <c r="Q971" s="2" t="n">
        <v>91</v>
      </c>
      <c r="R971" s="2" t="n">
        <v>19</v>
      </c>
      <c r="S971" s="2" t="n">
        <v>23</v>
      </c>
      <c r="T971" s="2" t="s">
        <v>79</v>
      </c>
      <c r="U971" s="4" t="n">
        <f aca="false">(M971+N971+O971+P971)/L971</f>
        <v>0.101657022619674</v>
      </c>
      <c r="V971" s="2" t="str">
        <f aca="false">IF(S971&lt;=5,"Late night (0-5)",IF(S971&lt;=11,"Morning (6-11)",IF(S971&lt;=17,"Afternoon (12-17)","Evening (18-23)")))</f>
        <v>Evening (18-23)</v>
      </c>
    </row>
    <row r="972" customFormat="false" ht="15" hidden="false" customHeight="false" outlineLevel="0" collapsed="false">
      <c r="A972" s="2" t="s">
        <v>1785</v>
      </c>
      <c r="B972" s="2" t="s">
        <v>57</v>
      </c>
      <c r="C972" s="2" t="s">
        <v>24</v>
      </c>
      <c r="D972" s="3" t="n">
        <v>45991</v>
      </c>
      <c r="E972" s="2" t="s">
        <v>1217</v>
      </c>
      <c r="F972" s="2" t="s">
        <v>38</v>
      </c>
      <c r="G972" s="2" t="n">
        <v>31021</v>
      </c>
      <c r="H972" s="2" t="n">
        <v>6</v>
      </c>
      <c r="I972" s="2" t="n">
        <v>93</v>
      </c>
      <c r="J972" s="2" t="n">
        <v>0</v>
      </c>
      <c r="K972" s="2" t="n">
        <v>17653</v>
      </c>
      <c r="L972" s="2" t="n">
        <v>12638</v>
      </c>
      <c r="M972" s="2" t="n">
        <v>744</v>
      </c>
      <c r="N972" s="2" t="n">
        <v>56</v>
      </c>
      <c r="O972" s="2" t="n">
        <v>62</v>
      </c>
      <c r="P972" s="2" t="n">
        <v>68</v>
      </c>
      <c r="Q972" s="2" t="n">
        <v>65</v>
      </c>
      <c r="R972" s="2" t="n">
        <v>5</v>
      </c>
      <c r="S972" s="2" t="n">
        <v>2</v>
      </c>
      <c r="T972" s="2" t="s">
        <v>27</v>
      </c>
      <c r="U972" s="4" t="n">
        <f aca="false">(M972+N972+O972+P972)/L972</f>
        <v>0.0735875929735718</v>
      </c>
      <c r="V972" s="2" t="str">
        <f aca="false">IF(S972&lt;=5,"Late night (0-5)",IF(S972&lt;=11,"Morning (6-11)",IF(S972&lt;=17,"Afternoon (12-17)","Evening (18-23)")))</f>
        <v>Late night (0-5)</v>
      </c>
    </row>
    <row r="973" customFormat="false" ht="15" hidden="false" customHeight="false" outlineLevel="0" collapsed="false">
      <c r="A973" s="2" t="s">
        <v>1786</v>
      </c>
      <c r="B973" s="2" t="s">
        <v>40</v>
      </c>
      <c r="C973" s="2" t="s">
        <v>41</v>
      </c>
      <c r="D973" s="3" t="n">
        <v>45981</v>
      </c>
      <c r="E973" s="2" t="s">
        <v>1787</v>
      </c>
      <c r="F973" s="2" t="s">
        <v>32</v>
      </c>
      <c r="G973" s="2" t="n">
        <v>23051</v>
      </c>
      <c r="H973" s="2" t="n">
        <v>7</v>
      </c>
      <c r="I973" s="2" t="n">
        <v>16</v>
      </c>
      <c r="J973" s="2" t="n">
        <v>0</v>
      </c>
      <c r="K973" s="2" t="n">
        <v>18646</v>
      </c>
      <c r="L973" s="2" t="n">
        <v>15029</v>
      </c>
      <c r="M973" s="2" t="n">
        <v>1610</v>
      </c>
      <c r="N973" s="2" t="n">
        <v>93</v>
      </c>
      <c r="O973" s="2" t="n">
        <v>469</v>
      </c>
      <c r="P973" s="2" t="n">
        <v>97</v>
      </c>
      <c r="Q973" s="2" t="n">
        <v>140</v>
      </c>
      <c r="R973" s="2" t="n">
        <v>30</v>
      </c>
      <c r="S973" s="2" t="n">
        <v>23</v>
      </c>
      <c r="T973" s="2" t="s">
        <v>79</v>
      </c>
      <c r="U973" s="4" t="n">
        <f aca="false">(M973+N973+O973+P973)/L973</f>
        <v>0.150974782087963</v>
      </c>
      <c r="V973" s="2" t="str">
        <f aca="false">IF(S973&lt;=5,"Late night (0-5)",IF(S973&lt;=11,"Morning (6-11)",IF(S973&lt;=17,"Afternoon (12-17)","Evening (18-23)")))</f>
        <v>Evening (18-23)</v>
      </c>
    </row>
    <row r="974" customFormat="false" ht="15" hidden="false" customHeight="false" outlineLevel="0" collapsed="false">
      <c r="A974" s="2" t="s">
        <v>1788</v>
      </c>
      <c r="B974" s="2" t="s">
        <v>74</v>
      </c>
      <c r="C974" s="2" t="s">
        <v>30</v>
      </c>
      <c r="D974" s="3" t="n">
        <v>45989</v>
      </c>
      <c r="E974" s="2" t="s">
        <v>1789</v>
      </c>
      <c r="F974" s="2" t="s">
        <v>50</v>
      </c>
      <c r="G974" s="2" t="n">
        <v>20432</v>
      </c>
      <c r="H974" s="2" t="n">
        <v>5</v>
      </c>
      <c r="I974" s="2" t="n">
        <v>198</v>
      </c>
      <c r="J974" s="2" t="n">
        <v>0</v>
      </c>
      <c r="K974" s="2" t="n">
        <v>20769</v>
      </c>
      <c r="L974" s="2" t="n">
        <v>18750</v>
      </c>
      <c r="M974" s="2" t="n">
        <v>851</v>
      </c>
      <c r="N974" s="2" t="n">
        <v>39</v>
      </c>
      <c r="O974" s="2" t="n">
        <v>58</v>
      </c>
      <c r="P974" s="2" t="n">
        <v>151</v>
      </c>
      <c r="Q974" s="2" t="n">
        <v>402</v>
      </c>
      <c r="R974" s="2" t="n">
        <v>86</v>
      </c>
      <c r="S974" s="2" t="n">
        <v>23</v>
      </c>
      <c r="T974" s="2" t="s">
        <v>96</v>
      </c>
      <c r="U974" s="4" t="n">
        <f aca="false">(M974+N974+O974+P974)/L974</f>
        <v>0.0586133333333333</v>
      </c>
      <c r="V974" s="2" t="str">
        <f aca="false">IF(S974&lt;=5,"Late night (0-5)",IF(S974&lt;=11,"Morning (6-11)",IF(S974&lt;=17,"Afternoon (12-17)","Evening (18-23)")))</f>
        <v>Evening (18-23)</v>
      </c>
    </row>
    <row r="975" customFormat="false" ht="15" hidden="false" customHeight="false" outlineLevel="0" collapsed="false">
      <c r="A975" s="2" t="s">
        <v>1790</v>
      </c>
      <c r="B975" s="2" t="s">
        <v>64</v>
      </c>
      <c r="C975" s="2" t="s">
        <v>36</v>
      </c>
      <c r="D975" s="3" t="n">
        <v>45898</v>
      </c>
      <c r="E975" s="2" t="s">
        <v>1791</v>
      </c>
      <c r="F975" s="2" t="s">
        <v>32</v>
      </c>
      <c r="G975" s="2" t="n">
        <v>43781</v>
      </c>
      <c r="H975" s="2" t="n">
        <v>14</v>
      </c>
      <c r="I975" s="2" t="n">
        <v>208</v>
      </c>
      <c r="J975" s="2" t="n">
        <v>0</v>
      </c>
      <c r="K975" s="2" t="n">
        <v>77852</v>
      </c>
      <c r="L975" s="2" t="n">
        <v>67618</v>
      </c>
      <c r="M975" s="2" t="n">
        <v>6980</v>
      </c>
      <c r="N975" s="2" t="n">
        <v>201</v>
      </c>
      <c r="O975" s="2" t="n">
        <v>2057</v>
      </c>
      <c r="P975" s="2" t="n">
        <v>1794</v>
      </c>
      <c r="Q975" s="2" t="n">
        <v>542</v>
      </c>
      <c r="R975" s="2" t="n">
        <v>40</v>
      </c>
      <c r="S975" s="2" t="n">
        <v>21</v>
      </c>
      <c r="T975" s="2" t="s">
        <v>96</v>
      </c>
      <c r="U975" s="4" t="n">
        <f aca="false">(M975+N975+O975+P975)/L975</f>
        <v>0.163151823478955</v>
      </c>
      <c r="V975" s="2" t="str">
        <f aca="false">IF(S975&lt;=5,"Late night (0-5)",IF(S975&lt;=11,"Morning (6-11)",IF(S975&lt;=17,"Afternoon (12-17)","Evening (18-23)")))</f>
        <v>Evening (18-23)</v>
      </c>
    </row>
    <row r="976" customFormat="false" ht="15" hidden="false" customHeight="false" outlineLevel="0" collapsed="false">
      <c r="A976" s="2" t="s">
        <v>1792</v>
      </c>
      <c r="B976" s="2" t="s">
        <v>60</v>
      </c>
      <c r="C976" s="2" t="s">
        <v>41</v>
      </c>
      <c r="D976" s="3" t="n">
        <v>45845</v>
      </c>
      <c r="E976" s="2" t="s">
        <v>1793</v>
      </c>
      <c r="F976" s="2" t="s">
        <v>26</v>
      </c>
      <c r="G976" s="2" t="n">
        <v>7512</v>
      </c>
      <c r="H976" s="2" t="n">
        <v>4</v>
      </c>
      <c r="I976" s="2" t="n">
        <v>92</v>
      </c>
      <c r="J976" s="2" t="n">
        <v>1</v>
      </c>
      <c r="K976" s="2" t="n">
        <v>6392</v>
      </c>
      <c r="L976" s="2" t="n">
        <v>3903</v>
      </c>
      <c r="M976" s="2" t="n">
        <v>293</v>
      </c>
      <c r="N976" s="2" t="n">
        <v>13</v>
      </c>
      <c r="O976" s="2" t="n">
        <v>22</v>
      </c>
      <c r="P976" s="2" t="n">
        <v>34</v>
      </c>
      <c r="Q976" s="2" t="n">
        <v>19</v>
      </c>
      <c r="R976" s="2" t="n">
        <v>1</v>
      </c>
      <c r="S976" s="2" t="n">
        <v>3</v>
      </c>
      <c r="T976" s="2" t="s">
        <v>33</v>
      </c>
      <c r="U976" s="4" t="n">
        <f aca="false">(M976+N976+O976+P976)/L976</f>
        <v>0.0927491673071996</v>
      </c>
      <c r="V976" s="2" t="str">
        <f aca="false">IF(S976&lt;=5,"Late night (0-5)",IF(S976&lt;=11,"Morning (6-11)",IF(S976&lt;=17,"Afternoon (12-17)","Evening (18-23)")))</f>
        <v>Late night (0-5)</v>
      </c>
    </row>
    <row r="977" customFormat="false" ht="15" hidden="false" customHeight="false" outlineLevel="0" collapsed="false">
      <c r="A977" s="2" t="s">
        <v>1794</v>
      </c>
      <c r="B977" s="2" t="s">
        <v>111</v>
      </c>
      <c r="C977" s="2" t="s">
        <v>48</v>
      </c>
      <c r="D977" s="3" t="n">
        <v>45816</v>
      </c>
      <c r="E977" s="2" t="s">
        <v>663</v>
      </c>
      <c r="F977" s="2" t="s">
        <v>38</v>
      </c>
      <c r="G977" s="2" t="n">
        <v>16824</v>
      </c>
      <c r="H977" s="2" t="n">
        <v>9</v>
      </c>
      <c r="I977" s="2" t="n">
        <v>308</v>
      </c>
      <c r="J977" s="2" t="n">
        <v>1</v>
      </c>
      <c r="K977" s="2" t="n">
        <v>17598</v>
      </c>
      <c r="L977" s="2" t="n">
        <v>14533</v>
      </c>
      <c r="M977" s="2" t="n">
        <v>1128</v>
      </c>
      <c r="N977" s="2" t="n">
        <v>60</v>
      </c>
      <c r="O977" s="2" t="n">
        <v>125</v>
      </c>
      <c r="P977" s="2" t="n">
        <v>134</v>
      </c>
      <c r="Q977" s="2" t="n">
        <v>430</v>
      </c>
      <c r="R977" s="2" t="n">
        <v>99</v>
      </c>
      <c r="S977" s="2" t="n">
        <v>7</v>
      </c>
      <c r="T977" s="2" t="s">
        <v>27</v>
      </c>
      <c r="U977" s="4" t="n">
        <f aca="false">(M977+N977+O977+P977)/L977</f>
        <v>0.0995665038188949</v>
      </c>
      <c r="V977" s="2" t="str">
        <f aca="false">IF(S977&lt;=5,"Late night (0-5)",IF(S977&lt;=11,"Morning (6-11)",IF(S977&lt;=17,"Afternoon (12-17)","Evening (18-23)")))</f>
        <v>Morning (6-11)</v>
      </c>
    </row>
    <row r="978" customFormat="false" ht="15" hidden="false" customHeight="false" outlineLevel="0" collapsed="false">
      <c r="A978" s="2" t="s">
        <v>1795</v>
      </c>
      <c r="B978" s="2" t="s">
        <v>74</v>
      </c>
      <c r="C978" s="2" t="s">
        <v>30</v>
      </c>
      <c r="D978" s="3" t="n">
        <v>45663</v>
      </c>
      <c r="E978" s="2" t="s">
        <v>1621</v>
      </c>
      <c r="F978" s="2" t="s">
        <v>38</v>
      </c>
      <c r="G978" s="2" t="n">
        <v>20432</v>
      </c>
      <c r="H978" s="2" t="n">
        <v>11</v>
      </c>
      <c r="I978" s="2" t="n">
        <v>290</v>
      </c>
      <c r="J978" s="2" t="n">
        <v>1</v>
      </c>
      <c r="K978" s="2" t="n">
        <v>43675</v>
      </c>
      <c r="L978" s="2" t="n">
        <v>30859</v>
      </c>
      <c r="M978" s="2" t="n">
        <v>1190</v>
      </c>
      <c r="N978" s="2" t="n">
        <v>93</v>
      </c>
      <c r="O978" s="2" t="n">
        <v>38</v>
      </c>
      <c r="P978" s="2" t="n">
        <v>62</v>
      </c>
      <c r="Q978" s="2" t="n">
        <v>442</v>
      </c>
      <c r="R978" s="2" t="n">
        <v>90</v>
      </c>
      <c r="S978" s="2" t="n">
        <v>17</v>
      </c>
      <c r="T978" s="2" t="s">
        <v>33</v>
      </c>
      <c r="U978" s="4" t="n">
        <f aca="false">(M978+N978+O978+P978)/L978</f>
        <v>0.0448167471402184</v>
      </c>
      <c r="V978" s="2" t="str">
        <f aca="false">IF(S978&lt;=5,"Late night (0-5)",IF(S978&lt;=11,"Morning (6-11)",IF(S978&lt;=17,"Afternoon (12-17)","Evening (18-23)")))</f>
        <v>Afternoon (12-17)</v>
      </c>
    </row>
    <row r="979" customFormat="false" ht="15" hidden="false" customHeight="false" outlineLevel="0" collapsed="false">
      <c r="A979" s="2" t="s">
        <v>1796</v>
      </c>
      <c r="B979" s="2" t="s">
        <v>129</v>
      </c>
      <c r="C979" s="2" t="s">
        <v>54</v>
      </c>
      <c r="D979" s="3" t="n">
        <v>45861</v>
      </c>
      <c r="E979" s="2" t="s">
        <v>1797</v>
      </c>
      <c r="F979" s="2" t="s">
        <v>32</v>
      </c>
      <c r="G979" s="2" t="n">
        <v>10312</v>
      </c>
      <c r="H979" s="2" t="n">
        <v>14</v>
      </c>
      <c r="I979" s="2" t="n">
        <v>194</v>
      </c>
      <c r="J979" s="2" t="n">
        <v>0</v>
      </c>
      <c r="K979" s="2" t="n">
        <v>22803</v>
      </c>
      <c r="L979" s="2" t="n">
        <v>13022</v>
      </c>
      <c r="M979" s="2" t="n">
        <v>1170</v>
      </c>
      <c r="N979" s="2" t="n">
        <v>44</v>
      </c>
      <c r="O979" s="2" t="n">
        <v>299</v>
      </c>
      <c r="P979" s="2" t="n">
        <v>210</v>
      </c>
      <c r="Q979" s="2" t="n">
        <v>153</v>
      </c>
      <c r="R979" s="2" t="n">
        <v>22</v>
      </c>
      <c r="S979" s="2" t="n">
        <v>6</v>
      </c>
      <c r="T979" s="2" t="s">
        <v>66</v>
      </c>
      <c r="U979" s="4" t="n">
        <f aca="false">(M979+N979+O979+P979)/L979</f>
        <v>0.132314544616802</v>
      </c>
      <c r="V979" s="2" t="str">
        <f aca="false">IF(S979&lt;=5,"Late night (0-5)",IF(S979&lt;=11,"Morning (6-11)",IF(S979&lt;=17,"Afternoon (12-17)","Evening (18-23)")))</f>
        <v>Morning (6-11)</v>
      </c>
    </row>
    <row r="980" customFormat="false" ht="15" hidden="false" customHeight="false" outlineLevel="0" collapsed="false">
      <c r="A980" s="2" t="s">
        <v>1798</v>
      </c>
      <c r="B980" s="2" t="s">
        <v>154</v>
      </c>
      <c r="C980" s="2" t="s">
        <v>41</v>
      </c>
      <c r="D980" s="3" t="n">
        <v>45766</v>
      </c>
      <c r="E980" s="2" t="s">
        <v>1799</v>
      </c>
      <c r="F980" s="2" t="s">
        <v>50</v>
      </c>
      <c r="G980" s="2" t="n">
        <v>33644</v>
      </c>
      <c r="H980" s="2" t="n">
        <v>12</v>
      </c>
      <c r="I980" s="2" t="n">
        <v>92</v>
      </c>
      <c r="J980" s="2" t="n">
        <v>1</v>
      </c>
      <c r="K980" s="2" t="n">
        <v>46667</v>
      </c>
      <c r="L980" s="2" t="n">
        <v>26255</v>
      </c>
      <c r="M980" s="2" t="n">
        <v>1688</v>
      </c>
      <c r="N980" s="2" t="n">
        <v>60</v>
      </c>
      <c r="O980" s="2" t="n">
        <v>273</v>
      </c>
      <c r="P980" s="2" t="n">
        <v>453</v>
      </c>
      <c r="Q980" s="2" t="n">
        <v>733</v>
      </c>
      <c r="R980" s="2" t="n">
        <v>207</v>
      </c>
      <c r="S980" s="2" t="n">
        <v>16</v>
      </c>
      <c r="T980" s="2" t="s">
        <v>62</v>
      </c>
      <c r="U980" s="4" t="n">
        <f aca="false">(M980+N980+O980+P980)/L980</f>
        <v>0.094229670538945</v>
      </c>
      <c r="V980" s="2" t="str">
        <f aca="false">IF(S980&lt;=5,"Late night (0-5)",IF(S980&lt;=11,"Morning (6-11)",IF(S980&lt;=17,"Afternoon (12-17)","Evening (18-23)")))</f>
        <v>Afternoon (12-17)</v>
      </c>
    </row>
    <row r="981" customFormat="false" ht="15" hidden="false" customHeight="false" outlineLevel="0" collapsed="false">
      <c r="A981" s="2" t="s">
        <v>1800</v>
      </c>
      <c r="B981" s="2" t="s">
        <v>243</v>
      </c>
      <c r="C981" s="2" t="s">
        <v>91</v>
      </c>
      <c r="D981" s="3" t="n">
        <v>45958</v>
      </c>
      <c r="E981" s="2" t="s">
        <v>1684</v>
      </c>
      <c r="F981" s="2" t="s">
        <v>32</v>
      </c>
      <c r="G981" s="2" t="n">
        <v>42046</v>
      </c>
      <c r="H981" s="2" t="n">
        <v>9</v>
      </c>
      <c r="I981" s="2" t="n">
        <v>243</v>
      </c>
      <c r="J981" s="2" t="n">
        <v>0</v>
      </c>
      <c r="K981" s="2" t="n">
        <v>44739</v>
      </c>
      <c r="L981" s="2" t="n">
        <v>25323</v>
      </c>
      <c r="M981" s="2" t="n">
        <v>1072</v>
      </c>
      <c r="N981" s="2" t="n">
        <v>58</v>
      </c>
      <c r="O981" s="2" t="n">
        <v>245</v>
      </c>
      <c r="P981" s="2" t="n">
        <v>87</v>
      </c>
      <c r="Q981" s="2" t="n">
        <v>529</v>
      </c>
      <c r="R981" s="2" t="n">
        <v>140</v>
      </c>
      <c r="S981" s="2" t="n">
        <v>5</v>
      </c>
      <c r="T981" s="2" t="s">
        <v>51</v>
      </c>
      <c r="U981" s="4" t="n">
        <f aca="false">(M981+N981+O981+P981)/L981</f>
        <v>0.0577340757414208</v>
      </c>
      <c r="V981" s="2" t="str">
        <f aca="false">IF(S981&lt;=5,"Late night (0-5)",IF(S981&lt;=11,"Morning (6-11)",IF(S981&lt;=17,"Afternoon (12-17)","Evening (18-23)")))</f>
        <v>Late night (0-5)</v>
      </c>
    </row>
    <row r="982" customFormat="false" ht="15" hidden="false" customHeight="false" outlineLevel="0" collapsed="false">
      <c r="A982" s="2" t="s">
        <v>1801</v>
      </c>
      <c r="B982" s="2" t="s">
        <v>426</v>
      </c>
      <c r="C982" s="2" t="s">
        <v>30</v>
      </c>
      <c r="D982" s="3" t="n">
        <v>46020</v>
      </c>
      <c r="E982" s="2" t="s">
        <v>1802</v>
      </c>
      <c r="F982" s="2" t="s">
        <v>32</v>
      </c>
      <c r="G982" s="2" t="n">
        <v>40649</v>
      </c>
      <c r="H982" s="2" t="n">
        <v>4</v>
      </c>
      <c r="I982" s="2" t="n">
        <v>169</v>
      </c>
      <c r="J982" s="2" t="n">
        <v>1</v>
      </c>
      <c r="K982" s="2" t="n">
        <v>84681</v>
      </c>
      <c r="L982" s="2" t="n">
        <v>57906</v>
      </c>
      <c r="M982" s="2" t="n">
        <v>5532</v>
      </c>
      <c r="N982" s="2" t="n">
        <v>436</v>
      </c>
      <c r="O982" s="2" t="n">
        <v>782</v>
      </c>
      <c r="P982" s="2" t="n">
        <v>1537</v>
      </c>
      <c r="Q982" s="2" t="n">
        <v>1414</v>
      </c>
      <c r="R982" s="2" t="n">
        <v>123</v>
      </c>
      <c r="S982" s="2" t="n">
        <v>0</v>
      </c>
      <c r="T982" s="2" t="s">
        <v>33</v>
      </c>
      <c r="U982" s="4" t="n">
        <f aca="false">(M982+N982+O982+P982)/L982</f>
        <v>0.143111249266052</v>
      </c>
      <c r="V982" s="2" t="str">
        <f aca="false">IF(S982&lt;=5,"Late night (0-5)",IF(S982&lt;=11,"Morning (6-11)",IF(S982&lt;=17,"Afternoon (12-17)","Evening (18-23)")))</f>
        <v>Late night (0-5)</v>
      </c>
    </row>
    <row r="983" customFormat="false" ht="15" hidden="false" customHeight="false" outlineLevel="0" collapsed="false">
      <c r="A983" s="2" t="s">
        <v>1803</v>
      </c>
      <c r="B983" s="2" t="s">
        <v>53</v>
      </c>
      <c r="C983" s="2" t="s">
        <v>54</v>
      </c>
      <c r="D983" s="3" t="n">
        <v>45890</v>
      </c>
      <c r="E983" s="2" t="s">
        <v>124</v>
      </c>
      <c r="F983" s="2" t="s">
        <v>32</v>
      </c>
      <c r="G983" s="2" t="n">
        <v>11318</v>
      </c>
      <c r="H983" s="2" t="n">
        <v>16</v>
      </c>
      <c r="I983" s="2" t="n">
        <v>189</v>
      </c>
      <c r="J983" s="2" t="n">
        <v>1</v>
      </c>
      <c r="K983" s="2" t="n">
        <v>47785</v>
      </c>
      <c r="L983" s="2" t="n">
        <v>30955</v>
      </c>
      <c r="M983" s="2" t="n">
        <v>2387</v>
      </c>
      <c r="N983" s="2" t="n">
        <v>145</v>
      </c>
      <c r="O983" s="2" t="n">
        <v>215</v>
      </c>
      <c r="P983" s="2" t="n">
        <v>552</v>
      </c>
      <c r="Q983" s="2" t="n">
        <v>879</v>
      </c>
      <c r="R983" s="2" t="n">
        <v>176</v>
      </c>
      <c r="S983" s="2" t="n">
        <v>12</v>
      </c>
      <c r="T983" s="2" t="s">
        <v>79</v>
      </c>
      <c r="U983" s="4" t="n">
        <f aca="false">(M983+N983+O983+P983)/L983</f>
        <v>0.106574059118075</v>
      </c>
      <c r="V983" s="2" t="str">
        <f aca="false">IF(S983&lt;=5,"Late night (0-5)",IF(S983&lt;=11,"Morning (6-11)",IF(S983&lt;=17,"Afternoon (12-17)","Evening (18-23)")))</f>
        <v>Afternoon (12-17)</v>
      </c>
    </row>
    <row r="984" customFormat="false" ht="15" hidden="false" customHeight="false" outlineLevel="0" collapsed="false">
      <c r="A984" s="2" t="s">
        <v>1804</v>
      </c>
      <c r="B984" s="2" t="s">
        <v>87</v>
      </c>
      <c r="C984" s="2" t="s">
        <v>36</v>
      </c>
      <c r="D984" s="3" t="n">
        <v>45665</v>
      </c>
      <c r="E984" s="2" t="s">
        <v>913</v>
      </c>
      <c r="F984" s="2" t="s">
        <v>50</v>
      </c>
      <c r="G984" s="2" t="n">
        <v>25592</v>
      </c>
      <c r="H984" s="2" t="n">
        <v>11</v>
      </c>
      <c r="I984" s="2" t="n">
        <v>187</v>
      </c>
      <c r="J984" s="2" t="n">
        <v>1</v>
      </c>
      <c r="K984" s="2" t="n">
        <v>7788</v>
      </c>
      <c r="L984" s="2" t="n">
        <v>6006</v>
      </c>
      <c r="M984" s="2" t="n">
        <v>472</v>
      </c>
      <c r="N984" s="2" t="n">
        <v>10</v>
      </c>
      <c r="O984" s="2" t="n">
        <v>25</v>
      </c>
      <c r="P984" s="2" t="n">
        <v>124</v>
      </c>
      <c r="Q984" s="2" t="n">
        <v>179</v>
      </c>
      <c r="R984" s="2" t="n">
        <v>11</v>
      </c>
      <c r="S984" s="2" t="n">
        <v>5</v>
      </c>
      <c r="T984" s="2" t="s">
        <v>66</v>
      </c>
      <c r="U984" s="4" t="n">
        <f aca="false">(M984+N984+O984+P984)/L984</f>
        <v>0.105061605061605</v>
      </c>
      <c r="V984" s="2" t="str">
        <f aca="false">IF(S984&lt;=5,"Late night (0-5)",IF(S984&lt;=11,"Morning (6-11)",IF(S984&lt;=17,"Afternoon (12-17)","Evening (18-23)")))</f>
        <v>Late night (0-5)</v>
      </c>
    </row>
    <row r="985" customFormat="false" ht="15" hidden="false" customHeight="false" outlineLevel="0" collapsed="false">
      <c r="A985" s="2" t="s">
        <v>1805</v>
      </c>
      <c r="B985" s="2" t="s">
        <v>164</v>
      </c>
      <c r="C985" s="2" t="s">
        <v>36</v>
      </c>
      <c r="D985" s="3" t="n">
        <v>45843</v>
      </c>
      <c r="E985" s="2" t="s">
        <v>1806</v>
      </c>
      <c r="F985" s="2" t="s">
        <v>38</v>
      </c>
      <c r="G985" s="2" t="n">
        <v>44230</v>
      </c>
      <c r="H985" s="2" t="n">
        <v>3</v>
      </c>
      <c r="I985" s="2" t="n">
        <v>228</v>
      </c>
      <c r="J985" s="2" t="n">
        <v>0</v>
      </c>
      <c r="K985" s="2" t="n">
        <v>15890</v>
      </c>
      <c r="L985" s="2" t="n">
        <v>11472</v>
      </c>
      <c r="M985" s="2" t="n">
        <v>574</v>
      </c>
      <c r="N985" s="2" t="n">
        <v>13</v>
      </c>
      <c r="O985" s="2" t="n">
        <v>83</v>
      </c>
      <c r="P985" s="2" t="n">
        <v>89</v>
      </c>
      <c r="Q985" s="2" t="n">
        <v>185</v>
      </c>
      <c r="R985" s="2" t="n">
        <v>50</v>
      </c>
      <c r="S985" s="2" t="n">
        <v>11</v>
      </c>
      <c r="T985" s="2" t="s">
        <v>62</v>
      </c>
      <c r="U985" s="4" t="n">
        <f aca="false">(M985+N985+O985+P985)/L985</f>
        <v>0.0661610878661088</v>
      </c>
      <c r="V985" s="2" t="str">
        <f aca="false">IF(S985&lt;=5,"Late night (0-5)",IF(S985&lt;=11,"Morning (6-11)",IF(S985&lt;=17,"Afternoon (12-17)","Evening (18-23)")))</f>
        <v>Morning (6-11)</v>
      </c>
    </row>
    <row r="986" customFormat="false" ht="15" hidden="false" customHeight="false" outlineLevel="0" collapsed="false">
      <c r="A986" s="2" t="s">
        <v>1807</v>
      </c>
      <c r="B986" s="2" t="s">
        <v>44</v>
      </c>
      <c r="C986" s="2" t="s">
        <v>36</v>
      </c>
      <c r="D986" s="3" t="n">
        <v>45904</v>
      </c>
      <c r="E986" s="2" t="s">
        <v>1808</v>
      </c>
      <c r="F986" s="2" t="s">
        <v>38</v>
      </c>
      <c r="G986" s="2" t="n">
        <v>6265</v>
      </c>
      <c r="H986" s="2" t="n">
        <v>2</v>
      </c>
      <c r="I986" s="2" t="n">
        <v>99</v>
      </c>
      <c r="J986" s="2" t="n">
        <v>0</v>
      </c>
      <c r="K986" s="2" t="n">
        <v>829</v>
      </c>
      <c r="L986" s="2" t="n">
        <v>727</v>
      </c>
      <c r="M986" s="2" t="n">
        <v>51</v>
      </c>
      <c r="N986" s="2" t="n">
        <v>1</v>
      </c>
      <c r="O986" s="2" t="n">
        <v>2</v>
      </c>
      <c r="P986" s="2" t="n">
        <v>10</v>
      </c>
      <c r="Q986" s="2" t="n">
        <v>16</v>
      </c>
      <c r="R986" s="2" t="n">
        <v>2</v>
      </c>
      <c r="S986" s="2" t="n">
        <v>11</v>
      </c>
      <c r="T986" s="2" t="s">
        <v>79</v>
      </c>
      <c r="U986" s="4" t="n">
        <f aca="false">(M986+N986+O986+P986)/L986</f>
        <v>0.0880330123796424</v>
      </c>
      <c r="V986" s="2" t="str">
        <f aca="false">IF(S986&lt;=5,"Late night (0-5)",IF(S986&lt;=11,"Morning (6-11)",IF(S986&lt;=17,"Afternoon (12-17)","Evening (18-23)")))</f>
        <v>Morning (6-11)</v>
      </c>
    </row>
    <row r="987" customFormat="false" ht="15" hidden="false" customHeight="false" outlineLevel="0" collapsed="false">
      <c r="A987" s="2" t="s">
        <v>1809</v>
      </c>
      <c r="B987" s="2" t="s">
        <v>243</v>
      </c>
      <c r="C987" s="2" t="s">
        <v>91</v>
      </c>
      <c r="D987" s="3" t="n">
        <v>45710</v>
      </c>
      <c r="E987" s="2" t="s">
        <v>1810</v>
      </c>
      <c r="F987" s="2" t="s">
        <v>32</v>
      </c>
      <c r="G987" s="2" t="n">
        <v>42046</v>
      </c>
      <c r="H987" s="2" t="n">
        <v>13</v>
      </c>
      <c r="I987" s="2" t="n">
        <v>152</v>
      </c>
      <c r="J987" s="2" t="n">
        <v>0</v>
      </c>
      <c r="K987" s="2" t="n">
        <v>57436</v>
      </c>
      <c r="L987" s="2" t="n">
        <v>42169</v>
      </c>
      <c r="M987" s="2" t="n">
        <v>3547</v>
      </c>
      <c r="N987" s="2" t="n">
        <v>243</v>
      </c>
      <c r="O987" s="2" t="n">
        <v>956</v>
      </c>
      <c r="P987" s="2" t="n">
        <v>662</v>
      </c>
      <c r="Q987" s="2" t="n">
        <v>1075</v>
      </c>
      <c r="R987" s="2" t="n">
        <v>191</v>
      </c>
      <c r="S987" s="2" t="n">
        <v>12</v>
      </c>
      <c r="T987" s="2" t="s">
        <v>62</v>
      </c>
      <c r="U987" s="4" t="n">
        <f aca="false">(M987+N987+O987+P987)/L987</f>
        <v>0.128245867817591</v>
      </c>
      <c r="V987" s="2" t="str">
        <f aca="false">IF(S987&lt;=5,"Late night (0-5)",IF(S987&lt;=11,"Morning (6-11)",IF(S987&lt;=17,"Afternoon (12-17)","Evening (18-23)")))</f>
        <v>Afternoon (12-17)</v>
      </c>
    </row>
    <row r="988" customFormat="false" ht="15" hidden="false" customHeight="false" outlineLevel="0" collapsed="false">
      <c r="A988" s="2" t="s">
        <v>1811</v>
      </c>
      <c r="B988" s="2" t="s">
        <v>40</v>
      </c>
      <c r="C988" s="2" t="s">
        <v>41</v>
      </c>
      <c r="D988" s="3" t="n">
        <v>45921</v>
      </c>
      <c r="E988" s="2" t="s">
        <v>903</v>
      </c>
      <c r="F988" s="2" t="s">
        <v>26</v>
      </c>
      <c r="G988" s="2" t="n">
        <v>23051</v>
      </c>
      <c r="H988" s="2" t="n">
        <v>8</v>
      </c>
      <c r="I988" s="2" t="n">
        <v>279</v>
      </c>
      <c r="J988" s="2" t="n">
        <v>0</v>
      </c>
      <c r="K988" s="2" t="n">
        <v>37169</v>
      </c>
      <c r="L988" s="2" t="n">
        <v>24159</v>
      </c>
      <c r="M988" s="2" t="n">
        <v>1979</v>
      </c>
      <c r="N988" s="2" t="n">
        <v>134</v>
      </c>
      <c r="O988" s="2" t="n">
        <v>101</v>
      </c>
      <c r="P988" s="2" t="n">
        <v>440</v>
      </c>
      <c r="Q988" s="2" t="n">
        <v>433</v>
      </c>
      <c r="R988" s="2" t="n">
        <v>49</v>
      </c>
      <c r="S988" s="2" t="n">
        <v>9</v>
      </c>
      <c r="T988" s="2" t="s">
        <v>27</v>
      </c>
      <c r="U988" s="4" t="n">
        <f aca="false">(M988+N988+O988+P988)/L988</f>
        <v>0.109855540378327</v>
      </c>
      <c r="V988" s="2" t="str">
        <f aca="false">IF(S988&lt;=5,"Late night (0-5)",IF(S988&lt;=11,"Morning (6-11)",IF(S988&lt;=17,"Afternoon (12-17)","Evening (18-23)")))</f>
        <v>Morning (6-11)</v>
      </c>
    </row>
    <row r="989" customFormat="false" ht="15" hidden="false" customHeight="false" outlineLevel="0" collapsed="false">
      <c r="A989" s="2" t="s">
        <v>1812</v>
      </c>
      <c r="B989" s="2" t="s">
        <v>123</v>
      </c>
      <c r="C989" s="2" t="s">
        <v>24</v>
      </c>
      <c r="D989" s="3" t="n">
        <v>45729</v>
      </c>
      <c r="E989" s="2" t="s">
        <v>1215</v>
      </c>
      <c r="F989" s="2" t="s">
        <v>38</v>
      </c>
      <c r="G989" s="2" t="n">
        <v>41391</v>
      </c>
      <c r="H989" s="2" t="n">
        <v>27</v>
      </c>
      <c r="I989" s="2" t="n">
        <v>301</v>
      </c>
      <c r="J989" s="2" t="n">
        <v>1</v>
      </c>
      <c r="K989" s="2" t="n">
        <v>38714</v>
      </c>
      <c r="L989" s="2" t="n">
        <v>21832</v>
      </c>
      <c r="M989" s="2" t="n">
        <v>766</v>
      </c>
      <c r="N989" s="2" t="n">
        <v>53</v>
      </c>
      <c r="O989" s="2" t="n">
        <v>144</v>
      </c>
      <c r="P989" s="2" t="n">
        <v>81</v>
      </c>
      <c r="Q989" s="2" t="n">
        <v>395</v>
      </c>
      <c r="R989" s="2" t="n">
        <v>111</v>
      </c>
      <c r="S989" s="2" t="n">
        <v>16</v>
      </c>
      <c r="T989" s="2" t="s">
        <v>79</v>
      </c>
      <c r="U989" s="4" t="n">
        <f aca="false">(M989+N989+O989+P989)/L989</f>
        <v>0.0478197141810187</v>
      </c>
      <c r="V989" s="2" t="str">
        <f aca="false">IF(S989&lt;=5,"Late night (0-5)",IF(S989&lt;=11,"Morning (6-11)",IF(S989&lt;=17,"Afternoon (12-17)","Evening (18-23)")))</f>
        <v>Afternoon (12-17)</v>
      </c>
    </row>
    <row r="990" customFormat="false" ht="15" hidden="false" customHeight="false" outlineLevel="0" collapsed="false">
      <c r="A990" s="2" t="s">
        <v>1813</v>
      </c>
      <c r="B990" s="2" t="s">
        <v>74</v>
      </c>
      <c r="C990" s="2" t="s">
        <v>30</v>
      </c>
      <c r="D990" s="3" t="n">
        <v>45736</v>
      </c>
      <c r="E990" s="2" t="s">
        <v>1814</v>
      </c>
      <c r="F990" s="2" t="s">
        <v>26</v>
      </c>
      <c r="G990" s="2" t="n">
        <v>20432</v>
      </c>
      <c r="H990" s="2" t="n">
        <v>6</v>
      </c>
      <c r="I990" s="2" t="n">
        <v>210</v>
      </c>
      <c r="J990" s="2" t="n">
        <v>0</v>
      </c>
      <c r="K990" s="2" t="n">
        <v>7764</v>
      </c>
      <c r="L990" s="2" t="n">
        <v>5085</v>
      </c>
      <c r="M990" s="2" t="n">
        <v>195</v>
      </c>
      <c r="N990" s="2" t="n">
        <v>9</v>
      </c>
      <c r="O990" s="2" t="n">
        <v>25</v>
      </c>
      <c r="P990" s="2" t="n">
        <v>57</v>
      </c>
      <c r="Q990" s="2" t="n">
        <v>43</v>
      </c>
      <c r="R990" s="2" t="n">
        <v>3</v>
      </c>
      <c r="S990" s="2" t="n">
        <v>16</v>
      </c>
      <c r="T990" s="2" t="s">
        <v>79</v>
      </c>
      <c r="U990" s="4" t="n">
        <f aca="false">(M990+N990+O990+P990)/L990</f>
        <v>0.056243854473943</v>
      </c>
      <c r="V990" s="2" t="str">
        <f aca="false">IF(S990&lt;=5,"Late night (0-5)",IF(S990&lt;=11,"Morning (6-11)",IF(S990&lt;=17,"Afternoon (12-17)","Evening (18-23)")))</f>
        <v>Afternoon (12-17)</v>
      </c>
    </row>
    <row r="991" customFormat="false" ht="15" hidden="false" customHeight="false" outlineLevel="0" collapsed="false">
      <c r="A991" s="2" t="s">
        <v>1815</v>
      </c>
      <c r="B991" s="2" t="s">
        <v>148</v>
      </c>
      <c r="C991" s="2" t="s">
        <v>48</v>
      </c>
      <c r="D991" s="3" t="n">
        <v>45927</v>
      </c>
      <c r="E991" s="2" t="s">
        <v>1816</v>
      </c>
      <c r="F991" s="2" t="s">
        <v>26</v>
      </c>
      <c r="G991" s="2" t="n">
        <v>46311</v>
      </c>
      <c r="H991" s="2" t="n">
        <v>10</v>
      </c>
      <c r="I991" s="2" t="n">
        <v>131</v>
      </c>
      <c r="J991" s="2" t="n">
        <v>1</v>
      </c>
      <c r="K991" s="2" t="n">
        <v>71156</v>
      </c>
      <c r="L991" s="2" t="n">
        <v>44658</v>
      </c>
      <c r="M991" s="2" t="n">
        <v>2393</v>
      </c>
      <c r="N991" s="2" t="n">
        <v>79</v>
      </c>
      <c r="O991" s="2" t="n">
        <v>260</v>
      </c>
      <c r="P991" s="2" t="n">
        <v>797</v>
      </c>
      <c r="Q991" s="2" t="n">
        <v>356</v>
      </c>
      <c r="R991" s="2" t="n">
        <v>79</v>
      </c>
      <c r="S991" s="2" t="n">
        <v>4</v>
      </c>
      <c r="T991" s="2" t="s">
        <v>62</v>
      </c>
      <c r="U991" s="4" t="n">
        <f aca="false">(M991+N991+O991+P991)/L991</f>
        <v>0.0790227954677773</v>
      </c>
      <c r="V991" s="2" t="str">
        <f aca="false">IF(S991&lt;=5,"Late night (0-5)",IF(S991&lt;=11,"Morning (6-11)",IF(S991&lt;=17,"Afternoon (12-17)","Evening (18-23)")))</f>
        <v>Late night (0-5)</v>
      </c>
    </row>
    <row r="992" customFormat="false" ht="15" hidden="false" customHeight="false" outlineLevel="0" collapsed="false">
      <c r="A992" s="2" t="s">
        <v>1817</v>
      </c>
      <c r="B992" s="2" t="s">
        <v>35</v>
      </c>
      <c r="C992" s="2" t="s">
        <v>36</v>
      </c>
      <c r="D992" s="3" t="n">
        <v>45765</v>
      </c>
      <c r="E992" s="2" t="s">
        <v>743</v>
      </c>
      <c r="F992" s="2" t="s">
        <v>26</v>
      </c>
      <c r="G992" s="2" t="n">
        <v>33933</v>
      </c>
      <c r="H992" s="2" t="n">
        <v>13</v>
      </c>
      <c r="I992" s="2" t="n">
        <v>378</v>
      </c>
      <c r="J992" s="2" t="n">
        <v>0</v>
      </c>
      <c r="K992" s="2" t="n">
        <v>36257</v>
      </c>
      <c r="L992" s="2" t="n">
        <v>21624</v>
      </c>
      <c r="M992" s="2" t="n">
        <v>981</v>
      </c>
      <c r="N992" s="2" t="n">
        <v>76</v>
      </c>
      <c r="O992" s="2" t="n">
        <v>160</v>
      </c>
      <c r="P992" s="2" t="n">
        <v>400</v>
      </c>
      <c r="Q992" s="2" t="n">
        <v>561</v>
      </c>
      <c r="R992" s="2" t="n">
        <v>47</v>
      </c>
      <c r="S992" s="2" t="n">
        <v>14</v>
      </c>
      <c r="T992" s="2" t="s">
        <v>96</v>
      </c>
      <c r="U992" s="4" t="n">
        <f aca="false">(M992+N992+O992+P992)/L992</f>
        <v>0.0747780244173141</v>
      </c>
      <c r="V992" s="2" t="str">
        <f aca="false">IF(S992&lt;=5,"Late night (0-5)",IF(S992&lt;=11,"Morning (6-11)",IF(S992&lt;=17,"Afternoon (12-17)","Evening (18-23)")))</f>
        <v>Afternoon (12-17)</v>
      </c>
    </row>
    <row r="993" customFormat="false" ht="15" hidden="false" customHeight="false" outlineLevel="0" collapsed="false">
      <c r="A993" s="2" t="s">
        <v>1818</v>
      </c>
      <c r="B993" s="2" t="s">
        <v>64</v>
      </c>
      <c r="C993" s="2" t="s">
        <v>36</v>
      </c>
      <c r="D993" s="3" t="n">
        <v>45959</v>
      </c>
      <c r="E993" s="2" t="s">
        <v>1819</v>
      </c>
      <c r="F993" s="2" t="s">
        <v>38</v>
      </c>
      <c r="G993" s="2" t="n">
        <v>43781</v>
      </c>
      <c r="H993" s="2" t="n">
        <v>0</v>
      </c>
      <c r="I993" s="2" t="n">
        <v>309</v>
      </c>
      <c r="J993" s="2" t="n">
        <v>0</v>
      </c>
      <c r="K993" s="2" t="n">
        <v>31013</v>
      </c>
      <c r="L993" s="2" t="n">
        <v>24198</v>
      </c>
      <c r="M993" s="2" t="n">
        <v>731</v>
      </c>
      <c r="N993" s="2" t="n">
        <v>30</v>
      </c>
      <c r="O993" s="2" t="n">
        <v>32</v>
      </c>
      <c r="P993" s="2" t="n">
        <v>48</v>
      </c>
      <c r="Q993" s="2" t="n">
        <v>404</v>
      </c>
      <c r="R993" s="2" t="n">
        <v>115</v>
      </c>
      <c r="S993" s="2" t="n">
        <v>22</v>
      </c>
      <c r="T993" s="2" t="s">
        <v>66</v>
      </c>
      <c r="U993" s="4" t="n">
        <f aca="false">(M993+N993+O993+P993)/L993</f>
        <v>0.0347549384246632</v>
      </c>
      <c r="V993" s="2" t="str">
        <f aca="false">IF(S993&lt;=5,"Late night (0-5)",IF(S993&lt;=11,"Morning (6-11)",IF(S993&lt;=17,"Afternoon (12-17)","Evening (18-23)")))</f>
        <v>Evening (18-23)</v>
      </c>
    </row>
    <row r="994" customFormat="false" ht="15" hidden="false" customHeight="false" outlineLevel="0" collapsed="false">
      <c r="A994" s="2" t="s">
        <v>1820</v>
      </c>
      <c r="B994" s="2" t="s">
        <v>44</v>
      </c>
      <c r="C994" s="2" t="s">
        <v>36</v>
      </c>
      <c r="D994" s="3" t="n">
        <v>45682</v>
      </c>
      <c r="E994" s="2" t="s">
        <v>1821</v>
      </c>
      <c r="F994" s="2" t="s">
        <v>32</v>
      </c>
      <c r="G994" s="2" t="n">
        <v>6265</v>
      </c>
      <c r="H994" s="2" t="n">
        <v>17</v>
      </c>
      <c r="I994" s="2" t="n">
        <v>157</v>
      </c>
      <c r="J994" s="2" t="n">
        <v>1</v>
      </c>
      <c r="K994" s="2" t="n">
        <v>14007</v>
      </c>
      <c r="L994" s="2" t="n">
        <v>8382</v>
      </c>
      <c r="M994" s="2" t="n">
        <v>408</v>
      </c>
      <c r="N994" s="2" t="n">
        <v>9</v>
      </c>
      <c r="O994" s="2" t="n">
        <v>97</v>
      </c>
      <c r="P994" s="2" t="n">
        <v>56</v>
      </c>
      <c r="Q994" s="2" t="n">
        <v>123</v>
      </c>
      <c r="R994" s="2" t="n">
        <v>13</v>
      </c>
      <c r="S994" s="2" t="n">
        <v>16</v>
      </c>
      <c r="T994" s="2" t="s">
        <v>62</v>
      </c>
      <c r="U994" s="4" t="n">
        <f aca="false">(M994+N994+O994+P994)/L994</f>
        <v>0.0680028632784538</v>
      </c>
      <c r="V994" s="2" t="str">
        <f aca="false">IF(S994&lt;=5,"Late night (0-5)",IF(S994&lt;=11,"Morning (6-11)",IF(S994&lt;=17,"Afternoon (12-17)","Evening (18-23)")))</f>
        <v>Afternoon (12-17)</v>
      </c>
    </row>
    <row r="995" customFormat="false" ht="15" hidden="false" customHeight="false" outlineLevel="0" collapsed="false">
      <c r="A995" s="2" t="s">
        <v>1822</v>
      </c>
      <c r="B995" s="2" t="s">
        <v>462</v>
      </c>
      <c r="C995" s="2" t="s">
        <v>84</v>
      </c>
      <c r="D995" s="3" t="n">
        <v>45720</v>
      </c>
      <c r="E995" s="2" t="s">
        <v>1823</v>
      </c>
      <c r="F995" s="2" t="s">
        <v>26</v>
      </c>
      <c r="G995" s="2" t="n">
        <v>43510</v>
      </c>
      <c r="H995" s="2" t="n">
        <v>11</v>
      </c>
      <c r="I995" s="2" t="n">
        <v>323</v>
      </c>
      <c r="J995" s="2" t="n">
        <v>1</v>
      </c>
      <c r="K995" s="2" t="n">
        <v>42672</v>
      </c>
      <c r="L995" s="2" t="n">
        <v>36676</v>
      </c>
      <c r="M995" s="2" t="n">
        <v>2032</v>
      </c>
      <c r="N995" s="2" t="n">
        <v>154</v>
      </c>
      <c r="O995" s="2" t="n">
        <v>234</v>
      </c>
      <c r="P995" s="2" t="n">
        <v>832</v>
      </c>
      <c r="Q995" s="2" t="n">
        <v>420</v>
      </c>
      <c r="R995" s="2" t="n">
        <v>73</v>
      </c>
      <c r="S995" s="2" t="n">
        <v>6</v>
      </c>
      <c r="T995" s="2" t="s">
        <v>51</v>
      </c>
      <c r="U995" s="4" t="n">
        <f aca="false">(M995+N995+O995+P995)/L995</f>
        <v>0.0886683389682626</v>
      </c>
      <c r="V995" s="2" t="str">
        <f aca="false">IF(S995&lt;=5,"Late night (0-5)",IF(S995&lt;=11,"Morning (6-11)",IF(S995&lt;=17,"Afternoon (12-17)","Evening (18-23)")))</f>
        <v>Morning (6-11)</v>
      </c>
    </row>
    <row r="996" customFormat="false" ht="15" hidden="false" customHeight="false" outlineLevel="0" collapsed="false">
      <c r="A996" s="2" t="s">
        <v>1824</v>
      </c>
      <c r="B996" s="2" t="s">
        <v>123</v>
      </c>
      <c r="C996" s="2" t="s">
        <v>24</v>
      </c>
      <c r="D996" s="3" t="n">
        <v>45929</v>
      </c>
      <c r="E996" s="2" t="s">
        <v>109</v>
      </c>
      <c r="F996" s="2" t="s">
        <v>26</v>
      </c>
      <c r="G996" s="2" t="n">
        <v>41391</v>
      </c>
      <c r="H996" s="2" t="n">
        <v>9</v>
      </c>
      <c r="I996" s="2" t="n">
        <v>194</v>
      </c>
      <c r="J996" s="2" t="n">
        <v>0</v>
      </c>
      <c r="K996" s="2" t="n">
        <v>14330</v>
      </c>
      <c r="L996" s="2" t="n">
        <v>10937</v>
      </c>
      <c r="M996" s="2" t="n">
        <v>715</v>
      </c>
      <c r="N996" s="2" t="n">
        <v>46</v>
      </c>
      <c r="O996" s="2" t="n">
        <v>84</v>
      </c>
      <c r="P996" s="2" t="n">
        <v>245</v>
      </c>
      <c r="Q996" s="2" t="n">
        <v>73</v>
      </c>
      <c r="R996" s="2" t="n">
        <v>9</v>
      </c>
      <c r="S996" s="2" t="n">
        <v>9</v>
      </c>
      <c r="T996" s="2" t="s">
        <v>33</v>
      </c>
      <c r="U996" s="4" t="n">
        <f aca="false">(M996+N996+O996+P996)/L996</f>
        <v>0.0996616988205175</v>
      </c>
      <c r="V996" s="2" t="str">
        <f aca="false">IF(S996&lt;=5,"Late night (0-5)",IF(S996&lt;=11,"Morning (6-11)",IF(S996&lt;=17,"Afternoon (12-17)","Evening (18-23)")))</f>
        <v>Morning (6-11)</v>
      </c>
    </row>
    <row r="997" customFormat="false" ht="15" hidden="false" customHeight="false" outlineLevel="0" collapsed="false">
      <c r="A997" s="2" t="s">
        <v>1825</v>
      </c>
      <c r="B997" s="2" t="s">
        <v>53</v>
      </c>
      <c r="C997" s="2" t="s">
        <v>54</v>
      </c>
      <c r="D997" s="3" t="n">
        <v>45838</v>
      </c>
      <c r="E997" s="2" t="s">
        <v>1826</v>
      </c>
      <c r="F997" s="2" t="s">
        <v>32</v>
      </c>
      <c r="G997" s="2" t="n">
        <v>11318</v>
      </c>
      <c r="H997" s="2" t="n">
        <v>14</v>
      </c>
      <c r="I997" s="2" t="n">
        <v>166</v>
      </c>
      <c r="J997" s="2" t="n">
        <v>1</v>
      </c>
      <c r="K997" s="2" t="n">
        <v>29926</v>
      </c>
      <c r="L997" s="2" t="n">
        <v>17579</v>
      </c>
      <c r="M997" s="2" t="n">
        <v>845</v>
      </c>
      <c r="N997" s="2" t="n">
        <v>17</v>
      </c>
      <c r="O997" s="2" t="n">
        <v>110</v>
      </c>
      <c r="P997" s="2" t="n">
        <v>210</v>
      </c>
      <c r="Q997" s="2" t="n">
        <v>456</v>
      </c>
      <c r="R997" s="2" t="n">
        <v>38</v>
      </c>
      <c r="S997" s="2" t="n">
        <v>21</v>
      </c>
      <c r="T997" s="2" t="s">
        <v>33</v>
      </c>
      <c r="U997" s="4" t="n">
        <f aca="false">(M997+N997+O997+P997)/L997</f>
        <v>0.0672393196427556</v>
      </c>
      <c r="V997" s="2" t="str">
        <f aca="false">IF(S997&lt;=5,"Late night (0-5)",IF(S997&lt;=11,"Morning (6-11)",IF(S997&lt;=17,"Afternoon (12-17)","Evening (18-23)")))</f>
        <v>Evening (18-23)</v>
      </c>
    </row>
    <row r="998" customFormat="false" ht="15" hidden="false" customHeight="false" outlineLevel="0" collapsed="false">
      <c r="A998" s="2" t="s">
        <v>1827</v>
      </c>
      <c r="B998" s="2" t="s">
        <v>188</v>
      </c>
      <c r="C998" s="2" t="s">
        <v>30</v>
      </c>
      <c r="D998" s="3" t="n">
        <v>45761</v>
      </c>
      <c r="E998" s="2" t="s">
        <v>173</v>
      </c>
      <c r="F998" s="2" t="s">
        <v>32</v>
      </c>
      <c r="G998" s="2" t="n">
        <v>38900</v>
      </c>
      <c r="H998" s="2" t="n">
        <v>11</v>
      </c>
      <c r="I998" s="2" t="n">
        <v>51</v>
      </c>
      <c r="J998" s="2" t="n">
        <v>1</v>
      </c>
      <c r="K998" s="2" t="n">
        <v>50701</v>
      </c>
      <c r="L998" s="2" t="n">
        <v>34952</v>
      </c>
      <c r="M998" s="2" t="n">
        <v>2615</v>
      </c>
      <c r="N998" s="2" t="n">
        <v>182</v>
      </c>
      <c r="O998" s="2" t="n">
        <v>342</v>
      </c>
      <c r="P998" s="2" t="n">
        <v>566</v>
      </c>
      <c r="Q998" s="2" t="n">
        <v>494</v>
      </c>
      <c r="R998" s="2" t="n">
        <v>29</v>
      </c>
      <c r="S998" s="2" t="n">
        <v>0</v>
      </c>
      <c r="T998" s="2" t="s">
        <v>33</v>
      </c>
      <c r="U998" s="4" t="n">
        <f aca="false">(M998+N998+O998+P998)/L998</f>
        <v>0.106002517738613</v>
      </c>
      <c r="V998" s="2" t="str">
        <f aca="false">IF(S998&lt;=5,"Late night (0-5)",IF(S998&lt;=11,"Morning (6-11)",IF(S998&lt;=17,"Afternoon (12-17)","Evening (18-23)")))</f>
        <v>Late night (0-5)</v>
      </c>
    </row>
    <row r="999" customFormat="false" ht="15" hidden="false" customHeight="false" outlineLevel="0" collapsed="false">
      <c r="A999" s="2" t="s">
        <v>1828</v>
      </c>
      <c r="B999" s="2" t="s">
        <v>29</v>
      </c>
      <c r="C999" s="2" t="s">
        <v>30</v>
      </c>
      <c r="D999" s="3" t="n">
        <v>45922</v>
      </c>
      <c r="E999" s="2" t="s">
        <v>69</v>
      </c>
      <c r="F999" s="2" t="s">
        <v>32</v>
      </c>
      <c r="G999" s="2" t="n">
        <v>11612</v>
      </c>
      <c r="H999" s="2" t="n">
        <v>15</v>
      </c>
      <c r="I999" s="2" t="n">
        <v>193</v>
      </c>
      <c r="J999" s="2" t="n">
        <v>1</v>
      </c>
      <c r="K999" s="2" t="n">
        <v>45320</v>
      </c>
      <c r="L999" s="2" t="n">
        <v>31074</v>
      </c>
      <c r="M999" s="2" t="n">
        <v>2523</v>
      </c>
      <c r="N999" s="2" t="n">
        <v>52</v>
      </c>
      <c r="O999" s="2" t="n">
        <v>217</v>
      </c>
      <c r="P999" s="2" t="n">
        <v>316</v>
      </c>
      <c r="Q999" s="2" t="n">
        <v>383</v>
      </c>
      <c r="R999" s="2" t="n">
        <v>28</v>
      </c>
      <c r="S999" s="2" t="n">
        <v>21</v>
      </c>
      <c r="T999" s="2" t="s">
        <v>33</v>
      </c>
      <c r="U999" s="4" t="n">
        <f aca="false">(M999+N999+O999+P999)/L999</f>
        <v>0.100019308746862</v>
      </c>
      <c r="V999" s="2" t="str">
        <f aca="false">IF(S999&lt;=5,"Late night (0-5)",IF(S999&lt;=11,"Morning (6-11)",IF(S999&lt;=17,"Afternoon (12-17)","Evening (18-23)")))</f>
        <v>Evening (18-23)</v>
      </c>
    </row>
    <row r="1000" customFormat="false" ht="15" hidden="false" customHeight="false" outlineLevel="0" collapsed="false">
      <c r="A1000" s="2" t="s">
        <v>1829</v>
      </c>
      <c r="B1000" s="2" t="s">
        <v>409</v>
      </c>
      <c r="C1000" s="2" t="s">
        <v>48</v>
      </c>
      <c r="D1000" s="3" t="n">
        <v>45810</v>
      </c>
      <c r="E1000" s="2" t="s">
        <v>967</v>
      </c>
      <c r="F1000" s="2" t="s">
        <v>32</v>
      </c>
      <c r="G1000" s="2" t="n">
        <v>31525</v>
      </c>
      <c r="H1000" s="2" t="n">
        <v>10</v>
      </c>
      <c r="I1000" s="2" t="n">
        <v>209</v>
      </c>
      <c r="J1000" s="2" t="n">
        <v>1</v>
      </c>
      <c r="K1000" s="2" t="n">
        <v>15291</v>
      </c>
      <c r="L1000" s="2" t="n">
        <v>13791</v>
      </c>
      <c r="M1000" s="2" t="n">
        <v>1399</v>
      </c>
      <c r="N1000" s="2" t="n">
        <v>81</v>
      </c>
      <c r="O1000" s="2" t="n">
        <v>270</v>
      </c>
      <c r="P1000" s="2" t="n">
        <v>140</v>
      </c>
      <c r="Q1000" s="2" t="n">
        <v>310</v>
      </c>
      <c r="R1000" s="2" t="n">
        <v>67</v>
      </c>
      <c r="S1000" s="2" t="n">
        <v>3</v>
      </c>
      <c r="T1000" s="2" t="s">
        <v>33</v>
      </c>
      <c r="U1000" s="4" t="n">
        <f aca="false">(M1000+N1000+O1000+P1000)/L1000</f>
        <v>0.137045899499674</v>
      </c>
      <c r="V1000" s="2" t="str">
        <f aca="false">IF(S1000&lt;=5,"Late night (0-5)",IF(S1000&lt;=11,"Morning (6-11)",IF(S1000&lt;=17,"Afternoon (12-17)","Evening (18-23)")))</f>
        <v>Late night (0-5)</v>
      </c>
    </row>
    <row r="1001" customFormat="false" ht="15" hidden="false" customHeight="false" outlineLevel="0" collapsed="false">
      <c r="A1001" s="2" t="s">
        <v>1830</v>
      </c>
      <c r="B1001" s="2" t="s">
        <v>151</v>
      </c>
      <c r="C1001" s="2" t="s">
        <v>36</v>
      </c>
      <c r="D1001" s="3" t="n">
        <v>45934</v>
      </c>
      <c r="E1001" s="2" t="s">
        <v>1831</v>
      </c>
      <c r="F1001" s="2" t="s">
        <v>32</v>
      </c>
      <c r="G1001" s="2" t="n">
        <v>19247</v>
      </c>
      <c r="H1001" s="2" t="n">
        <v>17</v>
      </c>
      <c r="I1001" s="2" t="n">
        <v>320</v>
      </c>
      <c r="J1001" s="2" t="n">
        <v>0</v>
      </c>
      <c r="K1001" s="2" t="n">
        <v>28252</v>
      </c>
      <c r="L1001" s="2" t="n">
        <v>17031</v>
      </c>
      <c r="M1001" s="2" t="n">
        <v>943</v>
      </c>
      <c r="N1001" s="2" t="n">
        <v>37</v>
      </c>
      <c r="O1001" s="2" t="n">
        <v>174</v>
      </c>
      <c r="P1001" s="2" t="n">
        <v>179</v>
      </c>
      <c r="Q1001" s="2" t="n">
        <v>300</v>
      </c>
      <c r="R1001" s="2" t="n">
        <v>62</v>
      </c>
      <c r="S1001" s="2" t="n">
        <v>11</v>
      </c>
      <c r="T1001" s="2" t="s">
        <v>62</v>
      </c>
      <c r="U1001" s="4" t="n">
        <f aca="false">(M1001+N1001+O1001+P1001)/L1001</f>
        <v>0.0782690388115789</v>
      </c>
      <c r="V1001" s="2" t="str">
        <f aca="false">IF(S1001&lt;=5,"Late night (0-5)",IF(S1001&lt;=11,"Morning (6-11)",IF(S1001&lt;=17,"Afternoon (12-17)","Evening (18-23)")))</f>
        <v>Morning (6-11)</v>
      </c>
    </row>
    <row r="1002" customFormat="false" ht="15" hidden="false" customHeight="false" outlineLevel="0" collapsed="false">
      <c r="A1002" s="2" t="s">
        <v>1832</v>
      </c>
      <c r="B1002" s="2" t="s">
        <v>324</v>
      </c>
      <c r="C1002" s="2" t="s">
        <v>24</v>
      </c>
      <c r="D1002" s="3" t="n">
        <v>45691</v>
      </c>
      <c r="E1002" s="2" t="s">
        <v>477</v>
      </c>
      <c r="F1002" s="2" t="s">
        <v>32</v>
      </c>
      <c r="G1002" s="2" t="n">
        <v>3823</v>
      </c>
      <c r="H1002" s="2" t="n">
        <v>8</v>
      </c>
      <c r="I1002" s="2" t="n">
        <v>183</v>
      </c>
      <c r="J1002" s="2" t="n">
        <v>0</v>
      </c>
      <c r="K1002" s="2" t="n">
        <v>3726</v>
      </c>
      <c r="L1002" s="2" t="n">
        <v>3204</v>
      </c>
      <c r="M1002" s="2" t="n">
        <v>215</v>
      </c>
      <c r="N1002" s="2" t="n">
        <v>8</v>
      </c>
      <c r="O1002" s="2" t="n">
        <v>49</v>
      </c>
      <c r="P1002" s="2" t="n">
        <v>41</v>
      </c>
      <c r="Q1002" s="2" t="n">
        <v>55</v>
      </c>
      <c r="R1002" s="2" t="n">
        <v>9</v>
      </c>
      <c r="S1002" s="2" t="n">
        <v>4</v>
      </c>
      <c r="T1002" s="2" t="s">
        <v>33</v>
      </c>
      <c r="U1002" s="4" t="n">
        <f aca="false">(M1002+N1002+O1002+P1002)/L1002</f>
        <v>0.0976903870162297</v>
      </c>
      <c r="V1002" s="2" t="str">
        <f aca="false">IF(S1002&lt;=5,"Late night (0-5)",IF(S1002&lt;=11,"Morning (6-11)",IF(S1002&lt;=17,"Afternoon (12-17)","Evening (18-23)")))</f>
        <v>Late night (0-5)</v>
      </c>
    </row>
    <row r="1003" customFormat="false" ht="15" hidden="false" customHeight="false" outlineLevel="0" collapsed="false">
      <c r="A1003" s="2" t="s">
        <v>1833</v>
      </c>
      <c r="B1003" s="2" t="s">
        <v>129</v>
      </c>
      <c r="C1003" s="2" t="s">
        <v>54</v>
      </c>
      <c r="D1003" s="3" t="n">
        <v>45696</v>
      </c>
      <c r="E1003" s="2" t="s">
        <v>1816</v>
      </c>
      <c r="F1003" s="2" t="s">
        <v>32</v>
      </c>
      <c r="G1003" s="2" t="n">
        <v>10312</v>
      </c>
      <c r="H1003" s="2" t="n">
        <v>4</v>
      </c>
      <c r="I1003" s="2" t="n">
        <v>147</v>
      </c>
      <c r="J1003" s="2" t="n">
        <v>0</v>
      </c>
      <c r="K1003" s="2" t="n">
        <v>9014</v>
      </c>
      <c r="L1003" s="2" t="n">
        <v>6567</v>
      </c>
      <c r="M1003" s="2" t="n">
        <v>706</v>
      </c>
      <c r="N1003" s="2" t="n">
        <v>39</v>
      </c>
      <c r="O1003" s="2" t="n">
        <v>85</v>
      </c>
      <c r="P1003" s="2" t="n">
        <v>103</v>
      </c>
      <c r="Q1003" s="2" t="n">
        <v>85</v>
      </c>
      <c r="R1003" s="2" t="n">
        <v>13</v>
      </c>
      <c r="S1003" s="2" t="n">
        <v>4</v>
      </c>
      <c r="T1003" s="2" t="s">
        <v>62</v>
      </c>
      <c r="U1003" s="4" t="n">
        <f aca="false">(M1003+N1003+O1003+P1003)/L1003</f>
        <v>0.142074006395614</v>
      </c>
      <c r="V1003" s="2" t="str">
        <f aca="false">IF(S1003&lt;=5,"Late night (0-5)",IF(S1003&lt;=11,"Morning (6-11)",IF(S1003&lt;=17,"Afternoon (12-17)","Evening (18-23)")))</f>
        <v>Late night (0-5)</v>
      </c>
    </row>
    <row r="1004" customFormat="false" ht="15" hidden="false" customHeight="false" outlineLevel="0" collapsed="false">
      <c r="A1004" s="2" t="s">
        <v>1834</v>
      </c>
      <c r="B1004" s="2" t="s">
        <v>360</v>
      </c>
      <c r="C1004" s="2" t="s">
        <v>48</v>
      </c>
      <c r="D1004" s="3" t="n">
        <v>45712</v>
      </c>
      <c r="E1004" s="2" t="s">
        <v>1835</v>
      </c>
      <c r="F1004" s="2" t="s">
        <v>50</v>
      </c>
      <c r="G1004" s="2" t="n">
        <v>19542</v>
      </c>
      <c r="H1004" s="2" t="n">
        <v>14</v>
      </c>
      <c r="I1004" s="2" t="n">
        <v>42</v>
      </c>
      <c r="J1004" s="2" t="n">
        <v>0</v>
      </c>
      <c r="K1004" s="2" t="n">
        <v>11723</v>
      </c>
      <c r="L1004" s="2" t="n">
        <v>7006</v>
      </c>
      <c r="M1004" s="2" t="n">
        <v>409</v>
      </c>
      <c r="N1004" s="2" t="n">
        <v>21</v>
      </c>
      <c r="O1004" s="2" t="n">
        <v>31</v>
      </c>
      <c r="P1004" s="2" t="n">
        <v>93</v>
      </c>
      <c r="Q1004" s="2" t="n">
        <v>62</v>
      </c>
      <c r="R1004" s="2" t="n">
        <v>6</v>
      </c>
      <c r="S1004" s="2" t="n">
        <v>13</v>
      </c>
      <c r="T1004" s="2" t="s">
        <v>33</v>
      </c>
      <c r="U1004" s="4" t="n">
        <f aca="false">(M1004+N1004+O1004+P1004)/L1004</f>
        <v>0.0790750785041393</v>
      </c>
      <c r="V1004" s="2" t="str">
        <f aca="false">IF(S1004&lt;=5,"Late night (0-5)",IF(S1004&lt;=11,"Morning (6-11)",IF(S1004&lt;=17,"Afternoon (12-17)","Evening (18-23)")))</f>
        <v>Afternoon (12-17)</v>
      </c>
    </row>
    <row r="1005" customFormat="false" ht="15" hidden="false" customHeight="false" outlineLevel="0" collapsed="false">
      <c r="A1005" s="2" t="s">
        <v>1836</v>
      </c>
      <c r="B1005" s="2" t="s">
        <v>135</v>
      </c>
      <c r="C1005" s="2" t="s">
        <v>36</v>
      </c>
      <c r="D1005" s="3" t="n">
        <v>45995</v>
      </c>
      <c r="E1005" s="2" t="s">
        <v>1837</v>
      </c>
      <c r="F1005" s="2" t="s">
        <v>38</v>
      </c>
      <c r="G1005" s="2" t="n">
        <v>45812</v>
      </c>
      <c r="H1005" s="2" t="n">
        <v>15</v>
      </c>
      <c r="I1005" s="2" t="n">
        <v>120</v>
      </c>
      <c r="J1005" s="2" t="n">
        <v>1</v>
      </c>
      <c r="K1005" s="2" t="n">
        <v>26394</v>
      </c>
      <c r="L1005" s="2" t="n">
        <v>21948</v>
      </c>
      <c r="M1005" s="2" t="n">
        <v>1386</v>
      </c>
      <c r="N1005" s="2" t="n">
        <v>88</v>
      </c>
      <c r="O1005" s="2" t="n">
        <v>125</v>
      </c>
      <c r="P1005" s="2" t="n">
        <v>125</v>
      </c>
      <c r="Q1005" s="2" t="n">
        <v>234</v>
      </c>
      <c r="R1005" s="2" t="n">
        <v>59</v>
      </c>
      <c r="S1005" s="2" t="n">
        <v>0</v>
      </c>
      <c r="T1005" s="2" t="s">
        <v>79</v>
      </c>
      <c r="U1005" s="4" t="n">
        <f aca="false">(M1005+N1005+O1005+P1005)/L1005</f>
        <v>0.0785492983415345</v>
      </c>
      <c r="V1005" s="2" t="str">
        <f aca="false">IF(S1005&lt;=5,"Late night (0-5)",IF(S1005&lt;=11,"Morning (6-11)",IF(S1005&lt;=17,"Afternoon (12-17)","Evening (18-23)")))</f>
        <v>Late night (0-5)</v>
      </c>
    </row>
    <row r="1006" customFormat="false" ht="15" hidden="false" customHeight="false" outlineLevel="0" collapsed="false">
      <c r="A1006" s="2" t="s">
        <v>1838</v>
      </c>
      <c r="B1006" s="2" t="s">
        <v>431</v>
      </c>
      <c r="C1006" s="2" t="s">
        <v>36</v>
      </c>
      <c r="D1006" s="3" t="n">
        <v>45813</v>
      </c>
      <c r="E1006" s="2" t="s">
        <v>1839</v>
      </c>
      <c r="F1006" s="2" t="s">
        <v>50</v>
      </c>
      <c r="G1006" s="2" t="n">
        <v>64821</v>
      </c>
      <c r="H1006" s="2" t="n">
        <v>11</v>
      </c>
      <c r="I1006" s="2" t="n">
        <v>167</v>
      </c>
      <c r="J1006" s="2" t="n">
        <v>0</v>
      </c>
      <c r="K1006" s="2" t="n">
        <v>16312</v>
      </c>
      <c r="L1006" s="2" t="n">
        <v>11057</v>
      </c>
      <c r="M1006" s="2" t="n">
        <v>344</v>
      </c>
      <c r="N1006" s="2" t="n">
        <v>14</v>
      </c>
      <c r="O1006" s="2" t="n">
        <v>23</v>
      </c>
      <c r="P1006" s="2" t="n">
        <v>61</v>
      </c>
      <c r="Q1006" s="2" t="n">
        <v>243</v>
      </c>
      <c r="R1006" s="2" t="n">
        <v>35</v>
      </c>
      <c r="S1006" s="2" t="n">
        <v>4</v>
      </c>
      <c r="T1006" s="2" t="s">
        <v>79</v>
      </c>
      <c r="U1006" s="4" t="n">
        <f aca="false">(M1006+N1006+O1006+P1006)/L1006</f>
        <v>0.0399746766754092</v>
      </c>
      <c r="V1006" s="2" t="str">
        <f aca="false">IF(S1006&lt;=5,"Late night (0-5)",IF(S1006&lt;=11,"Morning (6-11)",IF(S1006&lt;=17,"Afternoon (12-17)","Evening (18-23)")))</f>
        <v>Late night (0-5)</v>
      </c>
    </row>
    <row r="1007" customFormat="false" ht="15" hidden="false" customHeight="false" outlineLevel="0" collapsed="false">
      <c r="A1007" s="2" t="s">
        <v>1840</v>
      </c>
      <c r="B1007" s="2" t="s">
        <v>60</v>
      </c>
      <c r="C1007" s="2" t="s">
        <v>41</v>
      </c>
      <c r="D1007" s="3" t="n">
        <v>45938</v>
      </c>
      <c r="E1007" s="2" t="s">
        <v>975</v>
      </c>
      <c r="F1007" s="2" t="s">
        <v>32</v>
      </c>
      <c r="G1007" s="2" t="n">
        <v>7512</v>
      </c>
      <c r="H1007" s="2" t="n">
        <v>4</v>
      </c>
      <c r="I1007" s="2" t="n">
        <v>10</v>
      </c>
      <c r="J1007" s="2" t="n">
        <v>0</v>
      </c>
      <c r="K1007" s="2" t="n">
        <v>12337</v>
      </c>
      <c r="L1007" s="2" t="n">
        <v>7312</v>
      </c>
      <c r="M1007" s="2" t="n">
        <v>470</v>
      </c>
      <c r="N1007" s="2" t="n">
        <v>17</v>
      </c>
      <c r="O1007" s="2" t="n">
        <v>85</v>
      </c>
      <c r="P1007" s="2" t="n">
        <v>31</v>
      </c>
      <c r="Q1007" s="2" t="n">
        <v>44</v>
      </c>
      <c r="R1007" s="2" t="n">
        <v>7</v>
      </c>
      <c r="S1007" s="2" t="n">
        <v>17</v>
      </c>
      <c r="T1007" s="2" t="s">
        <v>66</v>
      </c>
      <c r="U1007" s="4" t="n">
        <f aca="false">(M1007+N1007+O1007+P1007)/L1007</f>
        <v>0.0824671772428884</v>
      </c>
      <c r="V1007" s="2" t="str">
        <f aca="false">IF(S1007&lt;=5,"Late night (0-5)",IF(S1007&lt;=11,"Morning (6-11)",IF(S1007&lt;=17,"Afternoon (12-17)","Evening (18-23)")))</f>
        <v>Afternoon (12-17)</v>
      </c>
    </row>
    <row r="1008" customFormat="false" ht="15" hidden="false" customHeight="false" outlineLevel="0" collapsed="false">
      <c r="A1008" s="2" t="s">
        <v>1841</v>
      </c>
      <c r="B1008" s="2" t="s">
        <v>23</v>
      </c>
      <c r="C1008" s="2" t="s">
        <v>24</v>
      </c>
      <c r="D1008" s="3" t="n">
        <v>45902</v>
      </c>
      <c r="E1008" s="2" t="s">
        <v>627</v>
      </c>
      <c r="F1008" s="2" t="s">
        <v>26</v>
      </c>
      <c r="G1008" s="2" t="n">
        <v>63447</v>
      </c>
      <c r="H1008" s="2" t="n">
        <v>4</v>
      </c>
      <c r="I1008" s="2" t="n">
        <v>293</v>
      </c>
      <c r="J1008" s="2" t="n">
        <v>0</v>
      </c>
      <c r="K1008" s="2" t="n">
        <v>33708</v>
      </c>
      <c r="L1008" s="2" t="n">
        <v>30623</v>
      </c>
      <c r="M1008" s="2" t="n">
        <v>2510</v>
      </c>
      <c r="N1008" s="2" t="n">
        <v>114</v>
      </c>
      <c r="O1008" s="2" t="n">
        <v>285</v>
      </c>
      <c r="P1008" s="2" t="n">
        <v>249</v>
      </c>
      <c r="Q1008" s="2" t="n">
        <v>793</v>
      </c>
      <c r="R1008" s="2" t="n">
        <v>73</v>
      </c>
      <c r="S1008" s="2" t="n">
        <v>23</v>
      </c>
      <c r="T1008" s="2" t="s">
        <v>51</v>
      </c>
      <c r="U1008" s="4" t="n">
        <f aca="false">(M1008+N1008+O1008+P1008)/L1008</f>
        <v>0.103125102047481</v>
      </c>
      <c r="V1008" s="2" t="str">
        <f aca="false">IF(S1008&lt;=5,"Late night (0-5)",IF(S1008&lt;=11,"Morning (6-11)",IF(S1008&lt;=17,"Afternoon (12-17)","Evening (18-23)")))</f>
        <v>Evening (18-23)</v>
      </c>
    </row>
    <row r="1009" customFormat="false" ht="15" hidden="false" customHeight="false" outlineLevel="0" collapsed="false">
      <c r="A1009" s="2" t="s">
        <v>1842</v>
      </c>
      <c r="B1009" s="2" t="s">
        <v>310</v>
      </c>
      <c r="C1009" s="2" t="s">
        <v>91</v>
      </c>
      <c r="D1009" s="3" t="n">
        <v>45865</v>
      </c>
      <c r="E1009" s="2" t="s">
        <v>1843</v>
      </c>
      <c r="F1009" s="2" t="s">
        <v>38</v>
      </c>
      <c r="G1009" s="2" t="n">
        <v>56571</v>
      </c>
      <c r="H1009" s="2" t="n">
        <v>5</v>
      </c>
      <c r="I1009" s="2" t="n">
        <v>171</v>
      </c>
      <c r="J1009" s="2" t="n">
        <v>0</v>
      </c>
      <c r="K1009" s="2" t="n">
        <v>34384</v>
      </c>
      <c r="L1009" s="2" t="n">
        <v>20774</v>
      </c>
      <c r="M1009" s="2" t="n">
        <v>1566</v>
      </c>
      <c r="N1009" s="2" t="n">
        <v>125</v>
      </c>
      <c r="O1009" s="2" t="n">
        <v>174</v>
      </c>
      <c r="P1009" s="2" t="n">
        <v>394</v>
      </c>
      <c r="Q1009" s="2" t="n">
        <v>551</v>
      </c>
      <c r="R1009" s="2" t="n">
        <v>56</v>
      </c>
      <c r="S1009" s="2" t="n">
        <v>1</v>
      </c>
      <c r="T1009" s="2" t="s">
        <v>27</v>
      </c>
      <c r="U1009" s="4" t="n">
        <f aca="false">(M1009+N1009+O1009+P1009)/L1009</f>
        <v>0.108741696351208</v>
      </c>
      <c r="V1009" s="2" t="str">
        <f aca="false">IF(S1009&lt;=5,"Late night (0-5)",IF(S1009&lt;=11,"Morning (6-11)",IF(S1009&lt;=17,"Afternoon (12-17)","Evening (18-23)")))</f>
        <v>Late night (0-5)</v>
      </c>
    </row>
    <row r="1010" customFormat="false" ht="15" hidden="false" customHeight="false" outlineLevel="0" collapsed="false">
      <c r="A1010" s="2" t="s">
        <v>1844</v>
      </c>
      <c r="B1010" s="2" t="s">
        <v>220</v>
      </c>
      <c r="C1010" s="2" t="s">
        <v>48</v>
      </c>
      <c r="D1010" s="3" t="n">
        <v>45960</v>
      </c>
      <c r="E1010" s="2" t="s">
        <v>1845</v>
      </c>
      <c r="F1010" s="2" t="s">
        <v>32</v>
      </c>
      <c r="G1010" s="2" t="n">
        <v>18917</v>
      </c>
      <c r="H1010" s="2" t="n">
        <v>9</v>
      </c>
      <c r="I1010" s="2" t="n">
        <v>205</v>
      </c>
      <c r="J1010" s="2" t="n">
        <v>1</v>
      </c>
      <c r="K1010" s="2" t="n">
        <v>5792</v>
      </c>
      <c r="L1010" s="2" t="n">
        <v>4790</v>
      </c>
      <c r="M1010" s="2" t="n">
        <v>475</v>
      </c>
      <c r="N1010" s="2" t="n">
        <v>21</v>
      </c>
      <c r="O1010" s="2" t="n">
        <v>54</v>
      </c>
      <c r="P1010" s="2" t="n">
        <v>74</v>
      </c>
      <c r="Q1010" s="2" t="n">
        <v>71</v>
      </c>
      <c r="R1010" s="2" t="n">
        <v>8</v>
      </c>
      <c r="S1010" s="2" t="n">
        <v>17</v>
      </c>
      <c r="T1010" s="2" t="s">
        <v>79</v>
      </c>
      <c r="U1010" s="4" t="n">
        <f aca="false">(M1010+N1010+O1010+P1010)/L1010</f>
        <v>0.13027139874739</v>
      </c>
      <c r="V1010" s="2" t="str">
        <f aca="false">IF(S1010&lt;=5,"Late night (0-5)",IF(S1010&lt;=11,"Morning (6-11)",IF(S1010&lt;=17,"Afternoon (12-17)","Evening (18-23)")))</f>
        <v>Afternoon (12-17)</v>
      </c>
    </row>
    <row r="1011" customFormat="false" ht="15" hidden="false" customHeight="false" outlineLevel="0" collapsed="false">
      <c r="A1011" s="2" t="s">
        <v>1846</v>
      </c>
      <c r="B1011" s="2" t="s">
        <v>74</v>
      </c>
      <c r="C1011" s="2" t="s">
        <v>30</v>
      </c>
      <c r="D1011" s="3" t="n">
        <v>45898</v>
      </c>
      <c r="E1011" s="2" t="s">
        <v>72</v>
      </c>
      <c r="F1011" s="2" t="s">
        <v>38</v>
      </c>
      <c r="G1011" s="2" t="n">
        <v>20432</v>
      </c>
      <c r="H1011" s="2" t="n">
        <v>14</v>
      </c>
      <c r="I1011" s="2" t="n">
        <v>307</v>
      </c>
      <c r="J1011" s="2" t="n">
        <v>1</v>
      </c>
      <c r="K1011" s="2" t="n">
        <v>14015</v>
      </c>
      <c r="L1011" s="2" t="n">
        <v>7969</v>
      </c>
      <c r="M1011" s="2" t="n">
        <v>306</v>
      </c>
      <c r="N1011" s="2" t="n">
        <v>10</v>
      </c>
      <c r="O1011" s="2" t="n">
        <v>45</v>
      </c>
      <c r="P1011" s="2" t="n">
        <v>69</v>
      </c>
      <c r="Q1011" s="2" t="n">
        <v>71</v>
      </c>
      <c r="R1011" s="2" t="n">
        <v>18</v>
      </c>
      <c r="S1011" s="2" t="n">
        <v>2</v>
      </c>
      <c r="T1011" s="2" t="s">
        <v>96</v>
      </c>
      <c r="U1011" s="4" t="n">
        <f aca="false">(M1011+N1011+O1011+P1011)/L1011</f>
        <v>0.053959091479483</v>
      </c>
      <c r="V1011" s="2" t="str">
        <f aca="false">IF(S1011&lt;=5,"Late night (0-5)",IF(S1011&lt;=11,"Morning (6-11)",IF(S1011&lt;=17,"Afternoon (12-17)","Evening (18-23)")))</f>
        <v>Late night (0-5)</v>
      </c>
    </row>
    <row r="1012" customFormat="false" ht="15" hidden="false" customHeight="false" outlineLevel="0" collapsed="false">
      <c r="A1012" s="2" t="s">
        <v>1847</v>
      </c>
      <c r="B1012" s="2" t="s">
        <v>138</v>
      </c>
      <c r="C1012" s="2" t="s">
        <v>41</v>
      </c>
      <c r="D1012" s="3" t="n">
        <v>45690</v>
      </c>
      <c r="E1012" s="2" t="s">
        <v>1848</v>
      </c>
      <c r="F1012" s="2" t="s">
        <v>26</v>
      </c>
      <c r="G1012" s="2" t="n">
        <v>18712</v>
      </c>
      <c r="H1012" s="2" t="n">
        <v>11</v>
      </c>
      <c r="I1012" s="2" t="n">
        <v>230</v>
      </c>
      <c r="J1012" s="2" t="n">
        <v>1</v>
      </c>
      <c r="K1012" s="2" t="n">
        <v>23019</v>
      </c>
      <c r="L1012" s="2" t="n">
        <v>20034</v>
      </c>
      <c r="M1012" s="2" t="n">
        <v>806</v>
      </c>
      <c r="N1012" s="2" t="n">
        <v>46</v>
      </c>
      <c r="O1012" s="2" t="n">
        <v>66</v>
      </c>
      <c r="P1012" s="2" t="n">
        <v>116</v>
      </c>
      <c r="Q1012" s="2" t="n">
        <v>214</v>
      </c>
      <c r="R1012" s="2" t="n">
        <v>22</v>
      </c>
      <c r="S1012" s="2" t="n">
        <v>0</v>
      </c>
      <c r="T1012" s="2" t="s">
        <v>27</v>
      </c>
      <c r="U1012" s="4" t="n">
        <f aca="false">(M1012+N1012+O1012+P1012)/L1012</f>
        <v>0.051612259159429</v>
      </c>
      <c r="V1012" s="2" t="str">
        <f aca="false">IF(S1012&lt;=5,"Late night (0-5)",IF(S1012&lt;=11,"Morning (6-11)",IF(S1012&lt;=17,"Afternoon (12-17)","Evening (18-23)")))</f>
        <v>Late night (0-5)</v>
      </c>
    </row>
    <row r="1013" customFormat="false" ht="15" hidden="false" customHeight="false" outlineLevel="0" collapsed="false">
      <c r="A1013" s="2" t="s">
        <v>1849</v>
      </c>
      <c r="B1013" s="2" t="s">
        <v>206</v>
      </c>
      <c r="C1013" s="2" t="s">
        <v>48</v>
      </c>
      <c r="D1013" s="3" t="n">
        <v>45709</v>
      </c>
      <c r="E1013" s="2" t="s">
        <v>1850</v>
      </c>
      <c r="F1013" s="2" t="s">
        <v>32</v>
      </c>
      <c r="G1013" s="2" t="n">
        <v>42937</v>
      </c>
      <c r="H1013" s="2" t="n">
        <v>17</v>
      </c>
      <c r="I1013" s="2" t="n">
        <v>118</v>
      </c>
      <c r="J1013" s="2" t="n">
        <v>0</v>
      </c>
      <c r="K1013" s="2" t="n">
        <v>82863</v>
      </c>
      <c r="L1013" s="2" t="n">
        <v>48890</v>
      </c>
      <c r="M1013" s="2" t="n">
        <v>5214</v>
      </c>
      <c r="N1013" s="2" t="n">
        <v>314</v>
      </c>
      <c r="O1013" s="2" t="n">
        <v>1257</v>
      </c>
      <c r="P1013" s="2" t="n">
        <v>919</v>
      </c>
      <c r="Q1013" s="2" t="n">
        <v>1360</v>
      </c>
      <c r="R1013" s="2" t="n">
        <v>286</v>
      </c>
      <c r="S1013" s="2" t="n">
        <v>5</v>
      </c>
      <c r="T1013" s="2" t="s">
        <v>96</v>
      </c>
      <c r="U1013" s="4" t="n">
        <f aca="false">(M1013+N1013+O1013+P1013)/L1013</f>
        <v>0.157578236858253</v>
      </c>
      <c r="V1013" s="2" t="str">
        <f aca="false">IF(S1013&lt;=5,"Late night (0-5)",IF(S1013&lt;=11,"Morning (6-11)",IF(S1013&lt;=17,"Afternoon (12-17)","Evening (18-23)")))</f>
        <v>Late night (0-5)</v>
      </c>
    </row>
    <row r="1014" customFormat="false" ht="15" hidden="false" customHeight="false" outlineLevel="0" collapsed="false">
      <c r="A1014" s="2" t="s">
        <v>1851</v>
      </c>
      <c r="B1014" s="2" t="s">
        <v>154</v>
      </c>
      <c r="C1014" s="2" t="s">
        <v>41</v>
      </c>
      <c r="D1014" s="3" t="n">
        <v>46009</v>
      </c>
      <c r="E1014" s="2" t="s">
        <v>1852</v>
      </c>
      <c r="F1014" s="2" t="s">
        <v>26</v>
      </c>
      <c r="G1014" s="2" t="n">
        <v>33644</v>
      </c>
      <c r="H1014" s="2" t="n">
        <v>14</v>
      </c>
      <c r="I1014" s="2" t="n">
        <v>277</v>
      </c>
      <c r="J1014" s="2" t="n">
        <v>1</v>
      </c>
      <c r="K1014" s="2" t="n">
        <v>27886</v>
      </c>
      <c r="L1014" s="2" t="n">
        <v>22544</v>
      </c>
      <c r="M1014" s="2" t="n">
        <v>1618</v>
      </c>
      <c r="N1014" s="2" t="n">
        <v>82</v>
      </c>
      <c r="O1014" s="2" t="n">
        <v>251</v>
      </c>
      <c r="P1014" s="2" t="n">
        <v>145</v>
      </c>
      <c r="Q1014" s="2" t="n">
        <v>352</v>
      </c>
      <c r="R1014" s="2" t="n">
        <v>102</v>
      </c>
      <c r="S1014" s="2" t="n">
        <v>1</v>
      </c>
      <c r="T1014" s="2" t="s">
        <v>79</v>
      </c>
      <c r="U1014" s="4" t="n">
        <f aca="false">(M1014+N1014+O1014+P1014)/L1014</f>
        <v>0.0929737402413059</v>
      </c>
      <c r="V1014" s="2" t="str">
        <f aca="false">IF(S1014&lt;=5,"Late night (0-5)",IF(S1014&lt;=11,"Morning (6-11)",IF(S1014&lt;=17,"Afternoon (12-17)","Evening (18-23)")))</f>
        <v>Late night (0-5)</v>
      </c>
    </row>
    <row r="1015" customFormat="false" ht="15" hidden="false" customHeight="false" outlineLevel="0" collapsed="false">
      <c r="A1015" s="2" t="s">
        <v>1853</v>
      </c>
      <c r="B1015" s="2" t="s">
        <v>452</v>
      </c>
      <c r="C1015" s="2" t="s">
        <v>91</v>
      </c>
      <c r="D1015" s="3" t="n">
        <v>45706</v>
      </c>
      <c r="E1015" s="2" t="s">
        <v>1503</v>
      </c>
      <c r="F1015" s="2" t="s">
        <v>32</v>
      </c>
      <c r="G1015" s="2" t="n">
        <v>14201</v>
      </c>
      <c r="H1015" s="2" t="n">
        <v>8</v>
      </c>
      <c r="I1015" s="2" t="n">
        <v>170</v>
      </c>
      <c r="J1015" s="2" t="n">
        <v>1</v>
      </c>
      <c r="K1015" s="2" t="n">
        <v>10223</v>
      </c>
      <c r="L1015" s="2" t="n">
        <v>6406</v>
      </c>
      <c r="M1015" s="2" t="n">
        <v>369</v>
      </c>
      <c r="N1015" s="2" t="n">
        <v>9</v>
      </c>
      <c r="O1015" s="2" t="n">
        <v>93</v>
      </c>
      <c r="P1015" s="2" t="n">
        <v>60</v>
      </c>
      <c r="Q1015" s="2" t="n">
        <v>43</v>
      </c>
      <c r="R1015" s="2" t="n">
        <v>3</v>
      </c>
      <c r="S1015" s="2" t="n">
        <v>4</v>
      </c>
      <c r="T1015" s="2" t="s">
        <v>51</v>
      </c>
      <c r="U1015" s="4" t="n">
        <f aca="false">(M1015+N1015+O1015+P1015)/L1015</f>
        <v>0.0828910396503278</v>
      </c>
      <c r="V1015" s="2" t="str">
        <f aca="false">IF(S1015&lt;=5,"Late night (0-5)",IF(S1015&lt;=11,"Morning (6-11)",IF(S1015&lt;=17,"Afternoon (12-17)","Evening (18-23)")))</f>
        <v>Late night (0-5)</v>
      </c>
    </row>
    <row r="1016" customFormat="false" ht="15" hidden="false" customHeight="false" outlineLevel="0" collapsed="false">
      <c r="A1016" s="2" t="s">
        <v>1854</v>
      </c>
      <c r="B1016" s="2" t="s">
        <v>47</v>
      </c>
      <c r="C1016" s="2" t="s">
        <v>48</v>
      </c>
      <c r="D1016" s="3" t="n">
        <v>45851</v>
      </c>
      <c r="E1016" s="2" t="s">
        <v>1855</v>
      </c>
      <c r="F1016" s="2" t="s">
        <v>26</v>
      </c>
      <c r="G1016" s="2" t="n">
        <v>19609</v>
      </c>
      <c r="H1016" s="2" t="n">
        <v>11</v>
      </c>
      <c r="I1016" s="2" t="n">
        <v>164</v>
      </c>
      <c r="J1016" s="2" t="n">
        <v>0</v>
      </c>
      <c r="K1016" s="2" t="n">
        <v>10012</v>
      </c>
      <c r="L1016" s="2" t="n">
        <v>6993</v>
      </c>
      <c r="M1016" s="2" t="n">
        <v>300</v>
      </c>
      <c r="N1016" s="2" t="n">
        <v>7</v>
      </c>
      <c r="O1016" s="2" t="n">
        <v>9</v>
      </c>
      <c r="P1016" s="2" t="n">
        <v>55</v>
      </c>
      <c r="Q1016" s="2" t="n">
        <v>138</v>
      </c>
      <c r="R1016" s="2" t="n">
        <v>22</v>
      </c>
      <c r="S1016" s="2" t="n">
        <v>19</v>
      </c>
      <c r="T1016" s="2" t="s">
        <v>27</v>
      </c>
      <c r="U1016" s="4" t="n">
        <f aca="false">(M1016+N1016+O1016+P1016)/L1016</f>
        <v>0.0530530530530531</v>
      </c>
      <c r="V1016" s="2" t="str">
        <f aca="false">IF(S1016&lt;=5,"Late night (0-5)",IF(S1016&lt;=11,"Morning (6-11)",IF(S1016&lt;=17,"Afternoon (12-17)","Evening (18-23)")))</f>
        <v>Evening (18-23)</v>
      </c>
    </row>
    <row r="1017" customFormat="false" ht="15" hidden="false" customHeight="false" outlineLevel="0" collapsed="false">
      <c r="A1017" s="2" t="s">
        <v>1856</v>
      </c>
      <c r="B1017" s="2" t="s">
        <v>164</v>
      </c>
      <c r="C1017" s="2" t="s">
        <v>36</v>
      </c>
      <c r="D1017" s="3" t="n">
        <v>45673</v>
      </c>
      <c r="E1017" s="2" t="s">
        <v>1857</v>
      </c>
      <c r="F1017" s="2" t="s">
        <v>26</v>
      </c>
      <c r="G1017" s="2" t="n">
        <v>44230</v>
      </c>
      <c r="H1017" s="2" t="n">
        <v>22</v>
      </c>
      <c r="I1017" s="2" t="n">
        <v>198</v>
      </c>
      <c r="J1017" s="2" t="n">
        <v>0</v>
      </c>
      <c r="K1017" s="2" t="n">
        <v>15413</v>
      </c>
      <c r="L1017" s="2" t="n">
        <v>11933</v>
      </c>
      <c r="M1017" s="2" t="n">
        <v>630</v>
      </c>
      <c r="N1017" s="2" t="n">
        <v>30</v>
      </c>
      <c r="O1017" s="2" t="n">
        <v>95</v>
      </c>
      <c r="P1017" s="2" t="n">
        <v>63</v>
      </c>
      <c r="Q1017" s="2" t="n">
        <v>312</v>
      </c>
      <c r="R1017" s="2" t="n">
        <v>25</v>
      </c>
      <c r="S1017" s="2" t="n">
        <v>4</v>
      </c>
      <c r="T1017" s="2" t="s">
        <v>79</v>
      </c>
      <c r="U1017" s="4" t="n">
        <f aca="false">(M1017+N1017+O1017+P1017)/L1017</f>
        <v>0.068549400821252</v>
      </c>
      <c r="V1017" s="2" t="str">
        <f aca="false">IF(S1017&lt;=5,"Late night (0-5)",IF(S1017&lt;=11,"Morning (6-11)",IF(S1017&lt;=17,"Afternoon (12-17)","Evening (18-23)")))</f>
        <v>Late night (0-5)</v>
      </c>
    </row>
    <row r="1018" customFormat="false" ht="15" hidden="false" customHeight="false" outlineLevel="0" collapsed="false">
      <c r="A1018" s="2" t="s">
        <v>1858</v>
      </c>
      <c r="B1018" s="2" t="s">
        <v>106</v>
      </c>
      <c r="C1018" s="2" t="s">
        <v>91</v>
      </c>
      <c r="D1018" s="3" t="n">
        <v>45743</v>
      </c>
      <c r="E1018" s="2" t="s">
        <v>369</v>
      </c>
      <c r="F1018" s="2" t="s">
        <v>26</v>
      </c>
      <c r="G1018" s="2" t="n">
        <v>59477</v>
      </c>
      <c r="H1018" s="2" t="n">
        <v>13</v>
      </c>
      <c r="I1018" s="2" t="n">
        <v>84</v>
      </c>
      <c r="J1018" s="2" t="n">
        <v>0</v>
      </c>
      <c r="K1018" s="2" t="n">
        <v>29709</v>
      </c>
      <c r="L1018" s="2" t="n">
        <v>25526</v>
      </c>
      <c r="M1018" s="2" t="n">
        <v>2197</v>
      </c>
      <c r="N1018" s="2" t="n">
        <v>165</v>
      </c>
      <c r="O1018" s="2" t="n">
        <v>217</v>
      </c>
      <c r="P1018" s="2" t="n">
        <v>476</v>
      </c>
      <c r="Q1018" s="2" t="n">
        <v>670</v>
      </c>
      <c r="R1018" s="2" t="n">
        <v>122</v>
      </c>
      <c r="S1018" s="2" t="n">
        <v>10</v>
      </c>
      <c r="T1018" s="2" t="s">
        <v>79</v>
      </c>
      <c r="U1018" s="4" t="n">
        <f aca="false">(M1018+N1018+O1018+P1018)/L1018</f>
        <v>0.119681892971872</v>
      </c>
      <c r="V1018" s="2" t="str">
        <f aca="false">IF(S1018&lt;=5,"Late night (0-5)",IF(S1018&lt;=11,"Morning (6-11)",IF(S1018&lt;=17,"Afternoon (12-17)","Evening (18-23)")))</f>
        <v>Morning (6-11)</v>
      </c>
    </row>
    <row r="1019" customFormat="false" ht="15" hidden="false" customHeight="false" outlineLevel="0" collapsed="false">
      <c r="A1019" s="2" t="s">
        <v>1859</v>
      </c>
      <c r="B1019" s="2" t="s">
        <v>87</v>
      </c>
      <c r="C1019" s="2" t="s">
        <v>36</v>
      </c>
      <c r="D1019" s="3" t="n">
        <v>45783</v>
      </c>
      <c r="E1019" s="2" t="s">
        <v>410</v>
      </c>
      <c r="F1019" s="2" t="s">
        <v>38</v>
      </c>
      <c r="G1019" s="2" t="n">
        <v>25592</v>
      </c>
      <c r="H1019" s="2" t="n">
        <v>8</v>
      </c>
      <c r="I1019" s="2" t="n">
        <v>118</v>
      </c>
      <c r="J1019" s="2" t="n">
        <v>1</v>
      </c>
      <c r="K1019" s="2" t="n">
        <v>25533</v>
      </c>
      <c r="L1019" s="2" t="n">
        <v>19910</v>
      </c>
      <c r="M1019" s="2" t="n">
        <v>1618</v>
      </c>
      <c r="N1019" s="2" t="n">
        <v>55</v>
      </c>
      <c r="O1019" s="2" t="n">
        <v>132</v>
      </c>
      <c r="P1019" s="2" t="n">
        <v>290</v>
      </c>
      <c r="Q1019" s="2" t="n">
        <v>137</v>
      </c>
      <c r="R1019" s="2" t="n">
        <v>39</v>
      </c>
      <c r="S1019" s="2" t="n">
        <v>7</v>
      </c>
      <c r="T1019" s="2" t="s">
        <v>51</v>
      </c>
      <c r="U1019" s="4" t="n">
        <f aca="false">(M1019+N1019+O1019+P1019)/L1019</f>
        <v>0.105223505775992</v>
      </c>
      <c r="V1019" s="2" t="str">
        <f aca="false">IF(S1019&lt;=5,"Late night (0-5)",IF(S1019&lt;=11,"Morning (6-11)",IF(S1019&lt;=17,"Afternoon (12-17)","Evening (18-23)")))</f>
        <v>Morning (6-11)</v>
      </c>
    </row>
    <row r="1020" customFormat="false" ht="15" hidden="false" customHeight="false" outlineLevel="0" collapsed="false">
      <c r="A1020" s="2" t="s">
        <v>1860</v>
      </c>
      <c r="B1020" s="2" t="s">
        <v>141</v>
      </c>
      <c r="C1020" s="2" t="s">
        <v>48</v>
      </c>
      <c r="D1020" s="3" t="n">
        <v>45884</v>
      </c>
      <c r="E1020" s="2" t="s">
        <v>1337</v>
      </c>
      <c r="F1020" s="2" t="s">
        <v>38</v>
      </c>
      <c r="G1020" s="2" t="n">
        <v>16119</v>
      </c>
      <c r="H1020" s="2" t="n">
        <v>17</v>
      </c>
      <c r="I1020" s="2" t="n">
        <v>258</v>
      </c>
      <c r="J1020" s="2" t="n">
        <v>1</v>
      </c>
      <c r="K1020" s="2" t="n">
        <v>6492</v>
      </c>
      <c r="L1020" s="2" t="n">
        <v>5704</v>
      </c>
      <c r="M1020" s="2" t="n">
        <v>280</v>
      </c>
      <c r="N1020" s="2" t="n">
        <v>16</v>
      </c>
      <c r="O1020" s="2" t="n">
        <v>51</v>
      </c>
      <c r="P1020" s="2" t="n">
        <v>39</v>
      </c>
      <c r="Q1020" s="2" t="n">
        <v>151</v>
      </c>
      <c r="R1020" s="2" t="n">
        <v>42</v>
      </c>
      <c r="S1020" s="2" t="n">
        <v>23</v>
      </c>
      <c r="T1020" s="2" t="s">
        <v>96</v>
      </c>
      <c r="U1020" s="4" t="n">
        <f aca="false">(M1020+N1020+O1020+P1020)/L1020</f>
        <v>0.067671809256662</v>
      </c>
      <c r="V1020" s="2" t="str">
        <f aca="false">IF(S1020&lt;=5,"Late night (0-5)",IF(S1020&lt;=11,"Morning (6-11)",IF(S1020&lt;=17,"Afternoon (12-17)","Evening (18-23)")))</f>
        <v>Evening (18-23)</v>
      </c>
    </row>
    <row r="1021" customFormat="false" ht="15" hidden="false" customHeight="false" outlineLevel="0" collapsed="false">
      <c r="A1021" s="2" t="s">
        <v>1861</v>
      </c>
      <c r="B1021" s="2" t="s">
        <v>77</v>
      </c>
      <c r="C1021" s="2" t="s">
        <v>30</v>
      </c>
      <c r="D1021" s="3" t="n">
        <v>45665</v>
      </c>
      <c r="E1021" s="2" t="s">
        <v>492</v>
      </c>
      <c r="F1021" s="2" t="s">
        <v>38</v>
      </c>
      <c r="G1021" s="2" t="n">
        <v>17548</v>
      </c>
      <c r="H1021" s="2" t="n">
        <v>17</v>
      </c>
      <c r="I1021" s="2" t="n">
        <v>190</v>
      </c>
      <c r="J1021" s="2" t="n">
        <v>0</v>
      </c>
      <c r="K1021" s="2" t="n">
        <v>35817</v>
      </c>
      <c r="L1021" s="2" t="n">
        <v>26487</v>
      </c>
      <c r="M1021" s="2" t="n">
        <v>2169</v>
      </c>
      <c r="N1021" s="2" t="n">
        <v>142</v>
      </c>
      <c r="O1021" s="2" t="n">
        <v>401</v>
      </c>
      <c r="P1021" s="2" t="n">
        <v>338</v>
      </c>
      <c r="Q1021" s="2" t="n">
        <v>199</v>
      </c>
      <c r="R1021" s="2" t="n">
        <v>15</v>
      </c>
      <c r="S1021" s="2" t="n">
        <v>12</v>
      </c>
      <c r="T1021" s="2" t="s">
        <v>66</v>
      </c>
      <c r="U1021" s="4" t="n">
        <f aca="false">(M1021+N1021+O1021+P1021)/L1021</f>
        <v>0.115150828708423</v>
      </c>
      <c r="V1021" s="2" t="str">
        <f aca="false">IF(S1021&lt;=5,"Late night (0-5)",IF(S1021&lt;=11,"Morning (6-11)",IF(S1021&lt;=17,"Afternoon (12-17)","Evening (18-23)")))</f>
        <v>Afternoon (12-17)</v>
      </c>
    </row>
    <row r="1022" customFormat="false" ht="15" hidden="false" customHeight="false" outlineLevel="0" collapsed="false">
      <c r="A1022" s="2" t="s">
        <v>1862</v>
      </c>
      <c r="B1022" s="2" t="s">
        <v>345</v>
      </c>
      <c r="C1022" s="2" t="s">
        <v>30</v>
      </c>
      <c r="D1022" s="3" t="n">
        <v>45851</v>
      </c>
      <c r="E1022" s="2" t="s">
        <v>1863</v>
      </c>
      <c r="F1022" s="2" t="s">
        <v>26</v>
      </c>
      <c r="G1022" s="2" t="n">
        <v>8662</v>
      </c>
      <c r="H1022" s="2" t="n">
        <v>20</v>
      </c>
      <c r="I1022" s="2" t="n">
        <v>313</v>
      </c>
      <c r="J1022" s="2" t="n">
        <v>1</v>
      </c>
      <c r="K1022" s="2" t="n">
        <v>15403</v>
      </c>
      <c r="L1022" s="2" t="n">
        <v>10365</v>
      </c>
      <c r="M1022" s="2" t="n">
        <v>615</v>
      </c>
      <c r="N1022" s="2" t="n">
        <v>43</v>
      </c>
      <c r="O1022" s="2" t="n">
        <v>94</v>
      </c>
      <c r="P1022" s="2" t="n">
        <v>231</v>
      </c>
      <c r="Q1022" s="2" t="n">
        <v>242</v>
      </c>
      <c r="R1022" s="2" t="n">
        <v>50</v>
      </c>
      <c r="S1022" s="2" t="n">
        <v>7</v>
      </c>
      <c r="T1022" s="2" t="s">
        <v>27</v>
      </c>
      <c r="U1022" s="4" t="n">
        <f aca="false">(M1022+N1022+O1022+P1022)/L1022</f>
        <v>0.0948383984563435</v>
      </c>
      <c r="V1022" s="2" t="str">
        <f aca="false">IF(S1022&lt;=5,"Late night (0-5)",IF(S1022&lt;=11,"Morning (6-11)",IF(S1022&lt;=17,"Afternoon (12-17)","Evening (18-23)")))</f>
        <v>Morning (6-11)</v>
      </c>
    </row>
    <row r="1023" customFormat="false" ht="15" hidden="false" customHeight="false" outlineLevel="0" collapsed="false">
      <c r="A1023" s="2" t="s">
        <v>1864</v>
      </c>
      <c r="B1023" s="2" t="s">
        <v>60</v>
      </c>
      <c r="C1023" s="2" t="s">
        <v>41</v>
      </c>
      <c r="D1023" s="3" t="n">
        <v>45921</v>
      </c>
      <c r="E1023" s="2" t="s">
        <v>1865</v>
      </c>
      <c r="F1023" s="2" t="s">
        <v>38</v>
      </c>
      <c r="G1023" s="2" t="n">
        <v>7512</v>
      </c>
      <c r="H1023" s="2" t="n">
        <v>17</v>
      </c>
      <c r="I1023" s="2" t="n">
        <v>313</v>
      </c>
      <c r="J1023" s="2" t="n">
        <v>0</v>
      </c>
      <c r="K1023" s="2" t="n">
        <v>5951</v>
      </c>
      <c r="L1023" s="2" t="n">
        <v>3542</v>
      </c>
      <c r="M1023" s="2" t="n">
        <v>135</v>
      </c>
      <c r="N1023" s="2" t="n">
        <v>4</v>
      </c>
      <c r="O1023" s="2" t="n">
        <v>10</v>
      </c>
      <c r="P1023" s="2" t="n">
        <v>12</v>
      </c>
      <c r="Q1023" s="2" t="n">
        <v>52</v>
      </c>
      <c r="R1023" s="2" t="n">
        <v>5</v>
      </c>
      <c r="S1023" s="2" t="n">
        <v>17</v>
      </c>
      <c r="T1023" s="2" t="s">
        <v>27</v>
      </c>
      <c r="U1023" s="4" t="n">
        <f aca="false">(M1023+N1023+O1023+P1023)/L1023</f>
        <v>0.0454545454545455</v>
      </c>
      <c r="V1023" s="2" t="str">
        <f aca="false">IF(S1023&lt;=5,"Late night (0-5)",IF(S1023&lt;=11,"Morning (6-11)",IF(S1023&lt;=17,"Afternoon (12-17)","Evening (18-23)")))</f>
        <v>Afternoon (12-17)</v>
      </c>
    </row>
    <row r="1024" customFormat="false" ht="15" hidden="false" customHeight="false" outlineLevel="0" collapsed="false">
      <c r="A1024" s="2" t="s">
        <v>1866</v>
      </c>
      <c r="B1024" s="2" t="s">
        <v>60</v>
      </c>
      <c r="C1024" s="2" t="s">
        <v>41</v>
      </c>
      <c r="D1024" s="3" t="n">
        <v>45862</v>
      </c>
      <c r="E1024" s="2" t="s">
        <v>916</v>
      </c>
      <c r="F1024" s="2" t="s">
        <v>38</v>
      </c>
      <c r="G1024" s="2" t="n">
        <v>7512</v>
      </c>
      <c r="H1024" s="2" t="n">
        <v>15</v>
      </c>
      <c r="I1024" s="2" t="n">
        <v>221</v>
      </c>
      <c r="J1024" s="2" t="n">
        <v>0</v>
      </c>
      <c r="K1024" s="2" t="n">
        <v>9581</v>
      </c>
      <c r="L1024" s="2" t="n">
        <v>5715</v>
      </c>
      <c r="M1024" s="2" t="n">
        <v>320</v>
      </c>
      <c r="N1024" s="2" t="n">
        <v>14</v>
      </c>
      <c r="O1024" s="2" t="n">
        <v>63</v>
      </c>
      <c r="P1024" s="2" t="n">
        <v>87</v>
      </c>
      <c r="Q1024" s="2" t="n">
        <v>63</v>
      </c>
      <c r="R1024" s="2" t="n">
        <v>17</v>
      </c>
      <c r="S1024" s="2" t="n">
        <v>13</v>
      </c>
      <c r="T1024" s="2" t="s">
        <v>79</v>
      </c>
      <c r="U1024" s="4" t="n">
        <f aca="false">(M1024+N1024+O1024+P1024)/L1024</f>
        <v>0.0846894138232721</v>
      </c>
      <c r="V1024" s="2" t="str">
        <f aca="false">IF(S1024&lt;=5,"Late night (0-5)",IF(S1024&lt;=11,"Morning (6-11)",IF(S1024&lt;=17,"Afternoon (12-17)","Evening (18-23)")))</f>
        <v>Afternoon (12-17)</v>
      </c>
    </row>
    <row r="1025" customFormat="false" ht="15" hidden="false" customHeight="false" outlineLevel="0" collapsed="false">
      <c r="A1025" s="2" t="s">
        <v>1867</v>
      </c>
      <c r="B1025" s="2" t="s">
        <v>64</v>
      </c>
      <c r="C1025" s="2" t="s">
        <v>36</v>
      </c>
      <c r="D1025" s="3" t="n">
        <v>45866</v>
      </c>
      <c r="E1025" s="2" t="s">
        <v>95</v>
      </c>
      <c r="F1025" s="2" t="s">
        <v>32</v>
      </c>
      <c r="G1025" s="2" t="n">
        <v>43781</v>
      </c>
      <c r="H1025" s="2" t="n">
        <v>11</v>
      </c>
      <c r="I1025" s="2" t="n">
        <v>77</v>
      </c>
      <c r="J1025" s="2" t="n">
        <v>1</v>
      </c>
      <c r="K1025" s="2" t="n">
        <v>105907</v>
      </c>
      <c r="L1025" s="2" t="n">
        <v>59332</v>
      </c>
      <c r="M1025" s="2" t="n">
        <v>5454</v>
      </c>
      <c r="N1025" s="2" t="n">
        <v>353</v>
      </c>
      <c r="O1025" s="2" t="n">
        <v>468</v>
      </c>
      <c r="P1025" s="2" t="n">
        <v>939</v>
      </c>
      <c r="Q1025" s="2" t="n">
        <v>1543</v>
      </c>
      <c r="R1025" s="2" t="n">
        <v>204</v>
      </c>
      <c r="S1025" s="2" t="n">
        <v>0</v>
      </c>
      <c r="T1025" s="2" t="s">
        <v>33</v>
      </c>
      <c r="U1025" s="4" t="n">
        <f aca="false">(M1025+N1025+O1025+P1025)/L1025</f>
        <v>0.1215870019551</v>
      </c>
      <c r="V1025" s="2" t="str">
        <f aca="false">IF(S1025&lt;=5,"Late night (0-5)",IF(S1025&lt;=11,"Morning (6-11)",IF(S1025&lt;=17,"Afternoon (12-17)","Evening (18-23)")))</f>
        <v>Late night (0-5)</v>
      </c>
    </row>
    <row r="1026" customFormat="false" ht="15" hidden="false" customHeight="false" outlineLevel="0" collapsed="false">
      <c r="A1026" s="2" t="s">
        <v>1868</v>
      </c>
      <c r="B1026" s="2" t="s">
        <v>462</v>
      </c>
      <c r="C1026" s="2" t="s">
        <v>84</v>
      </c>
      <c r="D1026" s="3" t="n">
        <v>45702</v>
      </c>
      <c r="E1026" s="2" t="s">
        <v>1088</v>
      </c>
      <c r="F1026" s="2" t="s">
        <v>32</v>
      </c>
      <c r="G1026" s="2" t="n">
        <v>43510</v>
      </c>
      <c r="H1026" s="2" t="n">
        <v>14</v>
      </c>
      <c r="I1026" s="2" t="n">
        <v>182</v>
      </c>
      <c r="J1026" s="2" t="n">
        <v>0</v>
      </c>
      <c r="K1026" s="2" t="n">
        <v>200555</v>
      </c>
      <c r="L1026" s="2" t="n">
        <v>136268</v>
      </c>
      <c r="M1026" s="2" t="n">
        <v>7349</v>
      </c>
      <c r="N1026" s="2" t="n">
        <v>496</v>
      </c>
      <c r="O1026" s="2" t="n">
        <v>1953</v>
      </c>
      <c r="P1026" s="2" t="n">
        <v>1903</v>
      </c>
      <c r="Q1026" s="2" t="n">
        <v>857</v>
      </c>
      <c r="R1026" s="2" t="n">
        <v>192</v>
      </c>
      <c r="S1026" s="2" t="n">
        <v>7</v>
      </c>
      <c r="T1026" s="2" t="s">
        <v>96</v>
      </c>
      <c r="U1026" s="4" t="n">
        <f aca="false">(M1026+N1026+O1026+P1026)/L1026</f>
        <v>0.0858675551119852</v>
      </c>
      <c r="V1026" s="2" t="str">
        <f aca="false">IF(S1026&lt;=5,"Late night (0-5)",IF(S1026&lt;=11,"Morning (6-11)",IF(S1026&lt;=17,"Afternoon (12-17)","Evening (18-23)")))</f>
        <v>Morning (6-11)</v>
      </c>
    </row>
    <row r="1027" customFormat="false" ht="15" hidden="false" customHeight="false" outlineLevel="0" collapsed="false">
      <c r="A1027" s="2" t="s">
        <v>1869</v>
      </c>
      <c r="B1027" s="2" t="s">
        <v>129</v>
      </c>
      <c r="C1027" s="2" t="s">
        <v>54</v>
      </c>
      <c r="D1027" s="3" t="n">
        <v>45965</v>
      </c>
      <c r="E1027" s="2" t="s">
        <v>1870</v>
      </c>
      <c r="F1027" s="2" t="s">
        <v>38</v>
      </c>
      <c r="G1027" s="2" t="n">
        <v>10312</v>
      </c>
      <c r="H1027" s="2" t="n">
        <v>12</v>
      </c>
      <c r="I1027" s="2" t="n">
        <v>330</v>
      </c>
      <c r="J1027" s="2" t="n">
        <v>1</v>
      </c>
      <c r="K1027" s="2" t="n">
        <v>8455</v>
      </c>
      <c r="L1027" s="2" t="n">
        <v>6370</v>
      </c>
      <c r="M1027" s="2" t="n">
        <v>318</v>
      </c>
      <c r="N1027" s="2" t="n">
        <v>24</v>
      </c>
      <c r="O1027" s="2" t="n">
        <v>18</v>
      </c>
      <c r="P1027" s="2" t="n">
        <v>37</v>
      </c>
      <c r="Q1027" s="2" t="n">
        <v>164</v>
      </c>
      <c r="R1027" s="2" t="n">
        <v>46</v>
      </c>
      <c r="S1027" s="2" t="n">
        <v>19</v>
      </c>
      <c r="T1027" s="2" t="s">
        <v>51</v>
      </c>
      <c r="U1027" s="4" t="n">
        <f aca="false">(M1027+N1027+O1027+P1027)/L1027</f>
        <v>0.0623233908948195</v>
      </c>
      <c r="V1027" s="2" t="str">
        <f aca="false">IF(S1027&lt;=5,"Late night (0-5)",IF(S1027&lt;=11,"Morning (6-11)",IF(S1027&lt;=17,"Afternoon (12-17)","Evening (18-23)")))</f>
        <v>Evening (18-23)</v>
      </c>
    </row>
    <row r="1028" customFormat="false" ht="15" hidden="false" customHeight="false" outlineLevel="0" collapsed="false">
      <c r="A1028" s="2" t="s">
        <v>1871</v>
      </c>
      <c r="B1028" s="2" t="s">
        <v>60</v>
      </c>
      <c r="C1028" s="2" t="s">
        <v>41</v>
      </c>
      <c r="D1028" s="3" t="n">
        <v>45984</v>
      </c>
      <c r="E1028" s="2" t="s">
        <v>1872</v>
      </c>
      <c r="F1028" s="2" t="s">
        <v>32</v>
      </c>
      <c r="G1028" s="2" t="n">
        <v>7512</v>
      </c>
      <c r="H1028" s="2" t="n">
        <v>15</v>
      </c>
      <c r="I1028" s="2" t="n">
        <v>166</v>
      </c>
      <c r="J1028" s="2" t="n">
        <v>0</v>
      </c>
      <c r="K1028" s="2" t="n">
        <v>11988</v>
      </c>
      <c r="L1028" s="2" t="n">
        <v>6967</v>
      </c>
      <c r="M1028" s="2" t="n">
        <v>569</v>
      </c>
      <c r="N1028" s="2" t="n">
        <v>25</v>
      </c>
      <c r="O1028" s="2" t="n">
        <v>48</v>
      </c>
      <c r="P1028" s="2" t="n">
        <v>85</v>
      </c>
      <c r="Q1028" s="2" t="n">
        <v>92</v>
      </c>
      <c r="R1028" s="2" t="n">
        <v>24</v>
      </c>
      <c r="S1028" s="2" t="n">
        <v>3</v>
      </c>
      <c r="T1028" s="2" t="s">
        <v>27</v>
      </c>
      <c r="U1028" s="4" t="n">
        <f aca="false">(M1028+N1028+O1028+P1028)/L1028</f>
        <v>0.104349074206976</v>
      </c>
      <c r="V1028" s="2" t="str">
        <f aca="false">IF(S1028&lt;=5,"Late night (0-5)",IF(S1028&lt;=11,"Morning (6-11)",IF(S1028&lt;=17,"Afternoon (12-17)","Evening (18-23)")))</f>
        <v>Late night (0-5)</v>
      </c>
    </row>
    <row r="1029" customFormat="false" ht="15" hidden="false" customHeight="false" outlineLevel="0" collapsed="false">
      <c r="A1029" s="2" t="s">
        <v>1873</v>
      </c>
      <c r="B1029" s="2" t="s">
        <v>374</v>
      </c>
      <c r="C1029" s="2" t="s">
        <v>24</v>
      </c>
      <c r="D1029" s="3" t="n">
        <v>45918</v>
      </c>
      <c r="E1029" s="2" t="s">
        <v>225</v>
      </c>
      <c r="F1029" s="2" t="s">
        <v>32</v>
      </c>
      <c r="G1029" s="2" t="n">
        <v>9509</v>
      </c>
      <c r="H1029" s="2" t="n">
        <v>5</v>
      </c>
      <c r="I1029" s="2" t="n">
        <v>184</v>
      </c>
      <c r="J1029" s="2" t="n">
        <v>0</v>
      </c>
      <c r="K1029" s="2" t="n">
        <v>42774</v>
      </c>
      <c r="L1029" s="2" t="n">
        <v>26149</v>
      </c>
      <c r="M1029" s="2" t="n">
        <v>2538</v>
      </c>
      <c r="N1029" s="2" t="n">
        <v>65</v>
      </c>
      <c r="O1029" s="2" t="n">
        <v>399</v>
      </c>
      <c r="P1029" s="2" t="n">
        <v>693</v>
      </c>
      <c r="Q1029" s="2" t="n">
        <v>408</v>
      </c>
      <c r="R1029" s="2" t="n">
        <v>78</v>
      </c>
      <c r="S1029" s="2" t="n">
        <v>8</v>
      </c>
      <c r="T1029" s="2" t="s">
        <v>79</v>
      </c>
      <c r="U1029" s="4" t="n">
        <f aca="false">(M1029+N1029+O1029+P1029)/L1029</f>
        <v>0.141305594860224</v>
      </c>
      <c r="V1029" s="2" t="str">
        <f aca="false">IF(S1029&lt;=5,"Late night (0-5)",IF(S1029&lt;=11,"Morning (6-11)",IF(S1029&lt;=17,"Afternoon (12-17)","Evening (18-23)")))</f>
        <v>Morning (6-11)</v>
      </c>
    </row>
    <row r="1030" customFormat="false" ht="15" hidden="false" customHeight="false" outlineLevel="0" collapsed="false">
      <c r="A1030" s="2" t="s">
        <v>1874</v>
      </c>
      <c r="B1030" s="2" t="s">
        <v>74</v>
      </c>
      <c r="C1030" s="2" t="s">
        <v>30</v>
      </c>
      <c r="D1030" s="3" t="n">
        <v>45712</v>
      </c>
      <c r="E1030" s="2" t="s">
        <v>1875</v>
      </c>
      <c r="F1030" s="2" t="s">
        <v>32</v>
      </c>
      <c r="G1030" s="2" t="n">
        <v>20432</v>
      </c>
      <c r="H1030" s="2" t="n">
        <v>20</v>
      </c>
      <c r="I1030" s="2" t="n">
        <v>180</v>
      </c>
      <c r="J1030" s="2" t="n">
        <v>0</v>
      </c>
      <c r="K1030" s="2" t="n">
        <v>21993</v>
      </c>
      <c r="L1030" s="2" t="n">
        <v>19305</v>
      </c>
      <c r="M1030" s="2" t="n">
        <v>1400</v>
      </c>
      <c r="N1030" s="2" t="n">
        <v>101</v>
      </c>
      <c r="O1030" s="2" t="n">
        <v>409</v>
      </c>
      <c r="P1030" s="2" t="n">
        <v>370</v>
      </c>
      <c r="Q1030" s="2" t="n">
        <v>332</v>
      </c>
      <c r="R1030" s="2" t="n">
        <v>88</v>
      </c>
      <c r="S1030" s="2" t="n">
        <v>16</v>
      </c>
      <c r="T1030" s="2" t="s">
        <v>33</v>
      </c>
      <c r="U1030" s="4" t="n">
        <f aca="false">(M1030+N1030+O1030+P1030)/L1030</f>
        <v>0.118104118104118</v>
      </c>
      <c r="V1030" s="2" t="str">
        <f aca="false">IF(S1030&lt;=5,"Late night (0-5)",IF(S1030&lt;=11,"Morning (6-11)",IF(S1030&lt;=17,"Afternoon (12-17)","Evening (18-23)")))</f>
        <v>Afternoon (12-17)</v>
      </c>
    </row>
    <row r="1031" customFormat="false" ht="15" hidden="false" customHeight="false" outlineLevel="0" collapsed="false">
      <c r="A1031" s="2" t="s">
        <v>1876</v>
      </c>
      <c r="B1031" s="2" t="s">
        <v>44</v>
      </c>
      <c r="C1031" s="2" t="s">
        <v>36</v>
      </c>
      <c r="D1031" s="3" t="n">
        <v>45832</v>
      </c>
      <c r="E1031" s="2" t="s">
        <v>1877</v>
      </c>
      <c r="F1031" s="2" t="s">
        <v>38</v>
      </c>
      <c r="G1031" s="2" t="n">
        <v>6265</v>
      </c>
      <c r="H1031" s="2" t="n">
        <v>16</v>
      </c>
      <c r="I1031" s="2" t="n">
        <v>278</v>
      </c>
      <c r="J1031" s="2" t="n">
        <v>0</v>
      </c>
      <c r="K1031" s="2" t="n">
        <v>2209</v>
      </c>
      <c r="L1031" s="2" t="n">
        <v>1598</v>
      </c>
      <c r="M1031" s="2" t="n">
        <v>61</v>
      </c>
      <c r="N1031" s="2" t="n">
        <v>3</v>
      </c>
      <c r="O1031" s="2" t="n">
        <v>6</v>
      </c>
      <c r="P1031" s="2" t="n">
        <v>17</v>
      </c>
      <c r="Q1031" s="2" t="n">
        <v>46</v>
      </c>
      <c r="R1031" s="2" t="n">
        <v>11</v>
      </c>
      <c r="S1031" s="2" t="n">
        <v>4</v>
      </c>
      <c r="T1031" s="2" t="s">
        <v>51</v>
      </c>
      <c r="U1031" s="4" t="n">
        <f aca="false">(M1031+N1031+O1031+P1031)/L1031</f>
        <v>0.0544430538172716</v>
      </c>
      <c r="V1031" s="2" t="str">
        <f aca="false">IF(S1031&lt;=5,"Late night (0-5)",IF(S1031&lt;=11,"Morning (6-11)",IF(S1031&lt;=17,"Afternoon (12-17)","Evening (18-23)")))</f>
        <v>Late night (0-5)</v>
      </c>
    </row>
    <row r="1032" customFormat="false" ht="15" hidden="false" customHeight="false" outlineLevel="0" collapsed="false">
      <c r="A1032" s="2" t="s">
        <v>1878</v>
      </c>
      <c r="B1032" s="2" t="s">
        <v>310</v>
      </c>
      <c r="C1032" s="2" t="s">
        <v>91</v>
      </c>
      <c r="D1032" s="3" t="n">
        <v>45882</v>
      </c>
      <c r="E1032" s="2" t="s">
        <v>1003</v>
      </c>
      <c r="F1032" s="2" t="s">
        <v>26</v>
      </c>
      <c r="G1032" s="2" t="n">
        <v>56571</v>
      </c>
      <c r="H1032" s="2" t="n">
        <v>4</v>
      </c>
      <c r="I1032" s="2" t="n">
        <v>32</v>
      </c>
      <c r="J1032" s="2" t="n">
        <v>0</v>
      </c>
      <c r="K1032" s="2" t="n">
        <v>31784</v>
      </c>
      <c r="L1032" s="2" t="n">
        <v>22683</v>
      </c>
      <c r="M1032" s="2" t="n">
        <v>764</v>
      </c>
      <c r="N1032" s="2" t="n">
        <v>15</v>
      </c>
      <c r="O1032" s="2" t="n">
        <v>81</v>
      </c>
      <c r="P1032" s="2" t="n">
        <v>252</v>
      </c>
      <c r="Q1032" s="2" t="n">
        <v>361</v>
      </c>
      <c r="R1032" s="2" t="n">
        <v>64</v>
      </c>
      <c r="S1032" s="2" t="n">
        <v>2</v>
      </c>
      <c r="T1032" s="2" t="s">
        <v>66</v>
      </c>
      <c r="U1032" s="4" t="n">
        <f aca="false">(M1032+N1032+O1032+P1032)/L1032</f>
        <v>0.0490234977736631</v>
      </c>
      <c r="V1032" s="2" t="str">
        <f aca="false">IF(S1032&lt;=5,"Late night (0-5)",IF(S1032&lt;=11,"Morning (6-11)",IF(S1032&lt;=17,"Afternoon (12-17)","Evening (18-23)")))</f>
        <v>Late night (0-5)</v>
      </c>
    </row>
    <row r="1033" customFormat="false" ht="15" hidden="false" customHeight="false" outlineLevel="0" collapsed="false">
      <c r="A1033" s="2" t="s">
        <v>1879</v>
      </c>
      <c r="B1033" s="2" t="s">
        <v>243</v>
      </c>
      <c r="C1033" s="2" t="s">
        <v>91</v>
      </c>
      <c r="D1033" s="3" t="n">
        <v>45829</v>
      </c>
      <c r="E1033" s="2" t="s">
        <v>1547</v>
      </c>
      <c r="F1033" s="2" t="s">
        <v>38</v>
      </c>
      <c r="G1033" s="2" t="n">
        <v>42046</v>
      </c>
      <c r="H1033" s="2" t="n">
        <v>10</v>
      </c>
      <c r="I1033" s="2" t="n">
        <v>186</v>
      </c>
      <c r="J1033" s="2" t="n">
        <v>0</v>
      </c>
      <c r="K1033" s="2" t="n">
        <v>6099</v>
      </c>
      <c r="L1033" s="2" t="n">
        <v>4527</v>
      </c>
      <c r="M1033" s="2" t="n">
        <v>246</v>
      </c>
      <c r="N1033" s="2" t="n">
        <v>15</v>
      </c>
      <c r="O1033" s="2" t="n">
        <v>23</v>
      </c>
      <c r="P1033" s="2" t="n">
        <v>35</v>
      </c>
      <c r="Q1033" s="2" t="n">
        <v>29</v>
      </c>
      <c r="R1033" s="2" t="n">
        <v>4</v>
      </c>
      <c r="S1033" s="2" t="n">
        <v>2</v>
      </c>
      <c r="T1033" s="2" t="s">
        <v>62</v>
      </c>
      <c r="U1033" s="4" t="n">
        <f aca="false">(M1033+N1033+O1033+P1033)/L1033</f>
        <v>0.0704660923348796</v>
      </c>
      <c r="V1033" s="2" t="str">
        <f aca="false">IF(S1033&lt;=5,"Late night (0-5)",IF(S1033&lt;=11,"Morning (6-11)",IF(S1033&lt;=17,"Afternoon (12-17)","Evening (18-23)")))</f>
        <v>Late night (0-5)</v>
      </c>
    </row>
    <row r="1034" customFormat="false" ht="15" hidden="false" customHeight="false" outlineLevel="0" collapsed="false">
      <c r="A1034" s="2" t="s">
        <v>1880</v>
      </c>
      <c r="B1034" s="2" t="s">
        <v>68</v>
      </c>
      <c r="C1034" s="2" t="s">
        <v>54</v>
      </c>
      <c r="D1034" s="3" t="n">
        <v>45875</v>
      </c>
      <c r="E1034" s="2" t="s">
        <v>574</v>
      </c>
      <c r="F1034" s="2" t="s">
        <v>26</v>
      </c>
      <c r="G1034" s="2" t="n">
        <v>35922</v>
      </c>
      <c r="H1034" s="2" t="n">
        <v>16</v>
      </c>
      <c r="I1034" s="2" t="n">
        <v>165</v>
      </c>
      <c r="J1034" s="2" t="n">
        <v>1</v>
      </c>
      <c r="K1034" s="2" t="n">
        <v>99536</v>
      </c>
      <c r="L1034" s="2" t="n">
        <v>62393</v>
      </c>
      <c r="M1034" s="2" t="n">
        <v>2889</v>
      </c>
      <c r="N1034" s="2" t="n">
        <v>109</v>
      </c>
      <c r="O1034" s="2" t="n">
        <v>574</v>
      </c>
      <c r="P1034" s="2" t="n">
        <v>592</v>
      </c>
      <c r="Q1034" s="2" t="n">
        <v>1108</v>
      </c>
      <c r="R1034" s="2" t="n">
        <v>162</v>
      </c>
      <c r="S1034" s="2" t="n">
        <v>6</v>
      </c>
      <c r="T1034" s="2" t="s">
        <v>66</v>
      </c>
      <c r="U1034" s="4" t="n">
        <f aca="false">(M1034+N1034+O1034+P1034)/L1034</f>
        <v>0.0667382558940907</v>
      </c>
      <c r="V1034" s="2" t="str">
        <f aca="false">IF(S1034&lt;=5,"Late night (0-5)",IF(S1034&lt;=11,"Morning (6-11)",IF(S1034&lt;=17,"Afternoon (12-17)","Evening (18-23)")))</f>
        <v>Morning (6-11)</v>
      </c>
    </row>
    <row r="1035" customFormat="false" ht="15" hidden="false" customHeight="false" outlineLevel="0" collapsed="false">
      <c r="A1035" s="2" t="s">
        <v>1881</v>
      </c>
      <c r="B1035" s="2" t="s">
        <v>154</v>
      </c>
      <c r="C1035" s="2" t="s">
        <v>41</v>
      </c>
      <c r="D1035" s="3" t="n">
        <v>45770</v>
      </c>
      <c r="E1035" s="2" t="s">
        <v>88</v>
      </c>
      <c r="F1035" s="2" t="s">
        <v>38</v>
      </c>
      <c r="G1035" s="2" t="n">
        <v>33644</v>
      </c>
      <c r="H1035" s="2" t="n">
        <v>18</v>
      </c>
      <c r="I1035" s="2" t="n">
        <v>200</v>
      </c>
      <c r="J1035" s="2" t="n">
        <v>1</v>
      </c>
      <c r="K1035" s="2" t="n">
        <v>83965</v>
      </c>
      <c r="L1035" s="2" t="n">
        <v>51586</v>
      </c>
      <c r="M1035" s="2" t="n">
        <v>3181</v>
      </c>
      <c r="N1035" s="2" t="n">
        <v>169</v>
      </c>
      <c r="O1035" s="2" t="n">
        <v>119</v>
      </c>
      <c r="P1035" s="2" t="n">
        <v>223</v>
      </c>
      <c r="Q1035" s="2" t="n">
        <v>1437</v>
      </c>
      <c r="R1035" s="2" t="n">
        <v>279</v>
      </c>
      <c r="S1035" s="2" t="n">
        <v>7</v>
      </c>
      <c r="T1035" s="2" t="s">
        <v>66</v>
      </c>
      <c r="U1035" s="4" t="n">
        <f aca="false">(M1035+N1035+O1035+P1035)/L1035</f>
        <v>0.0715698057612531</v>
      </c>
      <c r="V1035" s="2" t="str">
        <f aca="false">IF(S1035&lt;=5,"Late night (0-5)",IF(S1035&lt;=11,"Morning (6-11)",IF(S1035&lt;=17,"Afternoon (12-17)","Evening (18-23)")))</f>
        <v>Morning (6-11)</v>
      </c>
    </row>
    <row r="1036" customFormat="false" ht="15" hidden="false" customHeight="false" outlineLevel="0" collapsed="false">
      <c r="A1036" s="2" t="s">
        <v>1882</v>
      </c>
      <c r="B1036" s="2" t="s">
        <v>181</v>
      </c>
      <c r="C1036" s="2" t="s">
        <v>91</v>
      </c>
      <c r="D1036" s="3" t="n">
        <v>45781</v>
      </c>
      <c r="E1036" s="2" t="s">
        <v>1883</v>
      </c>
      <c r="F1036" s="2" t="s">
        <v>26</v>
      </c>
      <c r="G1036" s="2" t="n">
        <v>31658</v>
      </c>
      <c r="H1036" s="2" t="n">
        <v>14</v>
      </c>
      <c r="I1036" s="2" t="n">
        <v>181</v>
      </c>
      <c r="J1036" s="2" t="n">
        <v>1</v>
      </c>
      <c r="K1036" s="2" t="n">
        <v>32699</v>
      </c>
      <c r="L1036" s="2" t="n">
        <v>19882</v>
      </c>
      <c r="M1036" s="2" t="n">
        <v>1130</v>
      </c>
      <c r="N1036" s="2" t="n">
        <v>59</v>
      </c>
      <c r="O1036" s="2" t="n">
        <v>63</v>
      </c>
      <c r="P1036" s="2" t="n">
        <v>156</v>
      </c>
      <c r="Q1036" s="2" t="n">
        <v>363</v>
      </c>
      <c r="R1036" s="2" t="n">
        <v>38</v>
      </c>
      <c r="S1036" s="2" t="n">
        <v>9</v>
      </c>
      <c r="T1036" s="2" t="s">
        <v>27</v>
      </c>
      <c r="U1036" s="4" t="n">
        <f aca="false">(M1036+N1036+O1036+P1036)/L1036</f>
        <v>0.0708178251684941</v>
      </c>
      <c r="V1036" s="2" t="str">
        <f aca="false">IF(S1036&lt;=5,"Late night (0-5)",IF(S1036&lt;=11,"Morning (6-11)",IF(S1036&lt;=17,"Afternoon (12-17)","Evening (18-23)")))</f>
        <v>Morning (6-11)</v>
      </c>
    </row>
    <row r="1037" customFormat="false" ht="15" hidden="false" customHeight="false" outlineLevel="0" collapsed="false">
      <c r="A1037" s="2" t="s">
        <v>1884</v>
      </c>
      <c r="B1037" s="2" t="s">
        <v>459</v>
      </c>
      <c r="C1037" s="2" t="s">
        <v>84</v>
      </c>
      <c r="D1037" s="3" t="n">
        <v>45923</v>
      </c>
      <c r="E1037" s="2" t="s">
        <v>1885</v>
      </c>
      <c r="F1037" s="2" t="s">
        <v>38</v>
      </c>
      <c r="G1037" s="2" t="n">
        <v>19744</v>
      </c>
      <c r="H1037" s="2" t="n">
        <v>9</v>
      </c>
      <c r="I1037" s="2" t="n">
        <v>129</v>
      </c>
      <c r="J1037" s="2" t="n">
        <v>1</v>
      </c>
      <c r="K1037" s="2" t="n">
        <v>6872</v>
      </c>
      <c r="L1037" s="2" t="n">
        <v>5131</v>
      </c>
      <c r="M1037" s="2" t="n">
        <v>170</v>
      </c>
      <c r="N1037" s="2" t="n">
        <v>13</v>
      </c>
      <c r="O1037" s="2" t="n">
        <v>29</v>
      </c>
      <c r="P1037" s="2" t="n">
        <v>21</v>
      </c>
      <c r="Q1037" s="2" t="n">
        <v>42</v>
      </c>
      <c r="R1037" s="2" t="n">
        <v>9</v>
      </c>
      <c r="S1037" s="2" t="n">
        <v>1</v>
      </c>
      <c r="T1037" s="2" t="s">
        <v>51</v>
      </c>
      <c r="U1037" s="4" t="n">
        <f aca="false">(M1037+N1037+O1037+P1037)/L1037</f>
        <v>0.0454102514129799</v>
      </c>
      <c r="V1037" s="2" t="str">
        <f aca="false">IF(S1037&lt;=5,"Late night (0-5)",IF(S1037&lt;=11,"Morning (6-11)",IF(S1037&lt;=17,"Afternoon (12-17)","Evening (18-23)")))</f>
        <v>Late night (0-5)</v>
      </c>
    </row>
    <row r="1038" customFormat="false" ht="15" hidden="false" customHeight="false" outlineLevel="0" collapsed="false">
      <c r="A1038" s="2" t="s">
        <v>1886</v>
      </c>
      <c r="B1038" s="2" t="s">
        <v>227</v>
      </c>
      <c r="C1038" s="2" t="s">
        <v>54</v>
      </c>
      <c r="D1038" s="3" t="n">
        <v>46015</v>
      </c>
      <c r="E1038" s="2" t="s">
        <v>518</v>
      </c>
      <c r="F1038" s="2" t="s">
        <v>26</v>
      </c>
      <c r="G1038" s="2" t="n">
        <v>11796</v>
      </c>
      <c r="H1038" s="2" t="n">
        <v>15</v>
      </c>
      <c r="I1038" s="2" t="n">
        <v>218</v>
      </c>
      <c r="J1038" s="2" t="n">
        <v>1</v>
      </c>
      <c r="K1038" s="2" t="n">
        <v>21945</v>
      </c>
      <c r="L1038" s="2" t="n">
        <v>15301</v>
      </c>
      <c r="M1038" s="2" t="n">
        <v>1191</v>
      </c>
      <c r="N1038" s="2" t="n">
        <v>44</v>
      </c>
      <c r="O1038" s="2" t="n">
        <v>203</v>
      </c>
      <c r="P1038" s="2" t="n">
        <v>426</v>
      </c>
      <c r="Q1038" s="2" t="n">
        <v>178</v>
      </c>
      <c r="R1038" s="2" t="n">
        <v>38</v>
      </c>
      <c r="S1038" s="2" t="n">
        <v>10</v>
      </c>
      <c r="T1038" s="2" t="s">
        <v>66</v>
      </c>
      <c r="U1038" s="4" t="n">
        <f aca="false">(M1038+N1038+O1038+P1038)/L1038</f>
        <v>0.121822103130514</v>
      </c>
      <c r="V1038" s="2" t="str">
        <f aca="false">IF(S1038&lt;=5,"Late night (0-5)",IF(S1038&lt;=11,"Morning (6-11)",IF(S1038&lt;=17,"Afternoon (12-17)","Evening (18-23)")))</f>
        <v>Morning (6-11)</v>
      </c>
    </row>
    <row r="1039" customFormat="false" ht="15" hidden="false" customHeight="false" outlineLevel="0" collapsed="false">
      <c r="A1039" s="2" t="s">
        <v>1887</v>
      </c>
      <c r="B1039" s="2" t="s">
        <v>68</v>
      </c>
      <c r="C1039" s="2" t="s">
        <v>54</v>
      </c>
      <c r="D1039" s="3" t="n">
        <v>45776</v>
      </c>
      <c r="E1039" s="2" t="s">
        <v>1888</v>
      </c>
      <c r="F1039" s="2" t="s">
        <v>38</v>
      </c>
      <c r="G1039" s="2" t="n">
        <v>35922</v>
      </c>
      <c r="H1039" s="2" t="n">
        <v>10</v>
      </c>
      <c r="I1039" s="2" t="n">
        <v>262</v>
      </c>
      <c r="J1039" s="2" t="n">
        <v>0</v>
      </c>
      <c r="K1039" s="2" t="n">
        <v>61684</v>
      </c>
      <c r="L1039" s="2" t="n">
        <v>35631</v>
      </c>
      <c r="M1039" s="2" t="n">
        <v>2830</v>
      </c>
      <c r="N1039" s="2" t="n">
        <v>102</v>
      </c>
      <c r="O1039" s="2" t="n">
        <v>318</v>
      </c>
      <c r="P1039" s="2" t="n">
        <v>359</v>
      </c>
      <c r="Q1039" s="2" t="n">
        <v>985</v>
      </c>
      <c r="R1039" s="2" t="n">
        <v>143</v>
      </c>
      <c r="S1039" s="2" t="n">
        <v>13</v>
      </c>
      <c r="T1039" s="2" t="s">
        <v>51</v>
      </c>
      <c r="U1039" s="4" t="n">
        <f aca="false">(M1039+N1039+O1039+P1039)/L1039</f>
        <v>0.101288204091942</v>
      </c>
      <c r="V1039" s="2" t="str">
        <f aca="false">IF(S1039&lt;=5,"Late night (0-5)",IF(S1039&lt;=11,"Morning (6-11)",IF(S1039&lt;=17,"Afternoon (12-17)","Evening (18-23)")))</f>
        <v>Afternoon (12-17)</v>
      </c>
    </row>
    <row r="1040" customFormat="false" ht="15" hidden="false" customHeight="false" outlineLevel="0" collapsed="false">
      <c r="A1040" s="2" t="s">
        <v>1889</v>
      </c>
      <c r="B1040" s="2" t="s">
        <v>87</v>
      </c>
      <c r="C1040" s="2" t="s">
        <v>36</v>
      </c>
      <c r="D1040" s="3" t="n">
        <v>45686</v>
      </c>
      <c r="E1040" s="2" t="s">
        <v>284</v>
      </c>
      <c r="F1040" s="2" t="s">
        <v>26</v>
      </c>
      <c r="G1040" s="2" t="n">
        <v>25592</v>
      </c>
      <c r="H1040" s="2" t="n">
        <v>12</v>
      </c>
      <c r="I1040" s="2" t="n">
        <v>251</v>
      </c>
      <c r="J1040" s="2" t="n">
        <v>0</v>
      </c>
      <c r="K1040" s="2" t="n">
        <v>27660</v>
      </c>
      <c r="L1040" s="2" t="n">
        <v>15573</v>
      </c>
      <c r="M1040" s="2" t="n">
        <v>1316</v>
      </c>
      <c r="N1040" s="2" t="n">
        <v>33</v>
      </c>
      <c r="O1040" s="2" t="n">
        <v>233</v>
      </c>
      <c r="P1040" s="2" t="n">
        <v>243</v>
      </c>
      <c r="Q1040" s="2" t="n">
        <v>104</v>
      </c>
      <c r="R1040" s="2" t="n">
        <v>13</v>
      </c>
      <c r="S1040" s="2" t="n">
        <v>23</v>
      </c>
      <c r="T1040" s="2" t="s">
        <v>66</v>
      </c>
      <c r="U1040" s="4" t="n">
        <f aca="false">(M1040+N1040+O1040+P1040)/L1040</f>
        <v>0.117190008347781</v>
      </c>
      <c r="V1040" s="2" t="str">
        <f aca="false">IF(S1040&lt;=5,"Late night (0-5)",IF(S1040&lt;=11,"Morning (6-11)",IF(S1040&lt;=17,"Afternoon (12-17)","Evening (18-23)")))</f>
        <v>Evening (18-23)</v>
      </c>
    </row>
    <row r="1041" customFormat="false" ht="15" hidden="false" customHeight="false" outlineLevel="0" collapsed="false">
      <c r="A1041" s="2" t="s">
        <v>1890</v>
      </c>
      <c r="B1041" s="2" t="s">
        <v>90</v>
      </c>
      <c r="C1041" s="2" t="s">
        <v>91</v>
      </c>
      <c r="D1041" s="3" t="n">
        <v>45926</v>
      </c>
      <c r="E1041" s="2" t="s">
        <v>1891</v>
      </c>
      <c r="F1041" s="2" t="s">
        <v>32</v>
      </c>
      <c r="G1041" s="2" t="n">
        <v>54788</v>
      </c>
      <c r="H1041" s="2" t="n">
        <v>10</v>
      </c>
      <c r="I1041" s="2" t="n">
        <v>286</v>
      </c>
      <c r="J1041" s="2" t="n">
        <v>0</v>
      </c>
      <c r="K1041" s="2" t="n">
        <v>49066</v>
      </c>
      <c r="L1041" s="2" t="n">
        <v>43478</v>
      </c>
      <c r="M1041" s="2" t="n">
        <v>1864</v>
      </c>
      <c r="N1041" s="2" t="n">
        <v>145</v>
      </c>
      <c r="O1041" s="2" t="n">
        <v>399</v>
      </c>
      <c r="P1041" s="2" t="n">
        <v>108</v>
      </c>
      <c r="Q1041" s="2" t="n">
        <v>1080</v>
      </c>
      <c r="R1041" s="2" t="n">
        <v>191</v>
      </c>
      <c r="S1041" s="2" t="n">
        <v>3</v>
      </c>
      <c r="T1041" s="2" t="s">
        <v>96</v>
      </c>
      <c r="U1041" s="4" t="n">
        <f aca="false">(M1041+N1041+O1041+P1041)/L1041</f>
        <v>0.0578683472100833</v>
      </c>
      <c r="V1041" s="2" t="str">
        <f aca="false">IF(S1041&lt;=5,"Late night (0-5)",IF(S1041&lt;=11,"Morning (6-11)",IF(S1041&lt;=17,"Afternoon (12-17)","Evening (18-23)")))</f>
        <v>Late night (0-5)</v>
      </c>
    </row>
    <row r="1042" customFormat="false" ht="15" hidden="false" customHeight="false" outlineLevel="0" collapsed="false">
      <c r="A1042" s="2" t="s">
        <v>1892</v>
      </c>
      <c r="B1042" s="2" t="s">
        <v>129</v>
      </c>
      <c r="C1042" s="2" t="s">
        <v>54</v>
      </c>
      <c r="D1042" s="3" t="n">
        <v>45697</v>
      </c>
      <c r="E1042" s="2" t="s">
        <v>1893</v>
      </c>
      <c r="F1042" s="2" t="s">
        <v>26</v>
      </c>
      <c r="G1042" s="2" t="n">
        <v>10312</v>
      </c>
      <c r="H1042" s="2" t="n">
        <v>13</v>
      </c>
      <c r="I1042" s="2" t="n">
        <v>113</v>
      </c>
      <c r="J1042" s="2" t="n">
        <v>0</v>
      </c>
      <c r="K1042" s="2" t="n">
        <v>19624</v>
      </c>
      <c r="L1042" s="2" t="n">
        <v>14021</v>
      </c>
      <c r="M1042" s="2" t="n">
        <v>434</v>
      </c>
      <c r="N1042" s="2" t="n">
        <v>14</v>
      </c>
      <c r="O1042" s="2" t="n">
        <v>49</v>
      </c>
      <c r="P1042" s="2" t="n">
        <v>112</v>
      </c>
      <c r="Q1042" s="2" t="n">
        <v>263</v>
      </c>
      <c r="R1042" s="2" t="n">
        <v>60</v>
      </c>
      <c r="S1042" s="2" t="n">
        <v>20</v>
      </c>
      <c r="T1042" s="2" t="s">
        <v>27</v>
      </c>
      <c r="U1042" s="4" t="n">
        <f aca="false">(M1042+N1042+O1042+P1042)/L1042</f>
        <v>0.0434348477284074</v>
      </c>
      <c r="V1042" s="2" t="str">
        <f aca="false">IF(S1042&lt;=5,"Late night (0-5)",IF(S1042&lt;=11,"Morning (6-11)",IF(S1042&lt;=17,"Afternoon (12-17)","Evening (18-23)")))</f>
        <v>Evening (18-23)</v>
      </c>
    </row>
    <row r="1043" customFormat="false" ht="15" hidden="false" customHeight="false" outlineLevel="0" collapsed="false">
      <c r="A1043" s="2" t="s">
        <v>1894</v>
      </c>
      <c r="B1043" s="2" t="s">
        <v>426</v>
      </c>
      <c r="C1043" s="2" t="s">
        <v>30</v>
      </c>
      <c r="D1043" s="3" t="n">
        <v>45859</v>
      </c>
      <c r="E1043" s="2" t="s">
        <v>747</v>
      </c>
      <c r="F1043" s="2" t="s">
        <v>26</v>
      </c>
      <c r="G1043" s="2" t="n">
        <v>40649</v>
      </c>
      <c r="H1043" s="2" t="n">
        <v>20</v>
      </c>
      <c r="I1043" s="2" t="n">
        <v>266</v>
      </c>
      <c r="J1043" s="2" t="n">
        <v>0</v>
      </c>
      <c r="K1043" s="2" t="n">
        <v>75586</v>
      </c>
      <c r="L1043" s="2" t="n">
        <v>47230</v>
      </c>
      <c r="M1043" s="2" t="n">
        <v>1850</v>
      </c>
      <c r="N1043" s="2" t="n">
        <v>94</v>
      </c>
      <c r="O1043" s="2" t="n">
        <v>113</v>
      </c>
      <c r="P1043" s="2" t="n">
        <v>432</v>
      </c>
      <c r="Q1043" s="2" t="n">
        <v>744</v>
      </c>
      <c r="R1043" s="2" t="n">
        <v>149</v>
      </c>
      <c r="S1043" s="2" t="n">
        <v>17</v>
      </c>
      <c r="T1043" s="2" t="s">
        <v>33</v>
      </c>
      <c r="U1043" s="4" t="n">
        <f aca="false">(M1043+N1043+O1043+P1043)/L1043</f>
        <v>0.0526995553673513</v>
      </c>
      <c r="V1043" s="2" t="str">
        <f aca="false">IF(S1043&lt;=5,"Late night (0-5)",IF(S1043&lt;=11,"Morning (6-11)",IF(S1043&lt;=17,"Afternoon (12-17)","Evening (18-23)")))</f>
        <v>Afternoon (12-17)</v>
      </c>
    </row>
    <row r="1044" customFormat="false" ht="15" hidden="false" customHeight="false" outlineLevel="0" collapsed="false">
      <c r="A1044" s="2" t="s">
        <v>1895</v>
      </c>
      <c r="B1044" s="2" t="s">
        <v>227</v>
      </c>
      <c r="C1044" s="2" t="s">
        <v>54</v>
      </c>
      <c r="D1044" s="3" t="n">
        <v>45789</v>
      </c>
      <c r="E1044" s="2" t="s">
        <v>1896</v>
      </c>
      <c r="F1044" s="2" t="s">
        <v>50</v>
      </c>
      <c r="G1044" s="2" t="n">
        <v>11796</v>
      </c>
      <c r="H1044" s="2" t="n">
        <v>11</v>
      </c>
      <c r="I1044" s="2" t="n">
        <v>127</v>
      </c>
      <c r="J1044" s="2" t="n">
        <v>1</v>
      </c>
      <c r="K1044" s="2" t="n">
        <v>7735</v>
      </c>
      <c r="L1044" s="2" t="n">
        <v>6935</v>
      </c>
      <c r="M1044" s="2" t="n">
        <v>589</v>
      </c>
      <c r="N1044" s="2" t="n">
        <v>35</v>
      </c>
      <c r="O1044" s="2" t="n">
        <v>95</v>
      </c>
      <c r="P1044" s="2" t="n">
        <v>121</v>
      </c>
      <c r="Q1044" s="2" t="n">
        <v>191</v>
      </c>
      <c r="R1044" s="2" t="n">
        <v>52</v>
      </c>
      <c r="S1044" s="2" t="n">
        <v>21</v>
      </c>
      <c r="T1044" s="2" t="s">
        <v>33</v>
      </c>
      <c r="U1044" s="4" t="n">
        <f aca="false">(M1044+N1044+O1044+P1044)/L1044</f>
        <v>0.1211247296323</v>
      </c>
      <c r="V1044" s="2" t="str">
        <f aca="false">IF(S1044&lt;=5,"Late night (0-5)",IF(S1044&lt;=11,"Morning (6-11)",IF(S1044&lt;=17,"Afternoon (12-17)","Evening (18-23)")))</f>
        <v>Evening (18-23)</v>
      </c>
    </row>
    <row r="1045" customFormat="false" ht="15" hidden="false" customHeight="false" outlineLevel="0" collapsed="false">
      <c r="A1045" s="2" t="s">
        <v>1897</v>
      </c>
      <c r="B1045" s="2" t="s">
        <v>68</v>
      </c>
      <c r="C1045" s="2" t="s">
        <v>54</v>
      </c>
      <c r="D1045" s="3" t="n">
        <v>45689</v>
      </c>
      <c r="E1045" s="2" t="s">
        <v>1898</v>
      </c>
      <c r="F1045" s="2" t="s">
        <v>32</v>
      </c>
      <c r="G1045" s="2" t="n">
        <v>35922</v>
      </c>
      <c r="H1045" s="2" t="n">
        <v>23</v>
      </c>
      <c r="I1045" s="2" t="n">
        <v>69</v>
      </c>
      <c r="J1045" s="2" t="n">
        <v>0</v>
      </c>
      <c r="K1045" s="2" t="n">
        <v>116621</v>
      </c>
      <c r="L1045" s="2" t="n">
        <v>99727</v>
      </c>
      <c r="M1045" s="2" t="n">
        <v>5076</v>
      </c>
      <c r="N1045" s="2" t="n">
        <v>230</v>
      </c>
      <c r="O1045" s="2" t="n">
        <v>456</v>
      </c>
      <c r="P1045" s="2" t="n">
        <v>424</v>
      </c>
      <c r="Q1045" s="2" t="n">
        <v>2643</v>
      </c>
      <c r="R1045" s="2" t="n">
        <v>343</v>
      </c>
      <c r="S1045" s="2" t="n">
        <v>23</v>
      </c>
      <c r="T1045" s="2" t="s">
        <v>62</v>
      </c>
      <c r="U1045" s="4" t="n">
        <f aca="false">(M1045+N1045+O1045+P1045)/L1045</f>
        <v>0.0620293400984688</v>
      </c>
      <c r="V1045" s="2" t="str">
        <f aca="false">IF(S1045&lt;=5,"Late night (0-5)",IF(S1045&lt;=11,"Morning (6-11)",IF(S1045&lt;=17,"Afternoon (12-17)","Evening (18-23)")))</f>
        <v>Evening (18-23)</v>
      </c>
    </row>
    <row r="1046" customFormat="false" ht="15" hidden="false" customHeight="false" outlineLevel="0" collapsed="false">
      <c r="A1046" s="2" t="s">
        <v>1899</v>
      </c>
      <c r="B1046" s="2" t="s">
        <v>220</v>
      </c>
      <c r="C1046" s="2" t="s">
        <v>48</v>
      </c>
      <c r="D1046" s="3" t="n">
        <v>45885</v>
      </c>
      <c r="E1046" s="2" t="s">
        <v>1900</v>
      </c>
      <c r="F1046" s="2" t="s">
        <v>26</v>
      </c>
      <c r="G1046" s="2" t="n">
        <v>18917</v>
      </c>
      <c r="H1046" s="2" t="n">
        <v>20</v>
      </c>
      <c r="I1046" s="2" t="n">
        <v>74</v>
      </c>
      <c r="J1046" s="2" t="n">
        <v>1</v>
      </c>
      <c r="K1046" s="2" t="n">
        <v>29065</v>
      </c>
      <c r="L1046" s="2" t="n">
        <v>16323</v>
      </c>
      <c r="M1046" s="2" t="n">
        <v>950</v>
      </c>
      <c r="N1046" s="2" t="n">
        <v>71</v>
      </c>
      <c r="O1046" s="2" t="n">
        <v>103</v>
      </c>
      <c r="P1046" s="2" t="n">
        <v>102</v>
      </c>
      <c r="Q1046" s="2" t="n">
        <v>175</v>
      </c>
      <c r="R1046" s="2" t="n">
        <v>26</v>
      </c>
      <c r="S1046" s="2" t="n">
        <v>12</v>
      </c>
      <c r="T1046" s="2" t="s">
        <v>62</v>
      </c>
      <c r="U1046" s="4" t="n">
        <f aca="false">(M1046+N1046+O1046+P1046)/L1046</f>
        <v>0.0751087422655149</v>
      </c>
      <c r="V1046" s="2" t="str">
        <f aca="false">IF(S1046&lt;=5,"Late night (0-5)",IF(S1046&lt;=11,"Morning (6-11)",IF(S1046&lt;=17,"Afternoon (12-17)","Evening (18-23)")))</f>
        <v>Afternoon (12-17)</v>
      </c>
    </row>
    <row r="1047" customFormat="false" ht="15" hidden="false" customHeight="false" outlineLevel="0" collapsed="false">
      <c r="A1047" s="2" t="s">
        <v>1901</v>
      </c>
      <c r="B1047" s="2" t="s">
        <v>90</v>
      </c>
      <c r="C1047" s="2" t="s">
        <v>91</v>
      </c>
      <c r="D1047" s="3" t="n">
        <v>45954</v>
      </c>
      <c r="E1047" s="2" t="s">
        <v>211</v>
      </c>
      <c r="F1047" s="2" t="s">
        <v>32</v>
      </c>
      <c r="G1047" s="2" t="n">
        <v>54788</v>
      </c>
      <c r="H1047" s="2" t="n">
        <v>11</v>
      </c>
      <c r="I1047" s="2" t="n">
        <v>285</v>
      </c>
      <c r="J1047" s="2" t="n">
        <v>0</v>
      </c>
      <c r="K1047" s="2" t="n">
        <v>83122</v>
      </c>
      <c r="L1047" s="2" t="n">
        <v>64550</v>
      </c>
      <c r="M1047" s="2" t="n">
        <v>6093</v>
      </c>
      <c r="N1047" s="2" t="n">
        <v>300</v>
      </c>
      <c r="O1047" s="2" t="n">
        <v>1458</v>
      </c>
      <c r="P1047" s="2" t="n">
        <v>1235</v>
      </c>
      <c r="Q1047" s="2" t="n">
        <v>994</v>
      </c>
      <c r="R1047" s="2" t="n">
        <v>218</v>
      </c>
      <c r="S1047" s="2" t="n">
        <v>19</v>
      </c>
      <c r="T1047" s="2" t="s">
        <v>96</v>
      </c>
      <c r="U1047" s="4" t="n">
        <f aca="false">(M1047+N1047+O1047+P1047)/L1047</f>
        <v>0.140759101471727</v>
      </c>
      <c r="V1047" s="2" t="str">
        <f aca="false">IF(S1047&lt;=5,"Late night (0-5)",IF(S1047&lt;=11,"Morning (6-11)",IF(S1047&lt;=17,"Afternoon (12-17)","Evening (18-23)")))</f>
        <v>Evening (18-23)</v>
      </c>
    </row>
    <row r="1048" customFormat="false" ht="15" hidden="false" customHeight="false" outlineLevel="0" collapsed="false">
      <c r="A1048" s="2" t="s">
        <v>1902</v>
      </c>
      <c r="B1048" s="2" t="s">
        <v>44</v>
      </c>
      <c r="C1048" s="2" t="s">
        <v>36</v>
      </c>
      <c r="D1048" s="3" t="n">
        <v>45875</v>
      </c>
      <c r="E1048" s="2" t="s">
        <v>1903</v>
      </c>
      <c r="F1048" s="2" t="s">
        <v>26</v>
      </c>
      <c r="G1048" s="2" t="n">
        <v>6265</v>
      </c>
      <c r="H1048" s="2" t="n">
        <v>7</v>
      </c>
      <c r="I1048" s="2" t="n">
        <v>372</v>
      </c>
      <c r="J1048" s="2" t="n">
        <v>0</v>
      </c>
      <c r="K1048" s="2" t="n">
        <v>3858</v>
      </c>
      <c r="L1048" s="2" t="n">
        <v>2270</v>
      </c>
      <c r="M1048" s="2" t="n">
        <v>149</v>
      </c>
      <c r="N1048" s="2" t="n">
        <v>10</v>
      </c>
      <c r="O1048" s="2" t="n">
        <v>7</v>
      </c>
      <c r="P1048" s="2" t="n">
        <v>49</v>
      </c>
      <c r="Q1048" s="2" t="n">
        <v>47</v>
      </c>
      <c r="R1048" s="2" t="n">
        <v>3</v>
      </c>
      <c r="S1048" s="2" t="n">
        <v>10</v>
      </c>
      <c r="T1048" s="2" t="s">
        <v>66</v>
      </c>
      <c r="U1048" s="4" t="n">
        <f aca="false">(M1048+N1048+O1048+P1048)/L1048</f>
        <v>0.0947136563876652</v>
      </c>
      <c r="V1048" s="2" t="str">
        <f aca="false">IF(S1048&lt;=5,"Late night (0-5)",IF(S1048&lt;=11,"Morning (6-11)",IF(S1048&lt;=17,"Afternoon (12-17)","Evening (18-23)")))</f>
        <v>Morning (6-11)</v>
      </c>
    </row>
    <row r="1049" customFormat="false" ht="15" hidden="false" customHeight="false" outlineLevel="0" collapsed="false">
      <c r="A1049" s="2" t="s">
        <v>1904</v>
      </c>
      <c r="B1049" s="2" t="s">
        <v>123</v>
      </c>
      <c r="C1049" s="2" t="s">
        <v>24</v>
      </c>
      <c r="D1049" s="3" t="n">
        <v>46010</v>
      </c>
      <c r="E1049" s="2" t="s">
        <v>1905</v>
      </c>
      <c r="F1049" s="2" t="s">
        <v>32</v>
      </c>
      <c r="G1049" s="2" t="n">
        <v>41391</v>
      </c>
      <c r="H1049" s="2" t="n">
        <v>13</v>
      </c>
      <c r="I1049" s="2" t="n">
        <v>167</v>
      </c>
      <c r="J1049" s="2" t="n">
        <v>1</v>
      </c>
      <c r="K1049" s="2" t="n">
        <v>108511</v>
      </c>
      <c r="L1049" s="2" t="n">
        <v>81700</v>
      </c>
      <c r="M1049" s="2" t="n">
        <v>4536</v>
      </c>
      <c r="N1049" s="2" t="n">
        <v>267</v>
      </c>
      <c r="O1049" s="2" t="n">
        <v>265</v>
      </c>
      <c r="P1049" s="2" t="n">
        <v>612</v>
      </c>
      <c r="Q1049" s="2" t="n">
        <v>1817</v>
      </c>
      <c r="R1049" s="2" t="n">
        <v>170</v>
      </c>
      <c r="S1049" s="2" t="n">
        <v>16</v>
      </c>
      <c r="T1049" s="2" t="s">
        <v>96</v>
      </c>
      <c r="U1049" s="4" t="n">
        <f aca="false">(M1049+N1049+O1049+P1049)/L1049</f>
        <v>0.0695226438188495</v>
      </c>
      <c r="V1049" s="2" t="str">
        <f aca="false">IF(S1049&lt;=5,"Late night (0-5)",IF(S1049&lt;=11,"Morning (6-11)",IF(S1049&lt;=17,"Afternoon (12-17)","Evening (18-23)")))</f>
        <v>Afternoon (12-17)</v>
      </c>
    </row>
    <row r="1050" customFormat="false" ht="15" hidden="false" customHeight="false" outlineLevel="0" collapsed="false">
      <c r="A1050" s="2" t="s">
        <v>1906</v>
      </c>
      <c r="B1050" s="2" t="s">
        <v>29</v>
      </c>
      <c r="C1050" s="2" t="s">
        <v>30</v>
      </c>
      <c r="D1050" s="3" t="n">
        <v>45895</v>
      </c>
      <c r="E1050" s="2" t="s">
        <v>1343</v>
      </c>
      <c r="F1050" s="2" t="s">
        <v>38</v>
      </c>
      <c r="G1050" s="2" t="n">
        <v>11612</v>
      </c>
      <c r="H1050" s="2" t="n">
        <v>15</v>
      </c>
      <c r="I1050" s="2" t="n">
        <v>321</v>
      </c>
      <c r="J1050" s="2" t="n">
        <v>0</v>
      </c>
      <c r="K1050" s="2" t="n">
        <v>17391</v>
      </c>
      <c r="L1050" s="2" t="n">
        <v>12105</v>
      </c>
      <c r="M1050" s="2" t="n">
        <v>796</v>
      </c>
      <c r="N1050" s="2" t="n">
        <v>62</v>
      </c>
      <c r="O1050" s="2" t="n">
        <v>57</v>
      </c>
      <c r="P1050" s="2" t="n">
        <v>197</v>
      </c>
      <c r="Q1050" s="2" t="n">
        <v>213</v>
      </c>
      <c r="R1050" s="2" t="n">
        <v>20</v>
      </c>
      <c r="S1050" s="2" t="n">
        <v>3</v>
      </c>
      <c r="T1050" s="2" t="s">
        <v>51</v>
      </c>
      <c r="U1050" s="4" t="n">
        <f aca="false">(M1050+N1050+O1050+P1050)/L1050</f>
        <v>0.0918628665840562</v>
      </c>
      <c r="V1050" s="2" t="str">
        <f aca="false">IF(S1050&lt;=5,"Late night (0-5)",IF(S1050&lt;=11,"Morning (6-11)",IF(S1050&lt;=17,"Afternoon (12-17)","Evening (18-23)")))</f>
        <v>Late night (0-5)</v>
      </c>
    </row>
    <row r="1051" customFormat="false" ht="15" hidden="false" customHeight="false" outlineLevel="0" collapsed="false">
      <c r="A1051" s="2" t="s">
        <v>1907</v>
      </c>
      <c r="B1051" s="2" t="s">
        <v>151</v>
      </c>
      <c r="C1051" s="2" t="s">
        <v>36</v>
      </c>
      <c r="D1051" s="3" t="n">
        <v>45806</v>
      </c>
      <c r="E1051" s="2" t="s">
        <v>837</v>
      </c>
      <c r="F1051" s="2" t="s">
        <v>26</v>
      </c>
      <c r="G1051" s="2" t="n">
        <v>19247</v>
      </c>
      <c r="H1051" s="2" t="n">
        <v>7</v>
      </c>
      <c r="I1051" s="2" t="n">
        <v>150</v>
      </c>
      <c r="J1051" s="2" t="n">
        <v>0</v>
      </c>
      <c r="K1051" s="2" t="n">
        <v>11228</v>
      </c>
      <c r="L1051" s="2" t="n">
        <v>7465</v>
      </c>
      <c r="M1051" s="2" t="n">
        <v>486</v>
      </c>
      <c r="N1051" s="2" t="n">
        <v>22</v>
      </c>
      <c r="O1051" s="2" t="n">
        <v>77</v>
      </c>
      <c r="P1051" s="2" t="n">
        <v>102</v>
      </c>
      <c r="Q1051" s="2" t="n">
        <v>121</v>
      </c>
      <c r="R1051" s="2" t="n">
        <v>24</v>
      </c>
      <c r="S1051" s="2" t="n">
        <v>11</v>
      </c>
      <c r="T1051" s="2" t="s">
        <v>79</v>
      </c>
      <c r="U1051" s="4" t="n">
        <f aca="false">(M1051+N1051+O1051+P1051)/L1051</f>
        <v>0.0920294708640322</v>
      </c>
      <c r="V1051" s="2" t="str">
        <f aca="false">IF(S1051&lt;=5,"Late night (0-5)",IF(S1051&lt;=11,"Morning (6-11)",IF(S1051&lt;=17,"Afternoon (12-17)","Evening (18-23)")))</f>
        <v>Morning (6-11)</v>
      </c>
    </row>
    <row r="1052" customFormat="false" ht="15" hidden="false" customHeight="false" outlineLevel="0" collapsed="false">
      <c r="A1052" s="2" t="s">
        <v>1908</v>
      </c>
      <c r="B1052" s="2" t="s">
        <v>462</v>
      </c>
      <c r="C1052" s="2" t="s">
        <v>84</v>
      </c>
      <c r="D1052" s="3" t="n">
        <v>45971</v>
      </c>
      <c r="E1052" s="2" t="s">
        <v>895</v>
      </c>
      <c r="F1052" s="2" t="s">
        <v>50</v>
      </c>
      <c r="G1052" s="2" t="n">
        <v>43510</v>
      </c>
      <c r="H1052" s="2" t="n">
        <v>14</v>
      </c>
      <c r="I1052" s="2" t="n">
        <v>161</v>
      </c>
      <c r="J1052" s="2" t="n">
        <v>1</v>
      </c>
      <c r="K1052" s="2" t="n">
        <v>144748</v>
      </c>
      <c r="L1052" s="2" t="n">
        <v>84390</v>
      </c>
      <c r="M1052" s="2" t="n">
        <v>6727</v>
      </c>
      <c r="N1052" s="2" t="n">
        <v>449</v>
      </c>
      <c r="O1052" s="2" t="n">
        <v>1110</v>
      </c>
      <c r="P1052" s="2" t="n">
        <v>835</v>
      </c>
      <c r="Q1052" s="2" t="n">
        <v>1279</v>
      </c>
      <c r="R1052" s="2" t="n">
        <v>100</v>
      </c>
      <c r="S1052" s="2" t="n">
        <v>12</v>
      </c>
      <c r="T1052" s="2" t="s">
        <v>33</v>
      </c>
      <c r="U1052" s="4" t="n">
        <f aca="false">(M1052+N1052+O1052+P1052)/L1052</f>
        <v>0.108081526247186</v>
      </c>
      <c r="V1052" s="2" t="str">
        <f aca="false">IF(S1052&lt;=5,"Late night (0-5)",IF(S1052&lt;=11,"Morning (6-11)",IF(S1052&lt;=17,"Afternoon (12-17)","Evening (18-23)")))</f>
        <v>Afternoon (12-17)</v>
      </c>
    </row>
    <row r="1053" customFormat="false" ht="15" hidden="false" customHeight="false" outlineLevel="0" collapsed="false">
      <c r="A1053" s="2" t="s">
        <v>1909</v>
      </c>
      <c r="B1053" s="2" t="s">
        <v>264</v>
      </c>
      <c r="C1053" s="2" t="s">
        <v>36</v>
      </c>
      <c r="D1053" s="3" t="n">
        <v>45747</v>
      </c>
      <c r="E1053" s="2" t="s">
        <v>1373</v>
      </c>
      <c r="F1053" s="2" t="s">
        <v>38</v>
      </c>
      <c r="G1053" s="2" t="n">
        <v>22362</v>
      </c>
      <c r="H1053" s="2" t="n">
        <v>13</v>
      </c>
      <c r="I1053" s="2" t="n">
        <v>117</v>
      </c>
      <c r="J1053" s="2" t="n">
        <v>0</v>
      </c>
      <c r="K1053" s="2" t="n">
        <v>15287</v>
      </c>
      <c r="L1053" s="2" t="n">
        <v>9625</v>
      </c>
      <c r="M1053" s="2" t="n">
        <v>675</v>
      </c>
      <c r="N1053" s="2" t="n">
        <v>28</v>
      </c>
      <c r="O1053" s="2" t="n">
        <v>115</v>
      </c>
      <c r="P1053" s="2" t="n">
        <v>73</v>
      </c>
      <c r="Q1053" s="2" t="n">
        <v>85</v>
      </c>
      <c r="R1053" s="2" t="n">
        <v>11</v>
      </c>
      <c r="S1053" s="2" t="n">
        <v>2</v>
      </c>
      <c r="T1053" s="2" t="s">
        <v>33</v>
      </c>
      <c r="U1053" s="4" t="n">
        <f aca="false">(M1053+N1053+O1053+P1053)/L1053</f>
        <v>0.0925714285714286</v>
      </c>
      <c r="V1053" s="2" t="str">
        <f aca="false">IF(S1053&lt;=5,"Late night (0-5)",IF(S1053&lt;=11,"Morning (6-11)",IF(S1053&lt;=17,"Afternoon (12-17)","Evening (18-23)")))</f>
        <v>Late night (0-5)</v>
      </c>
    </row>
    <row r="1054" customFormat="false" ht="15" hidden="false" customHeight="false" outlineLevel="0" collapsed="false">
      <c r="A1054" s="2" t="s">
        <v>1910</v>
      </c>
      <c r="B1054" s="2" t="s">
        <v>135</v>
      </c>
      <c r="C1054" s="2" t="s">
        <v>36</v>
      </c>
      <c r="D1054" s="3" t="n">
        <v>45846</v>
      </c>
      <c r="E1054" s="2" t="s">
        <v>1911</v>
      </c>
      <c r="F1054" s="2" t="s">
        <v>38</v>
      </c>
      <c r="G1054" s="2" t="n">
        <v>45812</v>
      </c>
      <c r="H1054" s="2" t="n">
        <v>15</v>
      </c>
      <c r="I1054" s="2" t="n">
        <v>143</v>
      </c>
      <c r="J1054" s="2" t="n">
        <v>0</v>
      </c>
      <c r="K1054" s="2" t="n">
        <v>19993</v>
      </c>
      <c r="L1054" s="2" t="n">
        <v>16383</v>
      </c>
      <c r="M1054" s="2" t="n">
        <v>973</v>
      </c>
      <c r="N1054" s="2" t="n">
        <v>61</v>
      </c>
      <c r="O1054" s="2" t="n">
        <v>184</v>
      </c>
      <c r="P1054" s="2" t="n">
        <v>202</v>
      </c>
      <c r="Q1054" s="2" t="n">
        <v>92</v>
      </c>
      <c r="R1054" s="2" t="n">
        <v>16</v>
      </c>
      <c r="S1054" s="2" t="n">
        <v>4</v>
      </c>
      <c r="T1054" s="2" t="s">
        <v>51</v>
      </c>
      <c r="U1054" s="4" t="n">
        <f aca="false">(M1054+N1054+O1054+P1054)/L1054</f>
        <v>0.0866752121101141</v>
      </c>
      <c r="V1054" s="2" t="str">
        <f aca="false">IF(S1054&lt;=5,"Late night (0-5)",IF(S1054&lt;=11,"Morning (6-11)",IF(S1054&lt;=17,"Afternoon (12-17)","Evening (18-23)")))</f>
        <v>Late night (0-5)</v>
      </c>
    </row>
    <row r="1055" customFormat="false" ht="15" hidden="false" customHeight="false" outlineLevel="0" collapsed="false">
      <c r="A1055" s="2" t="s">
        <v>1912</v>
      </c>
      <c r="B1055" s="2" t="s">
        <v>345</v>
      </c>
      <c r="C1055" s="2" t="s">
        <v>30</v>
      </c>
      <c r="D1055" s="3" t="n">
        <v>45771</v>
      </c>
      <c r="E1055" s="2" t="s">
        <v>1913</v>
      </c>
      <c r="F1055" s="2" t="s">
        <v>32</v>
      </c>
      <c r="G1055" s="2" t="n">
        <v>8662</v>
      </c>
      <c r="H1055" s="2" t="n">
        <v>14</v>
      </c>
      <c r="I1055" s="2" t="n">
        <v>171</v>
      </c>
      <c r="J1055" s="2" t="n">
        <v>1</v>
      </c>
      <c r="K1055" s="2" t="n">
        <v>6789</v>
      </c>
      <c r="L1055" s="2" t="n">
        <v>4095</v>
      </c>
      <c r="M1055" s="2" t="n">
        <v>433</v>
      </c>
      <c r="N1055" s="2" t="n">
        <v>11</v>
      </c>
      <c r="O1055" s="2" t="n">
        <v>84</v>
      </c>
      <c r="P1055" s="2" t="n">
        <v>49</v>
      </c>
      <c r="Q1055" s="2" t="n">
        <v>76</v>
      </c>
      <c r="R1055" s="2" t="n">
        <v>9</v>
      </c>
      <c r="S1055" s="2" t="n">
        <v>3</v>
      </c>
      <c r="T1055" s="2" t="s">
        <v>79</v>
      </c>
      <c r="U1055" s="4" t="n">
        <f aca="false">(M1055+N1055+O1055+P1055)/L1055</f>
        <v>0.140903540903541</v>
      </c>
      <c r="V1055" s="2" t="str">
        <f aca="false">IF(S1055&lt;=5,"Late night (0-5)",IF(S1055&lt;=11,"Morning (6-11)",IF(S1055&lt;=17,"Afternoon (12-17)","Evening (18-23)")))</f>
        <v>Late night (0-5)</v>
      </c>
    </row>
    <row r="1056" customFormat="false" ht="15" hidden="false" customHeight="false" outlineLevel="0" collapsed="false">
      <c r="A1056" s="2" t="s">
        <v>1914</v>
      </c>
      <c r="B1056" s="2" t="s">
        <v>47</v>
      </c>
      <c r="C1056" s="2" t="s">
        <v>48</v>
      </c>
      <c r="D1056" s="3" t="n">
        <v>45962</v>
      </c>
      <c r="E1056" s="2" t="s">
        <v>1915</v>
      </c>
      <c r="F1056" s="2" t="s">
        <v>32</v>
      </c>
      <c r="G1056" s="2" t="n">
        <v>19609</v>
      </c>
      <c r="H1056" s="2" t="n">
        <v>30</v>
      </c>
      <c r="I1056" s="2" t="n">
        <v>10</v>
      </c>
      <c r="J1056" s="2" t="n">
        <v>0</v>
      </c>
      <c r="K1056" s="2" t="n">
        <v>12905</v>
      </c>
      <c r="L1056" s="2" t="n">
        <v>8742</v>
      </c>
      <c r="M1056" s="2" t="n">
        <v>716</v>
      </c>
      <c r="N1056" s="2" t="n">
        <v>20</v>
      </c>
      <c r="O1056" s="2" t="n">
        <v>133</v>
      </c>
      <c r="P1056" s="2" t="n">
        <v>71</v>
      </c>
      <c r="Q1056" s="2" t="n">
        <v>228</v>
      </c>
      <c r="R1056" s="2" t="n">
        <v>59</v>
      </c>
      <c r="S1056" s="2" t="n">
        <v>5</v>
      </c>
      <c r="T1056" s="2" t="s">
        <v>62</v>
      </c>
      <c r="U1056" s="4" t="n">
        <f aca="false">(M1056+N1056+O1056+P1056)/L1056</f>
        <v>0.10752688172043</v>
      </c>
      <c r="V1056" s="2" t="str">
        <f aca="false">IF(S1056&lt;=5,"Late night (0-5)",IF(S1056&lt;=11,"Morning (6-11)",IF(S1056&lt;=17,"Afternoon (12-17)","Evening (18-23)")))</f>
        <v>Late night (0-5)</v>
      </c>
    </row>
    <row r="1057" customFormat="false" ht="15" hidden="false" customHeight="false" outlineLevel="0" collapsed="false">
      <c r="A1057" s="2" t="s">
        <v>1916</v>
      </c>
      <c r="B1057" s="2" t="s">
        <v>345</v>
      </c>
      <c r="C1057" s="2" t="s">
        <v>30</v>
      </c>
      <c r="D1057" s="3" t="n">
        <v>45981</v>
      </c>
      <c r="E1057" s="2" t="s">
        <v>1917</v>
      </c>
      <c r="F1057" s="2" t="s">
        <v>26</v>
      </c>
      <c r="G1057" s="2" t="n">
        <v>8662</v>
      </c>
      <c r="H1057" s="2" t="n">
        <v>11</v>
      </c>
      <c r="I1057" s="2" t="n">
        <v>103</v>
      </c>
      <c r="J1057" s="2" t="n">
        <v>1</v>
      </c>
      <c r="K1057" s="2" t="n">
        <v>9641</v>
      </c>
      <c r="L1057" s="2" t="n">
        <v>5830</v>
      </c>
      <c r="M1057" s="2" t="n">
        <v>406</v>
      </c>
      <c r="N1057" s="2" t="n">
        <v>30</v>
      </c>
      <c r="O1057" s="2" t="n">
        <v>67</v>
      </c>
      <c r="P1057" s="2" t="n">
        <v>59</v>
      </c>
      <c r="Q1057" s="2" t="n">
        <v>84</v>
      </c>
      <c r="R1057" s="2" t="n">
        <v>11</v>
      </c>
      <c r="S1057" s="2" t="n">
        <v>14</v>
      </c>
      <c r="T1057" s="2" t="s">
        <v>79</v>
      </c>
      <c r="U1057" s="4" t="n">
        <f aca="false">(M1057+N1057+O1057+P1057)/L1057</f>
        <v>0.0963979416809606</v>
      </c>
      <c r="V1057" s="2" t="str">
        <f aca="false">IF(S1057&lt;=5,"Late night (0-5)",IF(S1057&lt;=11,"Morning (6-11)",IF(S1057&lt;=17,"Afternoon (12-17)","Evening (18-23)")))</f>
        <v>Afternoon (12-17)</v>
      </c>
    </row>
    <row r="1058" customFormat="false" ht="15" hidden="false" customHeight="false" outlineLevel="0" collapsed="false">
      <c r="A1058" s="2" t="s">
        <v>1918</v>
      </c>
      <c r="B1058" s="2" t="s">
        <v>459</v>
      </c>
      <c r="C1058" s="2" t="s">
        <v>84</v>
      </c>
      <c r="D1058" s="3" t="n">
        <v>45820</v>
      </c>
      <c r="E1058" s="2" t="s">
        <v>1610</v>
      </c>
      <c r="F1058" s="2" t="s">
        <v>32</v>
      </c>
      <c r="G1058" s="2" t="n">
        <v>19744</v>
      </c>
      <c r="H1058" s="2" t="n">
        <v>21</v>
      </c>
      <c r="I1058" s="2" t="n">
        <v>180</v>
      </c>
      <c r="J1058" s="2" t="n">
        <v>0</v>
      </c>
      <c r="K1058" s="2" t="n">
        <v>24515</v>
      </c>
      <c r="L1058" s="2" t="n">
        <v>14828</v>
      </c>
      <c r="M1058" s="2" t="n">
        <v>1080</v>
      </c>
      <c r="N1058" s="2" t="n">
        <v>22</v>
      </c>
      <c r="O1058" s="2" t="n">
        <v>181</v>
      </c>
      <c r="P1058" s="2" t="n">
        <v>68</v>
      </c>
      <c r="Q1058" s="2" t="n">
        <v>380</v>
      </c>
      <c r="R1058" s="2" t="n">
        <v>29</v>
      </c>
      <c r="S1058" s="2" t="n">
        <v>5</v>
      </c>
      <c r="T1058" s="2" t="s">
        <v>79</v>
      </c>
      <c r="U1058" s="4" t="n">
        <f aca="false">(M1058+N1058+O1058+P1058)/L1058</f>
        <v>0.0911114108443485</v>
      </c>
      <c r="V1058" s="2" t="str">
        <f aca="false">IF(S1058&lt;=5,"Late night (0-5)",IF(S1058&lt;=11,"Morning (6-11)",IF(S1058&lt;=17,"Afternoon (12-17)","Evening (18-23)")))</f>
        <v>Late night (0-5)</v>
      </c>
    </row>
    <row r="1059" customFormat="false" ht="15" hidden="false" customHeight="false" outlineLevel="0" collapsed="false">
      <c r="A1059" s="2" t="s">
        <v>1919</v>
      </c>
      <c r="B1059" s="2" t="s">
        <v>459</v>
      </c>
      <c r="C1059" s="2" t="s">
        <v>84</v>
      </c>
      <c r="D1059" s="3" t="n">
        <v>45980</v>
      </c>
      <c r="E1059" s="2" t="s">
        <v>747</v>
      </c>
      <c r="F1059" s="2" t="s">
        <v>32</v>
      </c>
      <c r="G1059" s="2" t="n">
        <v>19744</v>
      </c>
      <c r="H1059" s="2" t="n">
        <v>9</v>
      </c>
      <c r="I1059" s="2" t="n">
        <v>117</v>
      </c>
      <c r="J1059" s="2" t="n">
        <v>1</v>
      </c>
      <c r="K1059" s="2" t="n">
        <v>47995</v>
      </c>
      <c r="L1059" s="2" t="n">
        <v>34481</v>
      </c>
      <c r="M1059" s="2" t="n">
        <v>2919</v>
      </c>
      <c r="N1059" s="2" t="n">
        <v>141</v>
      </c>
      <c r="O1059" s="2" t="n">
        <v>799</v>
      </c>
      <c r="P1059" s="2" t="n">
        <v>178</v>
      </c>
      <c r="Q1059" s="2" t="n">
        <v>465</v>
      </c>
      <c r="R1059" s="2" t="n">
        <v>64</v>
      </c>
      <c r="S1059" s="2" t="n">
        <v>17</v>
      </c>
      <c r="T1059" s="2" t="s">
        <v>66</v>
      </c>
      <c r="U1059" s="4" t="n">
        <f aca="false">(M1059+N1059+O1059+P1059)/L1059</f>
        <v>0.117078971027522</v>
      </c>
      <c r="V1059" s="2" t="str">
        <f aca="false">IF(S1059&lt;=5,"Late night (0-5)",IF(S1059&lt;=11,"Morning (6-11)",IF(S1059&lt;=17,"Afternoon (12-17)","Evening (18-23)")))</f>
        <v>Afternoon (12-17)</v>
      </c>
    </row>
    <row r="1060" customFormat="false" ht="15" hidden="false" customHeight="false" outlineLevel="0" collapsed="false">
      <c r="A1060" s="2" t="s">
        <v>1920</v>
      </c>
      <c r="B1060" s="2" t="s">
        <v>68</v>
      </c>
      <c r="C1060" s="2" t="s">
        <v>54</v>
      </c>
      <c r="D1060" s="3" t="n">
        <v>45775</v>
      </c>
      <c r="E1060" s="2" t="s">
        <v>1453</v>
      </c>
      <c r="F1060" s="2" t="s">
        <v>32</v>
      </c>
      <c r="G1060" s="2" t="n">
        <v>35922</v>
      </c>
      <c r="H1060" s="2" t="n">
        <v>12</v>
      </c>
      <c r="I1060" s="2" t="n">
        <v>141</v>
      </c>
      <c r="J1060" s="2" t="n">
        <v>0</v>
      </c>
      <c r="K1060" s="2" t="n">
        <v>66464</v>
      </c>
      <c r="L1060" s="2" t="n">
        <v>45250</v>
      </c>
      <c r="M1060" s="2" t="n">
        <v>2986</v>
      </c>
      <c r="N1060" s="2" t="n">
        <v>122</v>
      </c>
      <c r="O1060" s="2" t="n">
        <v>617</v>
      </c>
      <c r="P1060" s="2" t="n">
        <v>707</v>
      </c>
      <c r="Q1060" s="2" t="n">
        <v>1146</v>
      </c>
      <c r="R1060" s="2" t="n">
        <v>145</v>
      </c>
      <c r="S1060" s="2" t="n">
        <v>14</v>
      </c>
      <c r="T1060" s="2" t="s">
        <v>33</v>
      </c>
      <c r="U1060" s="4" t="n">
        <f aca="false">(M1060+N1060+O1060+P1060)/L1060</f>
        <v>0.0979447513812155</v>
      </c>
      <c r="V1060" s="2" t="str">
        <f aca="false">IF(S1060&lt;=5,"Late night (0-5)",IF(S1060&lt;=11,"Morning (6-11)",IF(S1060&lt;=17,"Afternoon (12-17)","Evening (18-23)")))</f>
        <v>Afternoon (12-17)</v>
      </c>
    </row>
    <row r="1061" customFormat="false" ht="15" hidden="false" customHeight="false" outlineLevel="0" collapsed="false">
      <c r="A1061" s="2" t="s">
        <v>1921</v>
      </c>
      <c r="B1061" s="2" t="s">
        <v>148</v>
      </c>
      <c r="C1061" s="2" t="s">
        <v>48</v>
      </c>
      <c r="D1061" s="3" t="n">
        <v>45658</v>
      </c>
      <c r="E1061" s="2" t="s">
        <v>434</v>
      </c>
      <c r="F1061" s="2" t="s">
        <v>26</v>
      </c>
      <c r="G1061" s="2" t="n">
        <v>46311</v>
      </c>
      <c r="H1061" s="2" t="n">
        <v>12</v>
      </c>
      <c r="I1061" s="2" t="n">
        <v>382</v>
      </c>
      <c r="J1061" s="2" t="n">
        <v>1</v>
      </c>
      <c r="K1061" s="2" t="n">
        <v>53086</v>
      </c>
      <c r="L1061" s="2" t="n">
        <v>31103</v>
      </c>
      <c r="M1061" s="2" t="n">
        <v>2497</v>
      </c>
      <c r="N1061" s="2" t="n">
        <v>172</v>
      </c>
      <c r="O1061" s="2" t="n">
        <v>338</v>
      </c>
      <c r="P1061" s="2" t="n">
        <v>1042</v>
      </c>
      <c r="Q1061" s="2" t="n">
        <v>433</v>
      </c>
      <c r="R1061" s="2" t="n">
        <v>34</v>
      </c>
      <c r="S1061" s="2" t="n">
        <v>20</v>
      </c>
      <c r="T1061" s="2" t="s">
        <v>66</v>
      </c>
      <c r="U1061" s="4" t="n">
        <f aca="false">(M1061+N1061+O1061+P1061)/L1061</f>
        <v>0.130180368453204</v>
      </c>
      <c r="V1061" s="2" t="str">
        <f aca="false">IF(S1061&lt;=5,"Late night (0-5)",IF(S1061&lt;=11,"Morning (6-11)",IF(S1061&lt;=17,"Afternoon (12-17)","Evening (18-23)")))</f>
        <v>Evening (18-23)</v>
      </c>
    </row>
    <row r="1062" customFormat="false" ht="15" hidden="false" customHeight="false" outlineLevel="0" collapsed="false">
      <c r="A1062" s="2" t="s">
        <v>1922</v>
      </c>
      <c r="B1062" s="2" t="s">
        <v>126</v>
      </c>
      <c r="C1062" s="2" t="s">
        <v>36</v>
      </c>
      <c r="D1062" s="3" t="n">
        <v>45843</v>
      </c>
      <c r="E1062" s="2" t="s">
        <v>1923</v>
      </c>
      <c r="F1062" s="2" t="s">
        <v>26</v>
      </c>
      <c r="G1062" s="2" t="n">
        <v>28784</v>
      </c>
      <c r="H1062" s="2" t="n">
        <v>14</v>
      </c>
      <c r="I1062" s="2" t="n">
        <v>10</v>
      </c>
      <c r="J1062" s="2" t="n">
        <v>0</v>
      </c>
      <c r="K1062" s="2" t="n">
        <v>14215</v>
      </c>
      <c r="L1062" s="2" t="n">
        <v>12228</v>
      </c>
      <c r="M1062" s="2" t="n">
        <v>446</v>
      </c>
      <c r="N1062" s="2" t="n">
        <v>32</v>
      </c>
      <c r="O1062" s="2" t="n">
        <v>28</v>
      </c>
      <c r="P1062" s="2" t="n">
        <v>78</v>
      </c>
      <c r="Q1062" s="2" t="n">
        <v>270</v>
      </c>
      <c r="R1062" s="2" t="n">
        <v>17</v>
      </c>
      <c r="S1062" s="2" t="n">
        <v>18</v>
      </c>
      <c r="T1062" s="2" t="s">
        <v>62</v>
      </c>
      <c r="U1062" s="4" t="n">
        <f aca="false">(M1062+N1062+O1062+P1062)/L1062</f>
        <v>0.0477592410860321</v>
      </c>
      <c r="V1062" s="2" t="str">
        <f aca="false">IF(S1062&lt;=5,"Late night (0-5)",IF(S1062&lt;=11,"Morning (6-11)",IF(S1062&lt;=17,"Afternoon (12-17)","Evening (18-23)")))</f>
        <v>Evening (18-23)</v>
      </c>
    </row>
    <row r="1063" customFormat="false" ht="15" hidden="false" customHeight="false" outlineLevel="0" collapsed="false">
      <c r="A1063" s="2" t="s">
        <v>1924</v>
      </c>
      <c r="B1063" s="2" t="s">
        <v>74</v>
      </c>
      <c r="C1063" s="2" t="s">
        <v>30</v>
      </c>
      <c r="D1063" s="3" t="n">
        <v>45694</v>
      </c>
      <c r="E1063" s="2" t="s">
        <v>1669</v>
      </c>
      <c r="F1063" s="2" t="s">
        <v>38</v>
      </c>
      <c r="G1063" s="2" t="n">
        <v>20432</v>
      </c>
      <c r="H1063" s="2" t="n">
        <v>15</v>
      </c>
      <c r="I1063" s="2" t="n">
        <v>217</v>
      </c>
      <c r="J1063" s="2" t="n">
        <v>1</v>
      </c>
      <c r="K1063" s="2" t="n">
        <v>7339</v>
      </c>
      <c r="L1063" s="2" t="n">
        <v>4524</v>
      </c>
      <c r="M1063" s="2" t="n">
        <v>393</v>
      </c>
      <c r="N1063" s="2" t="n">
        <v>15</v>
      </c>
      <c r="O1063" s="2" t="n">
        <v>47</v>
      </c>
      <c r="P1063" s="2" t="n">
        <v>51</v>
      </c>
      <c r="Q1063" s="2" t="n">
        <v>125</v>
      </c>
      <c r="R1063" s="2" t="n">
        <v>15</v>
      </c>
      <c r="S1063" s="2" t="n">
        <v>10</v>
      </c>
      <c r="T1063" s="2" t="s">
        <v>79</v>
      </c>
      <c r="U1063" s="4" t="n">
        <f aca="false">(M1063+N1063+O1063+P1063)/L1063</f>
        <v>0.11184792219275</v>
      </c>
      <c r="V1063" s="2" t="str">
        <f aca="false">IF(S1063&lt;=5,"Late night (0-5)",IF(S1063&lt;=11,"Morning (6-11)",IF(S1063&lt;=17,"Afternoon (12-17)","Evening (18-23)")))</f>
        <v>Morning (6-11)</v>
      </c>
    </row>
    <row r="1064" customFormat="false" ht="15" hidden="false" customHeight="false" outlineLevel="0" collapsed="false">
      <c r="A1064" s="2" t="s">
        <v>1925</v>
      </c>
      <c r="B1064" s="2" t="s">
        <v>94</v>
      </c>
      <c r="C1064" s="2" t="s">
        <v>30</v>
      </c>
      <c r="D1064" s="3" t="n">
        <v>45985</v>
      </c>
      <c r="E1064" s="2" t="s">
        <v>1926</v>
      </c>
      <c r="F1064" s="2" t="s">
        <v>50</v>
      </c>
      <c r="G1064" s="2" t="n">
        <v>58559</v>
      </c>
      <c r="H1064" s="2" t="n">
        <v>8</v>
      </c>
      <c r="I1064" s="2" t="n">
        <v>55</v>
      </c>
      <c r="J1064" s="2" t="n">
        <v>1</v>
      </c>
      <c r="K1064" s="2" t="n">
        <v>69956</v>
      </c>
      <c r="L1064" s="2" t="n">
        <v>58879</v>
      </c>
      <c r="M1064" s="2" t="n">
        <v>4658</v>
      </c>
      <c r="N1064" s="2" t="n">
        <v>355</v>
      </c>
      <c r="O1064" s="2" t="n">
        <v>276</v>
      </c>
      <c r="P1064" s="2" t="n">
        <v>771</v>
      </c>
      <c r="Q1064" s="2" t="n">
        <v>444</v>
      </c>
      <c r="R1064" s="2" t="n">
        <v>59</v>
      </c>
      <c r="S1064" s="2" t="n">
        <v>21</v>
      </c>
      <c r="T1064" s="2" t="s">
        <v>33</v>
      </c>
      <c r="U1064" s="4" t="n">
        <f aca="false">(M1064+N1064+O1064+P1064)/L1064</f>
        <v>0.102922943664125</v>
      </c>
      <c r="V1064" s="2" t="str">
        <f aca="false">IF(S1064&lt;=5,"Late night (0-5)",IF(S1064&lt;=11,"Morning (6-11)",IF(S1064&lt;=17,"Afternoon (12-17)","Evening (18-23)")))</f>
        <v>Evening (18-23)</v>
      </c>
    </row>
    <row r="1065" customFormat="false" ht="15" hidden="false" customHeight="false" outlineLevel="0" collapsed="false">
      <c r="A1065" s="2" t="s">
        <v>1927</v>
      </c>
      <c r="B1065" s="2" t="s">
        <v>151</v>
      </c>
      <c r="C1065" s="2" t="s">
        <v>36</v>
      </c>
      <c r="D1065" s="3" t="n">
        <v>45871</v>
      </c>
      <c r="E1065" s="2" t="s">
        <v>1928</v>
      </c>
      <c r="F1065" s="2" t="s">
        <v>38</v>
      </c>
      <c r="G1065" s="2" t="n">
        <v>19247</v>
      </c>
      <c r="H1065" s="2" t="n">
        <v>21</v>
      </c>
      <c r="I1065" s="2" t="n">
        <v>81</v>
      </c>
      <c r="J1065" s="2" t="n">
        <v>0</v>
      </c>
      <c r="K1065" s="2" t="n">
        <v>8179</v>
      </c>
      <c r="L1065" s="2" t="n">
        <v>6926</v>
      </c>
      <c r="M1065" s="2" t="n">
        <v>325</v>
      </c>
      <c r="N1065" s="2" t="n">
        <v>8</v>
      </c>
      <c r="O1065" s="2" t="n">
        <v>11</v>
      </c>
      <c r="P1065" s="2" t="n">
        <v>96</v>
      </c>
      <c r="Q1065" s="2" t="n">
        <v>113</v>
      </c>
      <c r="R1065" s="2" t="n">
        <v>20</v>
      </c>
      <c r="S1065" s="2" t="n">
        <v>0</v>
      </c>
      <c r="T1065" s="2" t="s">
        <v>62</v>
      </c>
      <c r="U1065" s="4" t="n">
        <f aca="false">(M1065+N1065+O1065+P1065)/L1065</f>
        <v>0.0635287323130234</v>
      </c>
      <c r="V1065" s="2" t="str">
        <f aca="false">IF(S1065&lt;=5,"Late night (0-5)",IF(S1065&lt;=11,"Morning (6-11)",IF(S1065&lt;=17,"Afternoon (12-17)","Evening (18-23)")))</f>
        <v>Late night (0-5)</v>
      </c>
    </row>
    <row r="1066" customFormat="false" ht="15" hidden="false" customHeight="false" outlineLevel="0" collapsed="false">
      <c r="A1066" s="2" t="s">
        <v>1929</v>
      </c>
      <c r="B1066" s="2" t="s">
        <v>374</v>
      </c>
      <c r="C1066" s="2" t="s">
        <v>24</v>
      </c>
      <c r="D1066" s="3" t="n">
        <v>45712</v>
      </c>
      <c r="E1066" s="2" t="s">
        <v>1930</v>
      </c>
      <c r="F1066" s="2" t="s">
        <v>26</v>
      </c>
      <c r="G1066" s="2" t="n">
        <v>9509</v>
      </c>
      <c r="H1066" s="2" t="n">
        <v>13</v>
      </c>
      <c r="I1066" s="2" t="n">
        <v>337</v>
      </c>
      <c r="J1066" s="2" t="n">
        <v>0</v>
      </c>
      <c r="K1066" s="2" t="n">
        <v>6449</v>
      </c>
      <c r="L1066" s="2" t="n">
        <v>5130</v>
      </c>
      <c r="M1066" s="2" t="n">
        <v>391</v>
      </c>
      <c r="N1066" s="2" t="n">
        <v>13</v>
      </c>
      <c r="O1066" s="2" t="n">
        <v>77</v>
      </c>
      <c r="P1066" s="2" t="n">
        <v>84</v>
      </c>
      <c r="Q1066" s="2" t="n">
        <v>63</v>
      </c>
      <c r="R1066" s="2" t="n">
        <v>4</v>
      </c>
      <c r="S1066" s="2" t="n">
        <v>4</v>
      </c>
      <c r="T1066" s="2" t="s">
        <v>33</v>
      </c>
      <c r="U1066" s="4" t="n">
        <f aca="false">(M1066+N1066+O1066+P1066)/L1066</f>
        <v>0.110136452241715</v>
      </c>
      <c r="V1066" s="2" t="str">
        <f aca="false">IF(S1066&lt;=5,"Late night (0-5)",IF(S1066&lt;=11,"Morning (6-11)",IF(S1066&lt;=17,"Afternoon (12-17)","Evening (18-23)")))</f>
        <v>Late night (0-5)</v>
      </c>
    </row>
    <row r="1067" customFormat="false" ht="15" hidden="false" customHeight="false" outlineLevel="0" collapsed="false">
      <c r="A1067" s="2" t="s">
        <v>1931</v>
      </c>
      <c r="B1067" s="2" t="s">
        <v>141</v>
      </c>
      <c r="C1067" s="2" t="s">
        <v>48</v>
      </c>
      <c r="D1067" s="3" t="n">
        <v>45767</v>
      </c>
      <c r="E1067" s="2" t="s">
        <v>1932</v>
      </c>
      <c r="F1067" s="2" t="s">
        <v>32</v>
      </c>
      <c r="G1067" s="2" t="n">
        <v>16119</v>
      </c>
      <c r="H1067" s="2" t="n">
        <v>9</v>
      </c>
      <c r="I1067" s="2" t="n">
        <v>130</v>
      </c>
      <c r="J1067" s="2" t="n">
        <v>0</v>
      </c>
      <c r="K1067" s="2" t="n">
        <v>15122</v>
      </c>
      <c r="L1067" s="2" t="n">
        <v>8948</v>
      </c>
      <c r="M1067" s="2" t="n">
        <v>762</v>
      </c>
      <c r="N1067" s="2" t="n">
        <v>15</v>
      </c>
      <c r="O1067" s="2" t="n">
        <v>144</v>
      </c>
      <c r="P1067" s="2" t="n">
        <v>82</v>
      </c>
      <c r="Q1067" s="2" t="n">
        <v>48</v>
      </c>
      <c r="R1067" s="2" t="n">
        <v>9</v>
      </c>
      <c r="S1067" s="2" t="n">
        <v>2</v>
      </c>
      <c r="T1067" s="2" t="s">
        <v>27</v>
      </c>
      <c r="U1067" s="4" t="n">
        <f aca="false">(M1067+N1067+O1067+P1067)/L1067</f>
        <v>0.112092087617345</v>
      </c>
      <c r="V1067" s="2" t="str">
        <f aca="false">IF(S1067&lt;=5,"Late night (0-5)",IF(S1067&lt;=11,"Morning (6-11)",IF(S1067&lt;=17,"Afternoon (12-17)","Evening (18-23)")))</f>
        <v>Late night (0-5)</v>
      </c>
    </row>
    <row r="1068" customFormat="false" ht="15" hidden="false" customHeight="false" outlineLevel="0" collapsed="false">
      <c r="A1068" s="2" t="s">
        <v>1933</v>
      </c>
      <c r="B1068" s="2" t="s">
        <v>151</v>
      </c>
      <c r="C1068" s="2" t="s">
        <v>36</v>
      </c>
      <c r="D1068" s="3" t="n">
        <v>46021</v>
      </c>
      <c r="E1068" s="2" t="s">
        <v>1934</v>
      </c>
      <c r="F1068" s="2" t="s">
        <v>32</v>
      </c>
      <c r="G1068" s="2" t="n">
        <v>19247</v>
      </c>
      <c r="H1068" s="2" t="n">
        <v>12</v>
      </c>
      <c r="I1068" s="2" t="n">
        <v>217</v>
      </c>
      <c r="J1068" s="2" t="n">
        <v>1</v>
      </c>
      <c r="K1068" s="2" t="n">
        <v>33890</v>
      </c>
      <c r="L1068" s="2" t="n">
        <v>27798</v>
      </c>
      <c r="M1068" s="2" t="n">
        <v>1919</v>
      </c>
      <c r="N1068" s="2" t="n">
        <v>57</v>
      </c>
      <c r="O1068" s="2" t="n">
        <v>96</v>
      </c>
      <c r="P1068" s="2" t="n">
        <v>120</v>
      </c>
      <c r="Q1068" s="2" t="n">
        <v>785</v>
      </c>
      <c r="R1068" s="2" t="n">
        <v>53</v>
      </c>
      <c r="S1068" s="2" t="n">
        <v>0</v>
      </c>
      <c r="T1068" s="2" t="s">
        <v>51</v>
      </c>
      <c r="U1068" s="4" t="n">
        <f aca="false">(M1068+N1068+O1068+P1068)/L1068</f>
        <v>0.0788545938556731</v>
      </c>
      <c r="V1068" s="2" t="str">
        <f aca="false">IF(S1068&lt;=5,"Late night (0-5)",IF(S1068&lt;=11,"Morning (6-11)",IF(S1068&lt;=17,"Afternoon (12-17)","Evening (18-23)")))</f>
        <v>Late night (0-5)</v>
      </c>
    </row>
    <row r="1069" customFormat="false" ht="15" hidden="false" customHeight="false" outlineLevel="0" collapsed="false">
      <c r="A1069" s="2" t="s">
        <v>1935</v>
      </c>
      <c r="B1069" s="2" t="s">
        <v>327</v>
      </c>
      <c r="C1069" s="2" t="s">
        <v>91</v>
      </c>
      <c r="D1069" s="3" t="n">
        <v>45751</v>
      </c>
      <c r="E1069" s="2" t="s">
        <v>1932</v>
      </c>
      <c r="F1069" s="2" t="s">
        <v>38</v>
      </c>
      <c r="G1069" s="2" t="n">
        <v>16943</v>
      </c>
      <c r="H1069" s="2" t="n">
        <v>8</v>
      </c>
      <c r="I1069" s="2" t="n">
        <v>308</v>
      </c>
      <c r="J1069" s="2" t="n">
        <v>0</v>
      </c>
      <c r="K1069" s="2" t="n">
        <v>4924</v>
      </c>
      <c r="L1069" s="2" t="n">
        <v>2986</v>
      </c>
      <c r="M1069" s="2" t="n">
        <v>161</v>
      </c>
      <c r="N1069" s="2" t="n">
        <v>11</v>
      </c>
      <c r="O1069" s="2" t="n">
        <v>17</v>
      </c>
      <c r="P1069" s="2" t="n">
        <v>35</v>
      </c>
      <c r="Q1069" s="2" t="n">
        <v>39</v>
      </c>
      <c r="R1069" s="2" t="n">
        <v>3</v>
      </c>
      <c r="S1069" s="2" t="n">
        <v>2</v>
      </c>
      <c r="T1069" s="2" t="s">
        <v>96</v>
      </c>
      <c r="U1069" s="4" t="n">
        <f aca="false">(M1069+N1069+O1069+P1069)/L1069</f>
        <v>0.0750167448091092</v>
      </c>
      <c r="V1069" s="2" t="str">
        <f aca="false">IF(S1069&lt;=5,"Late night (0-5)",IF(S1069&lt;=11,"Morning (6-11)",IF(S1069&lt;=17,"Afternoon (12-17)","Evening (18-23)")))</f>
        <v>Late night (0-5)</v>
      </c>
    </row>
    <row r="1070" customFormat="false" ht="15" hidden="false" customHeight="false" outlineLevel="0" collapsed="false">
      <c r="A1070" s="2" t="s">
        <v>1936</v>
      </c>
      <c r="B1070" s="2" t="s">
        <v>103</v>
      </c>
      <c r="C1070" s="2" t="s">
        <v>36</v>
      </c>
      <c r="D1070" s="3" t="n">
        <v>45950</v>
      </c>
      <c r="E1070" s="2" t="s">
        <v>1937</v>
      </c>
      <c r="F1070" s="2" t="s">
        <v>32</v>
      </c>
      <c r="G1070" s="2" t="n">
        <v>56979</v>
      </c>
      <c r="H1070" s="2" t="n">
        <v>11</v>
      </c>
      <c r="I1070" s="2" t="n">
        <v>162</v>
      </c>
      <c r="J1070" s="2" t="n">
        <v>0</v>
      </c>
      <c r="K1070" s="2" t="n">
        <v>102993</v>
      </c>
      <c r="L1070" s="2" t="n">
        <v>74759</v>
      </c>
      <c r="M1070" s="2" t="n">
        <v>7787</v>
      </c>
      <c r="N1070" s="2" t="n">
        <v>569</v>
      </c>
      <c r="O1070" s="2" t="n">
        <v>1522</v>
      </c>
      <c r="P1070" s="2" t="n">
        <v>549</v>
      </c>
      <c r="Q1070" s="2" t="n">
        <v>674</v>
      </c>
      <c r="R1070" s="2" t="n">
        <v>46</v>
      </c>
      <c r="S1070" s="2" t="n">
        <v>12</v>
      </c>
      <c r="T1070" s="2" t="s">
        <v>33</v>
      </c>
      <c r="U1070" s="4" t="n">
        <f aca="false">(M1070+N1070+O1070+P1070)/L1070</f>
        <v>0.139474845837959</v>
      </c>
      <c r="V1070" s="2" t="str">
        <f aca="false">IF(S1070&lt;=5,"Late night (0-5)",IF(S1070&lt;=11,"Morning (6-11)",IF(S1070&lt;=17,"Afternoon (12-17)","Evening (18-23)")))</f>
        <v>Afternoon (12-17)</v>
      </c>
    </row>
    <row r="1071" customFormat="false" ht="15" hidden="false" customHeight="false" outlineLevel="0" collapsed="false">
      <c r="A1071" s="2" t="s">
        <v>1938</v>
      </c>
      <c r="B1071" s="2" t="s">
        <v>193</v>
      </c>
      <c r="C1071" s="2" t="s">
        <v>36</v>
      </c>
      <c r="D1071" s="3" t="n">
        <v>45939</v>
      </c>
      <c r="E1071" s="2" t="s">
        <v>1939</v>
      </c>
      <c r="F1071" s="2" t="s">
        <v>38</v>
      </c>
      <c r="G1071" s="2" t="n">
        <v>26454</v>
      </c>
      <c r="H1071" s="2" t="n">
        <v>5</v>
      </c>
      <c r="I1071" s="2" t="n">
        <v>121</v>
      </c>
      <c r="J1071" s="2" t="n">
        <v>0</v>
      </c>
      <c r="K1071" s="2" t="n">
        <v>23970</v>
      </c>
      <c r="L1071" s="2" t="n">
        <v>15566</v>
      </c>
      <c r="M1071" s="2" t="n">
        <v>609</v>
      </c>
      <c r="N1071" s="2" t="n">
        <v>14</v>
      </c>
      <c r="O1071" s="2" t="n">
        <v>81</v>
      </c>
      <c r="P1071" s="2" t="n">
        <v>106</v>
      </c>
      <c r="Q1071" s="2" t="n">
        <v>170</v>
      </c>
      <c r="R1071" s="2" t="n">
        <v>20</v>
      </c>
      <c r="S1071" s="2" t="n">
        <v>19</v>
      </c>
      <c r="T1071" s="2" t="s">
        <v>79</v>
      </c>
      <c r="U1071" s="4" t="n">
        <f aca="false">(M1071+N1071+O1071+P1071)/L1071</f>
        <v>0.0520364897854298</v>
      </c>
      <c r="V1071" s="2" t="str">
        <f aca="false">IF(S1071&lt;=5,"Late night (0-5)",IF(S1071&lt;=11,"Morning (6-11)",IF(S1071&lt;=17,"Afternoon (12-17)","Evening (18-23)")))</f>
        <v>Evening (18-23)</v>
      </c>
    </row>
    <row r="1072" customFormat="false" ht="15" hidden="false" customHeight="false" outlineLevel="0" collapsed="false">
      <c r="A1072" s="2" t="s">
        <v>1940</v>
      </c>
      <c r="B1072" s="2" t="s">
        <v>240</v>
      </c>
      <c r="C1072" s="2" t="s">
        <v>41</v>
      </c>
      <c r="D1072" s="3" t="n">
        <v>45968</v>
      </c>
      <c r="E1072" s="2" t="s">
        <v>1120</v>
      </c>
      <c r="F1072" s="2" t="s">
        <v>38</v>
      </c>
      <c r="G1072" s="2" t="n">
        <v>83197</v>
      </c>
      <c r="H1072" s="2" t="n">
        <v>2</v>
      </c>
      <c r="I1072" s="2" t="n">
        <v>214</v>
      </c>
      <c r="J1072" s="2" t="n">
        <v>0</v>
      </c>
      <c r="K1072" s="2" t="n">
        <v>68988</v>
      </c>
      <c r="L1072" s="2" t="n">
        <v>55576</v>
      </c>
      <c r="M1072" s="2" t="n">
        <v>2836</v>
      </c>
      <c r="N1072" s="2" t="n">
        <v>126</v>
      </c>
      <c r="O1072" s="2" t="n">
        <v>420</v>
      </c>
      <c r="P1072" s="2" t="n">
        <v>741</v>
      </c>
      <c r="Q1072" s="2" t="n">
        <v>1279</v>
      </c>
      <c r="R1072" s="2" t="n">
        <v>119</v>
      </c>
      <c r="S1072" s="2" t="n">
        <v>15</v>
      </c>
      <c r="T1072" s="2" t="s">
        <v>96</v>
      </c>
      <c r="U1072" s="4" t="n">
        <f aca="false">(M1072+N1072+O1072+P1072)/L1072</f>
        <v>0.0741866992946596</v>
      </c>
      <c r="V1072" s="2" t="str">
        <f aca="false">IF(S1072&lt;=5,"Late night (0-5)",IF(S1072&lt;=11,"Morning (6-11)",IF(S1072&lt;=17,"Afternoon (12-17)","Evening (18-23)")))</f>
        <v>Afternoon (12-17)</v>
      </c>
    </row>
    <row r="1073" customFormat="false" ht="15" hidden="false" customHeight="false" outlineLevel="0" collapsed="false">
      <c r="A1073" s="2" t="s">
        <v>1941</v>
      </c>
      <c r="B1073" s="2" t="s">
        <v>426</v>
      </c>
      <c r="C1073" s="2" t="s">
        <v>30</v>
      </c>
      <c r="D1073" s="3" t="n">
        <v>45913</v>
      </c>
      <c r="E1073" s="2" t="s">
        <v>750</v>
      </c>
      <c r="F1073" s="2" t="s">
        <v>50</v>
      </c>
      <c r="G1073" s="2" t="n">
        <v>40649</v>
      </c>
      <c r="H1073" s="2" t="n">
        <v>27</v>
      </c>
      <c r="I1073" s="2" t="n">
        <v>225</v>
      </c>
      <c r="J1073" s="2" t="n">
        <v>0</v>
      </c>
      <c r="K1073" s="2" t="n">
        <v>45978</v>
      </c>
      <c r="L1073" s="2" t="n">
        <v>28994</v>
      </c>
      <c r="M1073" s="2" t="n">
        <v>2326</v>
      </c>
      <c r="N1073" s="2" t="n">
        <v>157</v>
      </c>
      <c r="O1073" s="2" t="n">
        <v>206</v>
      </c>
      <c r="P1073" s="2" t="n">
        <v>676</v>
      </c>
      <c r="Q1073" s="2" t="n">
        <v>232</v>
      </c>
      <c r="R1073" s="2" t="n">
        <v>40</v>
      </c>
      <c r="S1073" s="2" t="n">
        <v>19</v>
      </c>
      <c r="T1073" s="2" t="s">
        <v>62</v>
      </c>
      <c r="U1073" s="4" t="n">
        <f aca="false">(M1073+N1073+O1073+P1073)/L1073</f>
        <v>0.116058494861006</v>
      </c>
      <c r="V1073" s="2" t="str">
        <f aca="false">IF(S1073&lt;=5,"Late night (0-5)",IF(S1073&lt;=11,"Morning (6-11)",IF(S1073&lt;=17,"Afternoon (12-17)","Evening (18-23)")))</f>
        <v>Evening (18-23)</v>
      </c>
    </row>
    <row r="1074" customFormat="false" ht="15" hidden="false" customHeight="false" outlineLevel="0" collapsed="false">
      <c r="A1074" s="2" t="s">
        <v>1942</v>
      </c>
      <c r="B1074" s="2" t="s">
        <v>74</v>
      </c>
      <c r="C1074" s="2" t="s">
        <v>30</v>
      </c>
      <c r="D1074" s="3" t="n">
        <v>45703</v>
      </c>
      <c r="E1074" s="2" t="s">
        <v>1915</v>
      </c>
      <c r="F1074" s="2" t="s">
        <v>32</v>
      </c>
      <c r="G1074" s="2" t="n">
        <v>20432</v>
      </c>
      <c r="H1074" s="2" t="n">
        <v>11</v>
      </c>
      <c r="I1074" s="2" t="n">
        <v>188</v>
      </c>
      <c r="J1074" s="2" t="n">
        <v>0</v>
      </c>
      <c r="K1074" s="2" t="n">
        <v>61426</v>
      </c>
      <c r="L1074" s="2" t="n">
        <v>36054</v>
      </c>
      <c r="M1074" s="2" t="n">
        <v>1312</v>
      </c>
      <c r="N1074" s="2" t="n">
        <v>85</v>
      </c>
      <c r="O1074" s="2" t="n">
        <v>250</v>
      </c>
      <c r="P1074" s="2" t="n">
        <v>96</v>
      </c>
      <c r="Q1074" s="2" t="n">
        <v>1021</v>
      </c>
      <c r="R1074" s="2" t="n">
        <v>249</v>
      </c>
      <c r="S1074" s="2" t="n">
        <v>5</v>
      </c>
      <c r="T1074" s="2" t="s">
        <v>62</v>
      </c>
      <c r="U1074" s="4" t="n">
        <f aca="false">(M1074+N1074+O1074+P1074)/L1074</f>
        <v>0.0483441504410052</v>
      </c>
      <c r="V1074" s="2" t="str">
        <f aca="false">IF(S1074&lt;=5,"Late night (0-5)",IF(S1074&lt;=11,"Morning (6-11)",IF(S1074&lt;=17,"Afternoon (12-17)","Evening (18-23)")))</f>
        <v>Late night (0-5)</v>
      </c>
    </row>
    <row r="1075" customFormat="false" ht="15" hidden="false" customHeight="false" outlineLevel="0" collapsed="false">
      <c r="A1075" s="2" t="s">
        <v>1943</v>
      </c>
      <c r="B1075" s="2" t="s">
        <v>103</v>
      </c>
      <c r="C1075" s="2" t="s">
        <v>36</v>
      </c>
      <c r="D1075" s="3" t="n">
        <v>45876</v>
      </c>
      <c r="E1075" s="2" t="s">
        <v>1944</v>
      </c>
      <c r="F1075" s="2" t="s">
        <v>38</v>
      </c>
      <c r="G1075" s="2" t="n">
        <v>56979</v>
      </c>
      <c r="H1075" s="2" t="n">
        <v>10</v>
      </c>
      <c r="I1075" s="2" t="n">
        <v>10</v>
      </c>
      <c r="J1075" s="2" t="n">
        <v>0</v>
      </c>
      <c r="K1075" s="2" t="n">
        <v>16149</v>
      </c>
      <c r="L1075" s="2" t="n">
        <v>11573</v>
      </c>
      <c r="M1075" s="2" t="n">
        <v>842</v>
      </c>
      <c r="N1075" s="2" t="n">
        <v>55</v>
      </c>
      <c r="O1075" s="2" t="n">
        <v>38</v>
      </c>
      <c r="P1075" s="2" t="n">
        <v>221</v>
      </c>
      <c r="Q1075" s="2" t="n">
        <v>267</v>
      </c>
      <c r="R1075" s="2" t="n">
        <v>35</v>
      </c>
      <c r="S1075" s="2" t="n">
        <v>1</v>
      </c>
      <c r="T1075" s="2" t="s">
        <v>79</v>
      </c>
      <c r="U1075" s="4" t="n">
        <f aca="false">(M1075+N1075+O1075+P1075)/L1075</f>
        <v>0.0998876695757366</v>
      </c>
      <c r="V1075" s="2" t="str">
        <f aca="false">IF(S1075&lt;=5,"Late night (0-5)",IF(S1075&lt;=11,"Morning (6-11)",IF(S1075&lt;=17,"Afternoon (12-17)","Evening (18-23)")))</f>
        <v>Late night (0-5)</v>
      </c>
    </row>
    <row r="1076" customFormat="false" ht="15" hidden="false" customHeight="false" outlineLevel="0" collapsed="false">
      <c r="A1076" s="2" t="s">
        <v>1945</v>
      </c>
      <c r="B1076" s="2" t="s">
        <v>247</v>
      </c>
      <c r="C1076" s="2" t="s">
        <v>24</v>
      </c>
      <c r="D1076" s="3" t="n">
        <v>45887</v>
      </c>
      <c r="E1076" s="2" t="s">
        <v>1481</v>
      </c>
      <c r="F1076" s="2" t="s">
        <v>32</v>
      </c>
      <c r="G1076" s="2" t="n">
        <v>70847</v>
      </c>
      <c r="H1076" s="2" t="n">
        <v>11</v>
      </c>
      <c r="I1076" s="2" t="n">
        <v>132</v>
      </c>
      <c r="J1076" s="2" t="n">
        <v>1</v>
      </c>
      <c r="K1076" s="2" t="n">
        <v>181375</v>
      </c>
      <c r="L1076" s="2" t="n">
        <v>140576</v>
      </c>
      <c r="M1076" s="2" t="n">
        <v>13345</v>
      </c>
      <c r="N1076" s="2" t="n">
        <v>561</v>
      </c>
      <c r="O1076" s="2" t="n">
        <v>1855</v>
      </c>
      <c r="P1076" s="2" t="n">
        <v>3171</v>
      </c>
      <c r="Q1076" s="2" t="n">
        <v>2496</v>
      </c>
      <c r="R1076" s="2" t="n">
        <v>250</v>
      </c>
      <c r="S1076" s="2" t="n">
        <v>13</v>
      </c>
      <c r="T1076" s="2" t="s">
        <v>33</v>
      </c>
      <c r="U1076" s="4" t="n">
        <f aca="false">(M1076+N1076+O1076+P1076)/L1076</f>
        <v>0.134674482130662</v>
      </c>
      <c r="V1076" s="2" t="str">
        <f aca="false">IF(S1076&lt;=5,"Late night (0-5)",IF(S1076&lt;=11,"Morning (6-11)",IF(S1076&lt;=17,"Afternoon (12-17)","Evening (18-23)")))</f>
        <v>Afternoon (12-17)</v>
      </c>
    </row>
    <row r="1077" customFormat="false" ht="15" hidden="false" customHeight="false" outlineLevel="0" collapsed="false">
      <c r="A1077" s="2" t="s">
        <v>1946</v>
      </c>
      <c r="B1077" s="2" t="s">
        <v>57</v>
      </c>
      <c r="C1077" s="2" t="s">
        <v>24</v>
      </c>
      <c r="D1077" s="3" t="n">
        <v>45978</v>
      </c>
      <c r="E1077" s="2" t="s">
        <v>1947</v>
      </c>
      <c r="F1077" s="2" t="s">
        <v>26</v>
      </c>
      <c r="G1077" s="2" t="n">
        <v>31021</v>
      </c>
      <c r="H1077" s="2" t="n">
        <v>14</v>
      </c>
      <c r="I1077" s="2" t="n">
        <v>145</v>
      </c>
      <c r="J1077" s="2" t="n">
        <v>1</v>
      </c>
      <c r="K1077" s="2" t="n">
        <v>50252</v>
      </c>
      <c r="L1077" s="2" t="n">
        <v>28050</v>
      </c>
      <c r="M1077" s="2" t="n">
        <v>1955</v>
      </c>
      <c r="N1077" s="2" t="n">
        <v>88</v>
      </c>
      <c r="O1077" s="2" t="n">
        <v>132</v>
      </c>
      <c r="P1077" s="2" t="n">
        <v>646</v>
      </c>
      <c r="Q1077" s="2" t="n">
        <v>322</v>
      </c>
      <c r="R1077" s="2" t="n">
        <v>29</v>
      </c>
      <c r="S1077" s="2" t="n">
        <v>10</v>
      </c>
      <c r="T1077" s="2" t="s">
        <v>33</v>
      </c>
      <c r="U1077" s="4" t="n">
        <f aca="false">(M1077+N1077+O1077+P1077)/L1077</f>
        <v>0.100570409982175</v>
      </c>
      <c r="V1077" s="2" t="str">
        <f aca="false">IF(S1077&lt;=5,"Late night (0-5)",IF(S1077&lt;=11,"Morning (6-11)",IF(S1077&lt;=17,"Afternoon (12-17)","Evening (18-23)")))</f>
        <v>Morning (6-11)</v>
      </c>
    </row>
    <row r="1078" customFormat="false" ht="15" hidden="false" customHeight="false" outlineLevel="0" collapsed="false">
      <c r="A1078" s="2" t="s">
        <v>1948</v>
      </c>
      <c r="B1078" s="2" t="s">
        <v>132</v>
      </c>
      <c r="C1078" s="2" t="s">
        <v>36</v>
      </c>
      <c r="D1078" s="3" t="n">
        <v>45839</v>
      </c>
      <c r="E1078" s="2" t="s">
        <v>1949</v>
      </c>
      <c r="F1078" s="2" t="s">
        <v>26</v>
      </c>
      <c r="G1078" s="2" t="n">
        <v>83053</v>
      </c>
      <c r="H1078" s="2" t="n">
        <v>16</v>
      </c>
      <c r="I1078" s="2" t="n">
        <v>171</v>
      </c>
      <c r="J1078" s="2" t="n">
        <v>0</v>
      </c>
      <c r="K1078" s="2" t="n">
        <v>63826</v>
      </c>
      <c r="L1078" s="2" t="n">
        <v>50925</v>
      </c>
      <c r="M1078" s="2" t="n">
        <v>3678</v>
      </c>
      <c r="N1078" s="2" t="n">
        <v>238</v>
      </c>
      <c r="O1078" s="2" t="n">
        <v>459</v>
      </c>
      <c r="P1078" s="2" t="n">
        <v>517</v>
      </c>
      <c r="Q1078" s="2" t="n">
        <v>262</v>
      </c>
      <c r="R1078" s="2" t="n">
        <v>61</v>
      </c>
      <c r="S1078" s="2" t="n">
        <v>7</v>
      </c>
      <c r="T1078" s="2" t="s">
        <v>51</v>
      </c>
      <c r="U1078" s="4" t="n">
        <f aca="false">(M1078+N1078+O1078+P1078)/L1078</f>
        <v>0.0960628375061365</v>
      </c>
      <c r="V1078" s="2" t="str">
        <f aca="false">IF(S1078&lt;=5,"Late night (0-5)",IF(S1078&lt;=11,"Morning (6-11)",IF(S1078&lt;=17,"Afternoon (12-17)","Evening (18-23)")))</f>
        <v>Morning (6-11)</v>
      </c>
    </row>
    <row r="1079" customFormat="false" ht="15" hidden="false" customHeight="false" outlineLevel="0" collapsed="false">
      <c r="A1079" s="2" t="s">
        <v>1950</v>
      </c>
      <c r="B1079" s="2" t="s">
        <v>193</v>
      </c>
      <c r="C1079" s="2" t="s">
        <v>36</v>
      </c>
      <c r="D1079" s="3" t="n">
        <v>45825</v>
      </c>
      <c r="E1079" s="2" t="s">
        <v>1596</v>
      </c>
      <c r="F1079" s="2" t="s">
        <v>26</v>
      </c>
      <c r="G1079" s="2" t="n">
        <v>26454</v>
      </c>
      <c r="H1079" s="2" t="n">
        <v>15</v>
      </c>
      <c r="I1079" s="2" t="n">
        <v>258</v>
      </c>
      <c r="J1079" s="2" t="n">
        <v>0</v>
      </c>
      <c r="K1079" s="2" t="n">
        <v>22005</v>
      </c>
      <c r="L1079" s="2" t="n">
        <v>14744</v>
      </c>
      <c r="M1079" s="2" t="n">
        <v>774</v>
      </c>
      <c r="N1079" s="2" t="n">
        <v>40</v>
      </c>
      <c r="O1079" s="2" t="n">
        <v>37</v>
      </c>
      <c r="P1079" s="2" t="n">
        <v>312</v>
      </c>
      <c r="Q1079" s="2" t="n">
        <v>407</v>
      </c>
      <c r="R1079" s="2" t="n">
        <v>104</v>
      </c>
      <c r="S1079" s="2" t="n">
        <v>12</v>
      </c>
      <c r="T1079" s="2" t="s">
        <v>51</v>
      </c>
      <c r="U1079" s="4" t="n">
        <f aca="false">(M1079+N1079+O1079+P1079)/L1079</f>
        <v>0.0788795442213782</v>
      </c>
      <c r="V1079" s="2" t="str">
        <f aca="false">IF(S1079&lt;=5,"Late night (0-5)",IF(S1079&lt;=11,"Morning (6-11)",IF(S1079&lt;=17,"Afternoon (12-17)","Evening (18-23)")))</f>
        <v>Afternoon (12-17)</v>
      </c>
    </row>
    <row r="1080" customFormat="false" ht="15" hidden="false" customHeight="false" outlineLevel="0" collapsed="false">
      <c r="A1080" s="2" t="s">
        <v>1951</v>
      </c>
      <c r="B1080" s="2" t="s">
        <v>71</v>
      </c>
      <c r="C1080" s="2" t="s">
        <v>48</v>
      </c>
      <c r="D1080" s="3" t="n">
        <v>45852</v>
      </c>
      <c r="E1080" s="2" t="s">
        <v>869</v>
      </c>
      <c r="F1080" s="2" t="s">
        <v>50</v>
      </c>
      <c r="G1080" s="2" t="n">
        <v>7316</v>
      </c>
      <c r="H1080" s="2" t="n">
        <v>0</v>
      </c>
      <c r="I1080" s="2" t="n">
        <v>294</v>
      </c>
      <c r="J1080" s="2" t="n">
        <v>0</v>
      </c>
      <c r="K1080" s="2" t="n">
        <v>9232</v>
      </c>
      <c r="L1080" s="2" t="n">
        <v>7237</v>
      </c>
      <c r="M1080" s="2" t="n">
        <v>482</v>
      </c>
      <c r="N1080" s="2" t="n">
        <v>35</v>
      </c>
      <c r="O1080" s="2" t="n">
        <v>14</v>
      </c>
      <c r="P1080" s="2" t="n">
        <v>51</v>
      </c>
      <c r="Q1080" s="2" t="n">
        <v>74</v>
      </c>
      <c r="R1080" s="2" t="n">
        <v>5</v>
      </c>
      <c r="S1080" s="2" t="n">
        <v>10</v>
      </c>
      <c r="T1080" s="2" t="s">
        <v>33</v>
      </c>
      <c r="U1080" s="4" t="n">
        <f aca="false">(M1080+N1080+O1080+P1080)/L1080</f>
        <v>0.0804200635622496</v>
      </c>
      <c r="V1080" s="2" t="str">
        <f aca="false">IF(S1080&lt;=5,"Late night (0-5)",IF(S1080&lt;=11,"Morning (6-11)",IF(S1080&lt;=17,"Afternoon (12-17)","Evening (18-23)")))</f>
        <v>Morning (6-11)</v>
      </c>
    </row>
    <row r="1081" customFormat="false" ht="15" hidden="false" customHeight="false" outlineLevel="0" collapsed="false">
      <c r="A1081" s="2" t="s">
        <v>1952</v>
      </c>
      <c r="B1081" s="2" t="s">
        <v>462</v>
      </c>
      <c r="C1081" s="2" t="s">
        <v>84</v>
      </c>
      <c r="D1081" s="3" t="n">
        <v>45791</v>
      </c>
      <c r="E1081" s="2" t="s">
        <v>1953</v>
      </c>
      <c r="F1081" s="2" t="s">
        <v>26</v>
      </c>
      <c r="G1081" s="2" t="n">
        <v>43510</v>
      </c>
      <c r="H1081" s="2" t="n">
        <v>22</v>
      </c>
      <c r="I1081" s="2" t="n">
        <v>136</v>
      </c>
      <c r="J1081" s="2" t="n">
        <v>0</v>
      </c>
      <c r="K1081" s="2" t="n">
        <v>47292</v>
      </c>
      <c r="L1081" s="2" t="n">
        <v>37829</v>
      </c>
      <c r="M1081" s="2" t="n">
        <v>2411</v>
      </c>
      <c r="N1081" s="2" t="n">
        <v>157</v>
      </c>
      <c r="O1081" s="2" t="n">
        <v>177</v>
      </c>
      <c r="P1081" s="2" t="n">
        <v>866</v>
      </c>
      <c r="Q1081" s="2" t="n">
        <v>1066</v>
      </c>
      <c r="R1081" s="2" t="n">
        <v>212</v>
      </c>
      <c r="S1081" s="2" t="n">
        <v>16</v>
      </c>
      <c r="T1081" s="2" t="s">
        <v>66</v>
      </c>
      <c r="U1081" s="4" t="n">
        <f aca="false">(M1081+N1081+O1081+P1081)/L1081</f>
        <v>0.095455867191837</v>
      </c>
      <c r="V1081" s="2" t="str">
        <f aca="false">IF(S1081&lt;=5,"Late night (0-5)",IF(S1081&lt;=11,"Morning (6-11)",IF(S1081&lt;=17,"Afternoon (12-17)","Evening (18-23)")))</f>
        <v>Afternoon (12-17)</v>
      </c>
    </row>
    <row r="1082" customFormat="false" ht="15" hidden="false" customHeight="false" outlineLevel="0" collapsed="false">
      <c r="A1082" s="2" t="s">
        <v>1954</v>
      </c>
      <c r="B1082" s="2" t="s">
        <v>154</v>
      </c>
      <c r="C1082" s="2" t="s">
        <v>41</v>
      </c>
      <c r="D1082" s="3" t="n">
        <v>45987</v>
      </c>
      <c r="E1082" s="2" t="s">
        <v>1955</v>
      </c>
      <c r="F1082" s="2" t="s">
        <v>38</v>
      </c>
      <c r="G1082" s="2" t="n">
        <v>33644</v>
      </c>
      <c r="H1082" s="2" t="n">
        <v>5</v>
      </c>
      <c r="I1082" s="2" t="n">
        <v>120</v>
      </c>
      <c r="J1082" s="2" t="n">
        <v>0</v>
      </c>
      <c r="K1082" s="2" t="n">
        <v>28109</v>
      </c>
      <c r="L1082" s="2" t="n">
        <v>19817</v>
      </c>
      <c r="M1082" s="2" t="n">
        <v>707</v>
      </c>
      <c r="N1082" s="2" t="n">
        <v>44</v>
      </c>
      <c r="O1082" s="2" t="n">
        <v>94</v>
      </c>
      <c r="P1082" s="2" t="n">
        <v>93</v>
      </c>
      <c r="Q1082" s="2" t="n">
        <v>136</v>
      </c>
      <c r="R1082" s="2" t="n">
        <v>38</v>
      </c>
      <c r="S1082" s="2" t="n">
        <v>10</v>
      </c>
      <c r="T1082" s="2" t="s">
        <v>66</v>
      </c>
      <c r="U1082" s="4" t="n">
        <f aca="false">(M1082+N1082+O1082+P1082)/L1082</f>
        <v>0.0473330978452844</v>
      </c>
      <c r="V1082" s="2" t="str">
        <f aca="false">IF(S1082&lt;=5,"Late night (0-5)",IF(S1082&lt;=11,"Morning (6-11)",IF(S1082&lt;=17,"Afternoon (12-17)","Evening (18-23)")))</f>
        <v>Morning (6-11)</v>
      </c>
    </row>
    <row r="1083" customFormat="false" ht="15" hidden="false" customHeight="false" outlineLevel="0" collapsed="false">
      <c r="A1083" s="2" t="s">
        <v>1956</v>
      </c>
      <c r="B1083" s="2" t="s">
        <v>319</v>
      </c>
      <c r="C1083" s="2" t="s">
        <v>84</v>
      </c>
      <c r="D1083" s="3" t="n">
        <v>45872</v>
      </c>
      <c r="E1083" s="2" t="s">
        <v>1957</v>
      </c>
      <c r="F1083" s="2" t="s">
        <v>32</v>
      </c>
      <c r="G1083" s="2" t="n">
        <v>49810</v>
      </c>
      <c r="H1083" s="2" t="n">
        <v>7</v>
      </c>
      <c r="I1083" s="2" t="n">
        <v>57</v>
      </c>
      <c r="J1083" s="2" t="n">
        <v>0</v>
      </c>
      <c r="K1083" s="2" t="n">
        <v>98661</v>
      </c>
      <c r="L1083" s="2" t="n">
        <v>88439</v>
      </c>
      <c r="M1083" s="2" t="n">
        <v>7013</v>
      </c>
      <c r="N1083" s="2" t="n">
        <v>461</v>
      </c>
      <c r="O1083" s="2" t="n">
        <v>824</v>
      </c>
      <c r="P1083" s="2" t="n">
        <v>1731</v>
      </c>
      <c r="Q1083" s="2" t="n">
        <v>1840</v>
      </c>
      <c r="R1083" s="2" t="n">
        <v>519</v>
      </c>
      <c r="S1083" s="2" t="n">
        <v>11</v>
      </c>
      <c r="T1083" s="2" t="s">
        <v>27</v>
      </c>
      <c r="U1083" s="4" t="n">
        <f aca="false">(M1083+N1083+O1083+P1083)/L1083</f>
        <v>0.11340019674578</v>
      </c>
      <c r="V1083" s="2" t="str">
        <f aca="false">IF(S1083&lt;=5,"Late night (0-5)",IF(S1083&lt;=11,"Morning (6-11)",IF(S1083&lt;=17,"Afternoon (12-17)","Evening (18-23)")))</f>
        <v>Morning (6-11)</v>
      </c>
    </row>
    <row r="1084" customFormat="false" ht="15" hidden="false" customHeight="false" outlineLevel="0" collapsed="false">
      <c r="A1084" s="2" t="s">
        <v>1958</v>
      </c>
      <c r="B1084" s="2" t="s">
        <v>154</v>
      </c>
      <c r="C1084" s="2" t="s">
        <v>41</v>
      </c>
      <c r="D1084" s="3" t="n">
        <v>46000</v>
      </c>
      <c r="E1084" s="2" t="s">
        <v>667</v>
      </c>
      <c r="F1084" s="2" t="s">
        <v>32</v>
      </c>
      <c r="G1084" s="2" t="n">
        <v>33644</v>
      </c>
      <c r="H1084" s="2" t="n">
        <v>5</v>
      </c>
      <c r="I1084" s="2" t="n">
        <v>195</v>
      </c>
      <c r="J1084" s="2" t="n">
        <v>1</v>
      </c>
      <c r="K1084" s="2" t="n">
        <v>25033</v>
      </c>
      <c r="L1084" s="2" t="n">
        <v>15801</v>
      </c>
      <c r="M1084" s="2" t="n">
        <v>1350</v>
      </c>
      <c r="N1084" s="2" t="n">
        <v>70</v>
      </c>
      <c r="O1084" s="2" t="n">
        <v>382</v>
      </c>
      <c r="P1084" s="2" t="n">
        <v>197</v>
      </c>
      <c r="Q1084" s="2" t="n">
        <v>409</v>
      </c>
      <c r="R1084" s="2" t="n">
        <v>28</v>
      </c>
      <c r="S1084" s="2" t="n">
        <v>15</v>
      </c>
      <c r="T1084" s="2" t="s">
        <v>51</v>
      </c>
      <c r="U1084" s="4" t="n">
        <f aca="false">(M1084+N1084+O1084+P1084)/L1084</f>
        <v>0.126510980317701</v>
      </c>
      <c r="V1084" s="2" t="str">
        <f aca="false">IF(S1084&lt;=5,"Late night (0-5)",IF(S1084&lt;=11,"Morning (6-11)",IF(S1084&lt;=17,"Afternoon (12-17)","Evening (18-23)")))</f>
        <v>Afternoon (12-17)</v>
      </c>
    </row>
    <row r="1085" customFormat="false" ht="15" hidden="false" customHeight="false" outlineLevel="0" collapsed="false">
      <c r="A1085" s="2" t="s">
        <v>1959</v>
      </c>
      <c r="B1085" s="2" t="s">
        <v>135</v>
      </c>
      <c r="C1085" s="2" t="s">
        <v>36</v>
      </c>
      <c r="D1085" s="3" t="n">
        <v>45820</v>
      </c>
      <c r="E1085" s="2" t="s">
        <v>1960</v>
      </c>
      <c r="F1085" s="2" t="s">
        <v>38</v>
      </c>
      <c r="G1085" s="2" t="n">
        <v>45812</v>
      </c>
      <c r="H1085" s="2" t="n">
        <v>5</v>
      </c>
      <c r="I1085" s="2" t="n">
        <v>159</v>
      </c>
      <c r="J1085" s="2" t="n">
        <v>0</v>
      </c>
      <c r="K1085" s="2" t="n">
        <v>18218</v>
      </c>
      <c r="L1085" s="2" t="n">
        <v>15084</v>
      </c>
      <c r="M1085" s="2" t="n">
        <v>835</v>
      </c>
      <c r="N1085" s="2" t="n">
        <v>47</v>
      </c>
      <c r="O1085" s="2" t="n">
        <v>157</v>
      </c>
      <c r="P1085" s="2" t="n">
        <v>246</v>
      </c>
      <c r="Q1085" s="2" t="n">
        <v>101</v>
      </c>
      <c r="R1085" s="2" t="n">
        <v>8</v>
      </c>
      <c r="S1085" s="2" t="n">
        <v>20</v>
      </c>
      <c r="T1085" s="2" t="s">
        <v>79</v>
      </c>
      <c r="U1085" s="4" t="n">
        <f aca="false">(M1085+N1085+O1085+P1085)/L1085</f>
        <v>0.0851896048793424</v>
      </c>
      <c r="V1085" s="2" t="str">
        <f aca="false">IF(S1085&lt;=5,"Late night (0-5)",IF(S1085&lt;=11,"Morning (6-11)",IF(S1085&lt;=17,"Afternoon (12-17)","Evening (18-23)")))</f>
        <v>Evening (18-23)</v>
      </c>
    </row>
    <row r="1086" customFormat="false" ht="15" hidden="false" customHeight="false" outlineLevel="0" collapsed="false">
      <c r="A1086" s="2" t="s">
        <v>1961</v>
      </c>
      <c r="B1086" s="2" t="s">
        <v>390</v>
      </c>
      <c r="C1086" s="2" t="s">
        <v>36</v>
      </c>
      <c r="D1086" s="3" t="n">
        <v>45789</v>
      </c>
      <c r="E1086" s="2" t="s">
        <v>1962</v>
      </c>
      <c r="F1086" s="2" t="s">
        <v>26</v>
      </c>
      <c r="G1086" s="2" t="n">
        <v>30232</v>
      </c>
      <c r="H1086" s="2" t="n">
        <v>0</v>
      </c>
      <c r="I1086" s="2" t="n">
        <v>170</v>
      </c>
      <c r="J1086" s="2" t="n">
        <v>1</v>
      </c>
      <c r="K1086" s="2" t="n">
        <v>34841</v>
      </c>
      <c r="L1086" s="2" t="n">
        <v>30172</v>
      </c>
      <c r="M1086" s="2" t="n">
        <v>1929</v>
      </c>
      <c r="N1086" s="2" t="n">
        <v>142</v>
      </c>
      <c r="O1086" s="2" t="n">
        <v>319</v>
      </c>
      <c r="P1086" s="2" t="n">
        <v>589</v>
      </c>
      <c r="Q1086" s="2" t="n">
        <v>650</v>
      </c>
      <c r="R1086" s="2" t="n">
        <v>151</v>
      </c>
      <c r="S1086" s="2" t="n">
        <v>19</v>
      </c>
      <c r="T1086" s="2" t="s">
        <v>33</v>
      </c>
      <c r="U1086" s="4" t="n">
        <f aca="false">(M1086+N1086+O1086+P1086)/L1086</f>
        <v>0.0987339254938354</v>
      </c>
      <c r="V1086" s="2" t="str">
        <f aca="false">IF(S1086&lt;=5,"Late night (0-5)",IF(S1086&lt;=11,"Morning (6-11)",IF(S1086&lt;=17,"Afternoon (12-17)","Evening (18-23)")))</f>
        <v>Evening (18-23)</v>
      </c>
    </row>
    <row r="1087" customFormat="false" ht="15" hidden="false" customHeight="false" outlineLevel="0" collapsed="false">
      <c r="A1087" s="2" t="s">
        <v>1963</v>
      </c>
      <c r="B1087" s="2" t="s">
        <v>452</v>
      </c>
      <c r="C1087" s="2" t="s">
        <v>91</v>
      </c>
      <c r="D1087" s="3" t="n">
        <v>45832</v>
      </c>
      <c r="E1087" s="2" t="s">
        <v>260</v>
      </c>
      <c r="F1087" s="2" t="s">
        <v>50</v>
      </c>
      <c r="G1087" s="2" t="n">
        <v>14201</v>
      </c>
      <c r="H1087" s="2" t="n">
        <v>2</v>
      </c>
      <c r="I1087" s="2" t="n">
        <v>291</v>
      </c>
      <c r="J1087" s="2" t="n">
        <v>1</v>
      </c>
      <c r="K1087" s="2" t="n">
        <v>4653</v>
      </c>
      <c r="L1087" s="2" t="n">
        <v>3382</v>
      </c>
      <c r="M1087" s="2" t="n">
        <v>104</v>
      </c>
      <c r="N1087" s="2" t="n">
        <v>2</v>
      </c>
      <c r="O1087" s="2" t="n">
        <v>7</v>
      </c>
      <c r="P1087" s="2" t="n">
        <v>9</v>
      </c>
      <c r="Q1087" s="2" t="n">
        <v>78</v>
      </c>
      <c r="R1087" s="2" t="n">
        <v>5</v>
      </c>
      <c r="S1087" s="2" t="n">
        <v>10</v>
      </c>
      <c r="T1087" s="2" t="s">
        <v>51</v>
      </c>
      <c r="U1087" s="4" t="n">
        <f aca="false">(M1087+N1087+O1087+P1087)/L1087</f>
        <v>0.036073329390893</v>
      </c>
      <c r="V1087" s="2" t="str">
        <f aca="false">IF(S1087&lt;=5,"Late night (0-5)",IF(S1087&lt;=11,"Morning (6-11)",IF(S1087&lt;=17,"Afternoon (12-17)","Evening (18-23)")))</f>
        <v>Morning (6-11)</v>
      </c>
    </row>
    <row r="1088" customFormat="false" ht="15" hidden="false" customHeight="false" outlineLevel="0" collapsed="false">
      <c r="A1088" s="2" t="s">
        <v>1964</v>
      </c>
      <c r="B1088" s="2" t="s">
        <v>71</v>
      </c>
      <c r="C1088" s="2" t="s">
        <v>48</v>
      </c>
      <c r="D1088" s="3" t="n">
        <v>45964</v>
      </c>
      <c r="E1088" s="2" t="s">
        <v>453</v>
      </c>
      <c r="F1088" s="2" t="s">
        <v>32</v>
      </c>
      <c r="G1088" s="2" t="n">
        <v>7316</v>
      </c>
      <c r="H1088" s="2" t="n">
        <v>14</v>
      </c>
      <c r="I1088" s="2" t="n">
        <v>101</v>
      </c>
      <c r="J1088" s="2" t="n">
        <v>0</v>
      </c>
      <c r="K1088" s="2" t="n">
        <v>10348</v>
      </c>
      <c r="L1088" s="2" t="n">
        <v>6519</v>
      </c>
      <c r="M1088" s="2" t="n">
        <v>296</v>
      </c>
      <c r="N1088" s="2" t="n">
        <v>7</v>
      </c>
      <c r="O1088" s="2" t="n">
        <v>40</v>
      </c>
      <c r="P1088" s="2" t="n">
        <v>53</v>
      </c>
      <c r="Q1088" s="2" t="n">
        <v>126</v>
      </c>
      <c r="R1088" s="2" t="n">
        <v>16</v>
      </c>
      <c r="S1088" s="2" t="n">
        <v>11</v>
      </c>
      <c r="T1088" s="2" t="s">
        <v>33</v>
      </c>
      <c r="U1088" s="4" t="n">
        <f aca="false">(M1088+N1088+O1088+P1088)/L1088</f>
        <v>0.0607455131155085</v>
      </c>
      <c r="V1088" s="2" t="str">
        <f aca="false">IF(S1088&lt;=5,"Late night (0-5)",IF(S1088&lt;=11,"Morning (6-11)",IF(S1088&lt;=17,"Afternoon (12-17)","Evening (18-23)")))</f>
        <v>Morning (6-11)</v>
      </c>
    </row>
    <row r="1089" customFormat="false" ht="15" hidden="false" customHeight="false" outlineLevel="0" collapsed="false">
      <c r="A1089" s="2" t="s">
        <v>1965</v>
      </c>
      <c r="B1089" s="2" t="s">
        <v>181</v>
      </c>
      <c r="C1089" s="2" t="s">
        <v>91</v>
      </c>
      <c r="D1089" s="3" t="n">
        <v>45974</v>
      </c>
      <c r="E1089" s="2" t="s">
        <v>1966</v>
      </c>
      <c r="F1089" s="2" t="s">
        <v>38</v>
      </c>
      <c r="G1089" s="2" t="n">
        <v>31658</v>
      </c>
      <c r="H1089" s="2" t="n">
        <v>16</v>
      </c>
      <c r="I1089" s="2" t="n">
        <v>39</v>
      </c>
      <c r="J1089" s="2" t="n">
        <v>0</v>
      </c>
      <c r="K1089" s="2" t="n">
        <v>10912</v>
      </c>
      <c r="L1089" s="2" t="n">
        <v>9235</v>
      </c>
      <c r="M1089" s="2" t="n">
        <v>790</v>
      </c>
      <c r="N1089" s="2" t="n">
        <v>44</v>
      </c>
      <c r="O1089" s="2" t="n">
        <v>126</v>
      </c>
      <c r="P1089" s="2" t="n">
        <v>50</v>
      </c>
      <c r="Q1089" s="2" t="n">
        <v>163</v>
      </c>
      <c r="R1089" s="2" t="n">
        <v>33</v>
      </c>
      <c r="S1089" s="2" t="n">
        <v>15</v>
      </c>
      <c r="T1089" s="2" t="s">
        <v>79</v>
      </c>
      <c r="U1089" s="4" t="n">
        <f aca="false">(M1089+N1089+O1089+P1089)/L1089</f>
        <v>0.109366540335679</v>
      </c>
      <c r="V1089" s="2" t="str">
        <f aca="false">IF(S1089&lt;=5,"Late night (0-5)",IF(S1089&lt;=11,"Morning (6-11)",IF(S1089&lt;=17,"Afternoon (12-17)","Evening (18-23)")))</f>
        <v>Afternoon (12-17)</v>
      </c>
    </row>
    <row r="1090" customFormat="false" ht="15" hidden="false" customHeight="false" outlineLevel="0" collapsed="false">
      <c r="A1090" s="2" t="s">
        <v>1967</v>
      </c>
      <c r="B1090" s="2" t="s">
        <v>68</v>
      </c>
      <c r="C1090" s="2" t="s">
        <v>54</v>
      </c>
      <c r="D1090" s="3" t="n">
        <v>45834</v>
      </c>
      <c r="E1090" s="2" t="s">
        <v>1968</v>
      </c>
      <c r="F1090" s="2" t="s">
        <v>32</v>
      </c>
      <c r="G1090" s="2" t="n">
        <v>35922</v>
      </c>
      <c r="H1090" s="2" t="n">
        <v>14</v>
      </c>
      <c r="I1090" s="2" t="n">
        <v>10</v>
      </c>
      <c r="J1090" s="2" t="n">
        <v>0</v>
      </c>
      <c r="K1090" s="2" t="n">
        <v>66352</v>
      </c>
      <c r="L1090" s="2" t="n">
        <v>52735</v>
      </c>
      <c r="M1090" s="2" t="n">
        <v>4742</v>
      </c>
      <c r="N1090" s="2" t="n">
        <v>177</v>
      </c>
      <c r="O1090" s="2" t="n">
        <v>1092</v>
      </c>
      <c r="P1090" s="2" t="n">
        <v>996</v>
      </c>
      <c r="Q1090" s="2" t="n">
        <v>373</v>
      </c>
      <c r="R1090" s="2" t="n">
        <v>84</v>
      </c>
      <c r="S1090" s="2" t="n">
        <v>3</v>
      </c>
      <c r="T1090" s="2" t="s">
        <v>79</v>
      </c>
      <c r="U1090" s="4" t="n">
        <f aca="false">(M1090+N1090+O1090+P1090)/L1090</f>
        <v>0.132871906703328</v>
      </c>
      <c r="V1090" s="2" t="str">
        <f aca="false">IF(S1090&lt;=5,"Late night (0-5)",IF(S1090&lt;=11,"Morning (6-11)",IF(S1090&lt;=17,"Afternoon (12-17)","Evening (18-23)")))</f>
        <v>Late night (0-5)</v>
      </c>
    </row>
    <row r="1091" customFormat="false" ht="15" hidden="false" customHeight="false" outlineLevel="0" collapsed="false">
      <c r="A1091" s="2" t="s">
        <v>1969</v>
      </c>
      <c r="B1091" s="2" t="s">
        <v>459</v>
      </c>
      <c r="C1091" s="2" t="s">
        <v>84</v>
      </c>
      <c r="D1091" s="3" t="n">
        <v>45836</v>
      </c>
      <c r="E1091" s="2" t="s">
        <v>1269</v>
      </c>
      <c r="F1091" s="2" t="s">
        <v>32</v>
      </c>
      <c r="G1091" s="2" t="n">
        <v>19744</v>
      </c>
      <c r="H1091" s="2" t="n">
        <v>16</v>
      </c>
      <c r="I1091" s="2" t="n">
        <v>160</v>
      </c>
      <c r="J1091" s="2" t="n">
        <v>1</v>
      </c>
      <c r="K1091" s="2" t="n">
        <v>57097</v>
      </c>
      <c r="L1091" s="2" t="n">
        <v>45871</v>
      </c>
      <c r="M1091" s="2" t="n">
        <v>2876</v>
      </c>
      <c r="N1091" s="2" t="n">
        <v>221</v>
      </c>
      <c r="O1091" s="2" t="n">
        <v>749</v>
      </c>
      <c r="P1091" s="2" t="n">
        <v>354</v>
      </c>
      <c r="Q1091" s="2" t="n">
        <v>837</v>
      </c>
      <c r="R1091" s="2" t="n">
        <v>82</v>
      </c>
      <c r="S1091" s="2" t="n">
        <v>22</v>
      </c>
      <c r="T1091" s="2" t="s">
        <v>62</v>
      </c>
      <c r="U1091" s="4" t="n">
        <f aca="false">(M1091+N1091+O1091+P1091)/L1091</f>
        <v>0.091561117045628</v>
      </c>
      <c r="V1091" s="2" t="str">
        <f aca="false">IF(S1091&lt;=5,"Late night (0-5)",IF(S1091&lt;=11,"Morning (6-11)",IF(S1091&lt;=17,"Afternoon (12-17)","Evening (18-23)")))</f>
        <v>Evening (18-23)</v>
      </c>
    </row>
    <row r="1092" customFormat="false" ht="15" hidden="false" customHeight="false" outlineLevel="0" collapsed="false">
      <c r="A1092" s="2" t="s">
        <v>1970</v>
      </c>
      <c r="B1092" s="2" t="s">
        <v>181</v>
      </c>
      <c r="C1092" s="2" t="s">
        <v>91</v>
      </c>
      <c r="D1092" s="3" t="n">
        <v>45676</v>
      </c>
      <c r="E1092" s="2" t="s">
        <v>1971</v>
      </c>
      <c r="F1092" s="2" t="s">
        <v>32</v>
      </c>
      <c r="G1092" s="2" t="n">
        <v>31658</v>
      </c>
      <c r="H1092" s="2" t="n">
        <v>13</v>
      </c>
      <c r="I1092" s="2" t="n">
        <v>138</v>
      </c>
      <c r="J1092" s="2" t="n">
        <v>1</v>
      </c>
      <c r="K1092" s="2" t="n">
        <v>44288</v>
      </c>
      <c r="L1092" s="2" t="n">
        <v>37697</v>
      </c>
      <c r="M1092" s="2" t="n">
        <v>1727</v>
      </c>
      <c r="N1092" s="2" t="n">
        <v>101</v>
      </c>
      <c r="O1092" s="2" t="n">
        <v>304</v>
      </c>
      <c r="P1092" s="2" t="n">
        <v>200</v>
      </c>
      <c r="Q1092" s="2" t="n">
        <v>475</v>
      </c>
      <c r="R1092" s="2" t="n">
        <v>42</v>
      </c>
      <c r="S1092" s="2" t="n">
        <v>14</v>
      </c>
      <c r="T1092" s="2" t="s">
        <v>27</v>
      </c>
      <c r="U1092" s="4" t="n">
        <f aca="false">(M1092+N1092+O1092+P1092)/L1092</f>
        <v>0.0618616866063613</v>
      </c>
      <c r="V1092" s="2" t="str">
        <f aca="false">IF(S1092&lt;=5,"Late night (0-5)",IF(S1092&lt;=11,"Morning (6-11)",IF(S1092&lt;=17,"Afternoon (12-17)","Evening (18-23)")))</f>
        <v>Afternoon (12-17)</v>
      </c>
    </row>
    <row r="1093" customFormat="false" ht="15" hidden="false" customHeight="false" outlineLevel="0" collapsed="false">
      <c r="A1093" s="2" t="s">
        <v>1972</v>
      </c>
      <c r="B1093" s="2" t="s">
        <v>220</v>
      </c>
      <c r="C1093" s="2" t="s">
        <v>48</v>
      </c>
      <c r="D1093" s="3" t="n">
        <v>45719</v>
      </c>
      <c r="E1093" s="2" t="s">
        <v>78</v>
      </c>
      <c r="F1093" s="2" t="s">
        <v>38</v>
      </c>
      <c r="G1093" s="2" t="n">
        <v>18917</v>
      </c>
      <c r="H1093" s="2" t="n">
        <v>7</v>
      </c>
      <c r="I1093" s="2" t="n">
        <v>301</v>
      </c>
      <c r="J1093" s="2" t="n">
        <v>0</v>
      </c>
      <c r="K1093" s="2" t="n">
        <v>14559</v>
      </c>
      <c r="L1093" s="2" t="n">
        <v>10997</v>
      </c>
      <c r="M1093" s="2" t="n">
        <v>819</v>
      </c>
      <c r="N1093" s="2" t="n">
        <v>21</v>
      </c>
      <c r="O1093" s="2" t="n">
        <v>43</v>
      </c>
      <c r="P1093" s="2" t="n">
        <v>126</v>
      </c>
      <c r="Q1093" s="2" t="n">
        <v>70</v>
      </c>
      <c r="R1093" s="2" t="n">
        <v>20</v>
      </c>
      <c r="S1093" s="2" t="n">
        <v>5</v>
      </c>
      <c r="T1093" s="2" t="s">
        <v>33</v>
      </c>
      <c r="U1093" s="4" t="n">
        <f aca="false">(M1093+N1093+O1093+P1093)/L1093</f>
        <v>0.0917522960807493</v>
      </c>
      <c r="V1093" s="2" t="str">
        <f aca="false">IF(S1093&lt;=5,"Late night (0-5)",IF(S1093&lt;=11,"Morning (6-11)",IF(S1093&lt;=17,"Afternoon (12-17)","Evening (18-23)")))</f>
        <v>Late night (0-5)</v>
      </c>
    </row>
    <row r="1094" customFormat="false" ht="15" hidden="false" customHeight="false" outlineLevel="0" collapsed="false">
      <c r="A1094" s="2" t="s">
        <v>1973</v>
      </c>
      <c r="B1094" s="2" t="s">
        <v>409</v>
      </c>
      <c r="C1094" s="2" t="s">
        <v>48</v>
      </c>
      <c r="D1094" s="3" t="n">
        <v>45918</v>
      </c>
      <c r="E1094" s="2" t="s">
        <v>1974</v>
      </c>
      <c r="F1094" s="2" t="s">
        <v>38</v>
      </c>
      <c r="G1094" s="2" t="n">
        <v>31525</v>
      </c>
      <c r="H1094" s="2" t="n">
        <v>14</v>
      </c>
      <c r="I1094" s="2" t="n">
        <v>218</v>
      </c>
      <c r="J1094" s="2" t="n">
        <v>0</v>
      </c>
      <c r="K1094" s="2" t="n">
        <v>74862</v>
      </c>
      <c r="L1094" s="2" t="n">
        <v>49111</v>
      </c>
      <c r="M1094" s="2" t="n">
        <v>3361</v>
      </c>
      <c r="N1094" s="2" t="n">
        <v>106</v>
      </c>
      <c r="O1094" s="2" t="n">
        <v>311</v>
      </c>
      <c r="P1094" s="2" t="n">
        <v>504</v>
      </c>
      <c r="Q1094" s="2" t="n">
        <v>528</v>
      </c>
      <c r="R1094" s="2" t="n">
        <v>57</v>
      </c>
      <c r="S1094" s="2" t="n">
        <v>19</v>
      </c>
      <c r="T1094" s="2" t="s">
        <v>79</v>
      </c>
      <c r="U1094" s="4" t="n">
        <f aca="false">(M1094+N1094+O1094+P1094)/L1094</f>
        <v>0.0871902425118609</v>
      </c>
      <c r="V1094" s="2" t="str">
        <f aca="false">IF(S1094&lt;=5,"Late night (0-5)",IF(S1094&lt;=11,"Morning (6-11)",IF(S1094&lt;=17,"Afternoon (12-17)","Evening (18-23)")))</f>
        <v>Evening (18-23)</v>
      </c>
    </row>
    <row r="1095" customFormat="false" ht="15" hidden="false" customHeight="false" outlineLevel="0" collapsed="false">
      <c r="A1095" s="2" t="s">
        <v>1975</v>
      </c>
      <c r="B1095" s="2" t="s">
        <v>188</v>
      </c>
      <c r="C1095" s="2" t="s">
        <v>30</v>
      </c>
      <c r="D1095" s="3" t="n">
        <v>45714</v>
      </c>
      <c r="E1095" s="2" t="s">
        <v>542</v>
      </c>
      <c r="F1095" s="2" t="s">
        <v>38</v>
      </c>
      <c r="G1095" s="2" t="n">
        <v>38900</v>
      </c>
      <c r="H1095" s="2" t="n">
        <v>8</v>
      </c>
      <c r="I1095" s="2" t="n">
        <v>130</v>
      </c>
      <c r="J1095" s="2" t="n">
        <v>0</v>
      </c>
      <c r="K1095" s="2" t="n">
        <v>16994</v>
      </c>
      <c r="L1095" s="2" t="n">
        <v>10722</v>
      </c>
      <c r="M1095" s="2" t="n">
        <v>914</v>
      </c>
      <c r="N1095" s="2" t="n">
        <v>30</v>
      </c>
      <c r="O1095" s="2" t="n">
        <v>58</v>
      </c>
      <c r="P1095" s="2" t="n">
        <v>208</v>
      </c>
      <c r="Q1095" s="2" t="n">
        <v>188</v>
      </c>
      <c r="R1095" s="2" t="n">
        <v>37</v>
      </c>
      <c r="S1095" s="2" t="n">
        <v>15</v>
      </c>
      <c r="T1095" s="2" t="s">
        <v>66</v>
      </c>
      <c r="U1095" s="4" t="n">
        <f aca="false">(M1095+N1095+O1095+P1095)/L1095</f>
        <v>0.112852079835852</v>
      </c>
      <c r="V1095" s="2" t="str">
        <f aca="false">IF(S1095&lt;=5,"Late night (0-5)",IF(S1095&lt;=11,"Morning (6-11)",IF(S1095&lt;=17,"Afternoon (12-17)","Evening (18-23)")))</f>
        <v>Afternoon (12-17)</v>
      </c>
    </row>
    <row r="1096" customFormat="false" ht="15" hidden="false" customHeight="false" outlineLevel="0" collapsed="false">
      <c r="A1096" s="2" t="s">
        <v>1976</v>
      </c>
      <c r="B1096" s="2" t="s">
        <v>44</v>
      </c>
      <c r="C1096" s="2" t="s">
        <v>36</v>
      </c>
      <c r="D1096" s="3" t="n">
        <v>45711</v>
      </c>
      <c r="E1096" s="2" t="s">
        <v>1819</v>
      </c>
      <c r="F1096" s="2" t="s">
        <v>32</v>
      </c>
      <c r="G1096" s="2" t="n">
        <v>6265</v>
      </c>
      <c r="H1096" s="2" t="n">
        <v>2</v>
      </c>
      <c r="I1096" s="2" t="n">
        <v>168</v>
      </c>
      <c r="J1096" s="2" t="n">
        <v>0</v>
      </c>
      <c r="K1096" s="2" t="n">
        <v>10070</v>
      </c>
      <c r="L1096" s="2" t="n">
        <v>8555</v>
      </c>
      <c r="M1096" s="2" t="n">
        <v>877</v>
      </c>
      <c r="N1096" s="2" t="n">
        <v>44</v>
      </c>
      <c r="O1096" s="2" t="n">
        <v>188</v>
      </c>
      <c r="P1096" s="2" t="n">
        <v>125</v>
      </c>
      <c r="Q1096" s="2" t="n">
        <v>55</v>
      </c>
      <c r="R1096" s="2" t="n">
        <v>15</v>
      </c>
      <c r="S1096" s="2" t="n">
        <v>22</v>
      </c>
      <c r="T1096" s="2" t="s">
        <v>27</v>
      </c>
      <c r="U1096" s="4" t="n">
        <f aca="false">(M1096+N1096+O1096+P1096)/L1096</f>
        <v>0.144243132670953</v>
      </c>
      <c r="V1096" s="2" t="str">
        <f aca="false">IF(S1096&lt;=5,"Late night (0-5)",IF(S1096&lt;=11,"Morning (6-11)",IF(S1096&lt;=17,"Afternoon (12-17)","Evening (18-23)")))</f>
        <v>Evening (18-23)</v>
      </c>
    </row>
    <row r="1097" customFormat="false" ht="15" hidden="false" customHeight="false" outlineLevel="0" collapsed="false">
      <c r="A1097" s="2" t="s">
        <v>1977</v>
      </c>
      <c r="B1097" s="2" t="s">
        <v>74</v>
      </c>
      <c r="C1097" s="2" t="s">
        <v>30</v>
      </c>
      <c r="D1097" s="3" t="n">
        <v>45672</v>
      </c>
      <c r="E1097" s="2" t="s">
        <v>1978</v>
      </c>
      <c r="F1097" s="2" t="s">
        <v>26</v>
      </c>
      <c r="G1097" s="2" t="n">
        <v>20432</v>
      </c>
      <c r="H1097" s="2" t="n">
        <v>3</v>
      </c>
      <c r="I1097" s="2" t="n">
        <v>176</v>
      </c>
      <c r="J1097" s="2" t="n">
        <v>0</v>
      </c>
      <c r="K1097" s="2" t="n">
        <v>10044</v>
      </c>
      <c r="L1097" s="2" t="n">
        <v>8359</v>
      </c>
      <c r="M1097" s="2" t="n">
        <v>619</v>
      </c>
      <c r="N1097" s="2" t="n">
        <v>29</v>
      </c>
      <c r="O1097" s="2" t="n">
        <v>102</v>
      </c>
      <c r="P1097" s="2" t="n">
        <v>73</v>
      </c>
      <c r="Q1097" s="2" t="n">
        <v>50</v>
      </c>
      <c r="R1097" s="2" t="n">
        <v>11</v>
      </c>
      <c r="S1097" s="2" t="n">
        <v>23</v>
      </c>
      <c r="T1097" s="2" t="s">
        <v>66</v>
      </c>
      <c r="U1097" s="4" t="n">
        <f aca="false">(M1097+N1097+O1097+P1097)/L1097</f>
        <v>0.0984567532001436</v>
      </c>
      <c r="V1097" s="2" t="str">
        <f aca="false">IF(S1097&lt;=5,"Late night (0-5)",IF(S1097&lt;=11,"Morning (6-11)",IF(S1097&lt;=17,"Afternoon (12-17)","Evening (18-23)")))</f>
        <v>Evening (18-23)</v>
      </c>
    </row>
    <row r="1098" customFormat="false" ht="15" hidden="false" customHeight="false" outlineLevel="0" collapsed="false">
      <c r="A1098" s="2" t="s">
        <v>1979</v>
      </c>
      <c r="B1098" s="2" t="s">
        <v>111</v>
      </c>
      <c r="C1098" s="2" t="s">
        <v>48</v>
      </c>
      <c r="D1098" s="3" t="n">
        <v>45837</v>
      </c>
      <c r="E1098" s="2" t="s">
        <v>1493</v>
      </c>
      <c r="F1098" s="2" t="s">
        <v>50</v>
      </c>
      <c r="G1098" s="2" t="n">
        <v>16824</v>
      </c>
      <c r="H1098" s="2" t="n">
        <v>2</v>
      </c>
      <c r="I1098" s="2" t="n">
        <v>158</v>
      </c>
      <c r="J1098" s="2" t="n">
        <v>1</v>
      </c>
      <c r="K1098" s="2" t="n">
        <v>10829</v>
      </c>
      <c r="L1098" s="2" t="n">
        <v>6467</v>
      </c>
      <c r="M1098" s="2" t="n">
        <v>419</v>
      </c>
      <c r="N1098" s="2" t="n">
        <v>21</v>
      </c>
      <c r="O1098" s="2" t="n">
        <v>52</v>
      </c>
      <c r="P1098" s="2" t="n">
        <v>47</v>
      </c>
      <c r="Q1098" s="2" t="n">
        <v>129</v>
      </c>
      <c r="R1098" s="2" t="n">
        <v>7</v>
      </c>
      <c r="S1098" s="2" t="n">
        <v>23</v>
      </c>
      <c r="T1098" s="2" t="s">
        <v>27</v>
      </c>
      <c r="U1098" s="4" t="n">
        <f aca="false">(M1098+N1098+O1098+P1098)/L1098</f>
        <v>0.0833462192670481</v>
      </c>
      <c r="V1098" s="2" t="str">
        <f aca="false">IF(S1098&lt;=5,"Late night (0-5)",IF(S1098&lt;=11,"Morning (6-11)",IF(S1098&lt;=17,"Afternoon (12-17)","Evening (18-23)")))</f>
        <v>Evening (18-23)</v>
      </c>
    </row>
    <row r="1099" customFormat="false" ht="15" hidden="false" customHeight="false" outlineLevel="0" collapsed="false">
      <c r="A1099" s="2" t="s">
        <v>1980</v>
      </c>
      <c r="B1099" s="2" t="s">
        <v>71</v>
      </c>
      <c r="C1099" s="2" t="s">
        <v>48</v>
      </c>
      <c r="D1099" s="3" t="n">
        <v>45792</v>
      </c>
      <c r="E1099" s="2" t="s">
        <v>867</v>
      </c>
      <c r="F1099" s="2" t="s">
        <v>38</v>
      </c>
      <c r="G1099" s="2" t="n">
        <v>7316</v>
      </c>
      <c r="H1099" s="2" t="n">
        <v>14</v>
      </c>
      <c r="I1099" s="2" t="n">
        <v>242</v>
      </c>
      <c r="J1099" s="2" t="n">
        <v>1</v>
      </c>
      <c r="K1099" s="2" t="n">
        <v>4398</v>
      </c>
      <c r="L1099" s="2" t="n">
        <v>3497</v>
      </c>
      <c r="M1099" s="2" t="n">
        <v>147</v>
      </c>
      <c r="N1099" s="2" t="n">
        <v>10</v>
      </c>
      <c r="O1099" s="2" t="n">
        <v>6</v>
      </c>
      <c r="P1099" s="2" t="n">
        <v>25</v>
      </c>
      <c r="Q1099" s="2" t="n">
        <v>34</v>
      </c>
      <c r="R1099" s="2" t="n">
        <v>4</v>
      </c>
      <c r="S1099" s="2" t="n">
        <v>16</v>
      </c>
      <c r="T1099" s="2" t="s">
        <v>79</v>
      </c>
      <c r="U1099" s="4" t="n">
        <f aca="false">(M1099+N1099+O1099+P1099)/L1099</f>
        <v>0.053760366028024</v>
      </c>
      <c r="V1099" s="2" t="str">
        <f aca="false">IF(S1099&lt;=5,"Late night (0-5)",IF(S1099&lt;=11,"Morning (6-11)",IF(S1099&lt;=17,"Afternoon (12-17)","Evening (18-23)")))</f>
        <v>Afternoon (12-17)</v>
      </c>
    </row>
    <row r="1100" customFormat="false" ht="15" hidden="false" customHeight="false" outlineLevel="0" collapsed="false">
      <c r="A1100" s="2" t="s">
        <v>1981</v>
      </c>
      <c r="B1100" s="2" t="s">
        <v>35</v>
      </c>
      <c r="C1100" s="2" t="s">
        <v>36</v>
      </c>
      <c r="D1100" s="3" t="n">
        <v>45712</v>
      </c>
      <c r="E1100" s="2" t="s">
        <v>313</v>
      </c>
      <c r="F1100" s="2" t="s">
        <v>32</v>
      </c>
      <c r="G1100" s="2" t="n">
        <v>33933</v>
      </c>
      <c r="H1100" s="2" t="n">
        <v>19</v>
      </c>
      <c r="I1100" s="2" t="n">
        <v>275</v>
      </c>
      <c r="J1100" s="2" t="n">
        <v>0</v>
      </c>
      <c r="K1100" s="2" t="n">
        <v>106318</v>
      </c>
      <c r="L1100" s="2" t="n">
        <v>65254</v>
      </c>
      <c r="M1100" s="2" t="n">
        <v>6801</v>
      </c>
      <c r="N1100" s="2" t="n">
        <v>233</v>
      </c>
      <c r="O1100" s="2" t="n">
        <v>1289</v>
      </c>
      <c r="P1100" s="2" t="n">
        <v>409</v>
      </c>
      <c r="Q1100" s="2" t="n">
        <v>490</v>
      </c>
      <c r="R1100" s="2" t="n">
        <v>69</v>
      </c>
      <c r="S1100" s="2" t="n">
        <v>12</v>
      </c>
      <c r="T1100" s="2" t="s">
        <v>33</v>
      </c>
      <c r="U1100" s="4" t="n">
        <f aca="false">(M1100+N1100+O1100+P1100)/L1100</f>
        <v>0.133815551537071</v>
      </c>
      <c r="V1100" s="2" t="str">
        <f aca="false">IF(S1100&lt;=5,"Late night (0-5)",IF(S1100&lt;=11,"Morning (6-11)",IF(S1100&lt;=17,"Afternoon (12-17)","Evening (18-23)")))</f>
        <v>Afternoon (12-17)</v>
      </c>
    </row>
    <row r="1101" customFormat="false" ht="15" hidden="false" customHeight="false" outlineLevel="0" collapsed="false">
      <c r="A1101" s="2" t="s">
        <v>1982</v>
      </c>
      <c r="B1101" s="2" t="s">
        <v>206</v>
      </c>
      <c r="C1101" s="2" t="s">
        <v>48</v>
      </c>
      <c r="D1101" s="3" t="n">
        <v>45666</v>
      </c>
      <c r="E1101" s="2" t="s">
        <v>412</v>
      </c>
      <c r="F1101" s="2" t="s">
        <v>26</v>
      </c>
      <c r="G1101" s="2" t="n">
        <v>42937</v>
      </c>
      <c r="H1101" s="2" t="n">
        <v>3</v>
      </c>
      <c r="I1101" s="2" t="n">
        <v>222</v>
      </c>
      <c r="J1101" s="2" t="n">
        <v>1</v>
      </c>
      <c r="K1101" s="2" t="n">
        <v>44058</v>
      </c>
      <c r="L1101" s="2" t="n">
        <v>29204</v>
      </c>
      <c r="M1101" s="2" t="n">
        <v>1720</v>
      </c>
      <c r="N1101" s="2" t="n">
        <v>40</v>
      </c>
      <c r="O1101" s="2" t="n">
        <v>197</v>
      </c>
      <c r="P1101" s="2" t="n">
        <v>459</v>
      </c>
      <c r="Q1101" s="2" t="n">
        <v>339</v>
      </c>
      <c r="R1101" s="2" t="n">
        <v>74</v>
      </c>
      <c r="S1101" s="2" t="n">
        <v>0</v>
      </c>
      <c r="T1101" s="2" t="s">
        <v>79</v>
      </c>
      <c r="U1101" s="4" t="n">
        <f aca="false">(M1101+N1101+O1101+P1101)/L1101</f>
        <v>0.0827283933707711</v>
      </c>
      <c r="V1101" s="2" t="str">
        <f aca="false">IF(S1101&lt;=5,"Late night (0-5)",IF(S1101&lt;=11,"Morning (6-11)",IF(S1101&lt;=17,"Afternoon (12-17)","Evening (18-23)")))</f>
        <v>Late night (0-5)</v>
      </c>
    </row>
    <row r="1102" customFormat="false" ht="15" hidden="false" customHeight="false" outlineLevel="0" collapsed="false">
      <c r="A1102" s="2" t="s">
        <v>1983</v>
      </c>
      <c r="B1102" s="2" t="s">
        <v>206</v>
      </c>
      <c r="C1102" s="2" t="s">
        <v>48</v>
      </c>
      <c r="D1102" s="3" t="n">
        <v>46008</v>
      </c>
      <c r="E1102" s="2" t="s">
        <v>1547</v>
      </c>
      <c r="F1102" s="2" t="s">
        <v>32</v>
      </c>
      <c r="G1102" s="2" t="n">
        <v>42937</v>
      </c>
      <c r="H1102" s="2" t="n">
        <v>6</v>
      </c>
      <c r="I1102" s="2" t="n">
        <v>203</v>
      </c>
      <c r="J1102" s="2" t="n">
        <v>0</v>
      </c>
      <c r="K1102" s="2" t="n">
        <v>98012</v>
      </c>
      <c r="L1102" s="2" t="n">
        <v>60149</v>
      </c>
      <c r="M1102" s="2" t="n">
        <v>4484</v>
      </c>
      <c r="N1102" s="2" t="n">
        <v>173</v>
      </c>
      <c r="O1102" s="2" t="n">
        <v>208</v>
      </c>
      <c r="P1102" s="2" t="n">
        <v>949</v>
      </c>
      <c r="Q1102" s="2" t="n">
        <v>736</v>
      </c>
      <c r="R1102" s="2" t="n">
        <v>82</v>
      </c>
      <c r="S1102" s="2" t="n">
        <v>2</v>
      </c>
      <c r="T1102" s="2" t="s">
        <v>66</v>
      </c>
      <c r="U1102" s="4" t="n">
        <f aca="false">(M1102+N1102+O1102+P1102)/L1102</f>
        <v>0.0966599610966101</v>
      </c>
      <c r="V1102" s="2" t="str">
        <f aca="false">IF(S1102&lt;=5,"Late night (0-5)",IF(S1102&lt;=11,"Morning (6-11)",IF(S1102&lt;=17,"Afternoon (12-17)","Evening (18-23)")))</f>
        <v>Late night (0-5)</v>
      </c>
    </row>
    <row r="1103" customFormat="false" ht="15" hidden="false" customHeight="false" outlineLevel="0" collapsed="false">
      <c r="A1103" s="2" t="s">
        <v>1984</v>
      </c>
      <c r="B1103" s="2" t="s">
        <v>431</v>
      </c>
      <c r="C1103" s="2" t="s">
        <v>36</v>
      </c>
      <c r="D1103" s="3" t="n">
        <v>45879</v>
      </c>
      <c r="E1103" s="2" t="s">
        <v>1460</v>
      </c>
      <c r="F1103" s="2" t="s">
        <v>32</v>
      </c>
      <c r="G1103" s="2" t="n">
        <v>64821</v>
      </c>
      <c r="H1103" s="2" t="n">
        <v>17</v>
      </c>
      <c r="I1103" s="2" t="n">
        <v>178</v>
      </c>
      <c r="J1103" s="2" t="n">
        <v>1</v>
      </c>
      <c r="K1103" s="2" t="n">
        <v>92837</v>
      </c>
      <c r="L1103" s="2" t="n">
        <v>72648</v>
      </c>
      <c r="M1103" s="2" t="n">
        <v>2820</v>
      </c>
      <c r="N1103" s="2" t="n">
        <v>155</v>
      </c>
      <c r="O1103" s="2" t="n">
        <v>415</v>
      </c>
      <c r="P1103" s="2" t="n">
        <v>416</v>
      </c>
      <c r="Q1103" s="2" t="n">
        <v>2173</v>
      </c>
      <c r="R1103" s="2" t="n">
        <v>169</v>
      </c>
      <c r="S1103" s="2" t="n">
        <v>23</v>
      </c>
      <c r="T1103" s="2" t="s">
        <v>27</v>
      </c>
      <c r="U1103" s="4" t="n">
        <f aca="false">(M1103+N1103+O1103+P1103)/L1103</f>
        <v>0.0523896046690893</v>
      </c>
      <c r="V1103" s="2" t="str">
        <f aca="false">IF(S1103&lt;=5,"Late night (0-5)",IF(S1103&lt;=11,"Morning (6-11)",IF(S1103&lt;=17,"Afternoon (12-17)","Evening (18-23)")))</f>
        <v>Evening (18-23)</v>
      </c>
    </row>
    <row r="1104" customFormat="false" ht="15" hidden="false" customHeight="false" outlineLevel="0" collapsed="false">
      <c r="A1104" s="2" t="s">
        <v>1985</v>
      </c>
      <c r="B1104" s="2" t="s">
        <v>83</v>
      </c>
      <c r="C1104" s="2" t="s">
        <v>84</v>
      </c>
      <c r="D1104" s="3" t="n">
        <v>45887</v>
      </c>
      <c r="E1104" s="2" t="s">
        <v>470</v>
      </c>
      <c r="F1104" s="2" t="s">
        <v>32</v>
      </c>
      <c r="G1104" s="2" t="n">
        <v>17918</v>
      </c>
      <c r="H1104" s="2" t="n">
        <v>10</v>
      </c>
      <c r="I1104" s="2" t="n">
        <v>338</v>
      </c>
      <c r="J1104" s="2" t="n">
        <v>1</v>
      </c>
      <c r="K1104" s="2" t="n">
        <v>8065</v>
      </c>
      <c r="L1104" s="2" t="n">
        <v>6667</v>
      </c>
      <c r="M1104" s="2" t="n">
        <v>646</v>
      </c>
      <c r="N1104" s="2" t="n">
        <v>49</v>
      </c>
      <c r="O1104" s="2" t="n">
        <v>54</v>
      </c>
      <c r="P1104" s="2" t="n">
        <v>144</v>
      </c>
      <c r="Q1104" s="2" t="n">
        <v>117</v>
      </c>
      <c r="R1104" s="2" t="n">
        <v>21</v>
      </c>
      <c r="S1104" s="2" t="n">
        <v>3</v>
      </c>
      <c r="T1104" s="2" t="s">
        <v>33</v>
      </c>
      <c r="U1104" s="4" t="n">
        <f aca="false">(M1104+N1104+O1104+P1104)/L1104</f>
        <v>0.133943302834858</v>
      </c>
      <c r="V1104" s="2" t="str">
        <f aca="false">IF(S1104&lt;=5,"Late night (0-5)",IF(S1104&lt;=11,"Morning (6-11)",IF(S1104&lt;=17,"Afternoon (12-17)","Evening (18-23)")))</f>
        <v>Late night (0-5)</v>
      </c>
    </row>
    <row r="1105" customFormat="false" ht="15" hidden="false" customHeight="false" outlineLevel="0" collapsed="false">
      <c r="A1105" s="2" t="s">
        <v>1986</v>
      </c>
      <c r="B1105" s="2" t="s">
        <v>151</v>
      </c>
      <c r="C1105" s="2" t="s">
        <v>36</v>
      </c>
      <c r="D1105" s="3" t="n">
        <v>45774</v>
      </c>
      <c r="E1105" s="2" t="s">
        <v>1987</v>
      </c>
      <c r="F1105" s="2" t="s">
        <v>38</v>
      </c>
      <c r="G1105" s="2" t="n">
        <v>19247</v>
      </c>
      <c r="H1105" s="2" t="n">
        <v>20</v>
      </c>
      <c r="I1105" s="2" t="n">
        <v>255</v>
      </c>
      <c r="J1105" s="2" t="n">
        <v>0</v>
      </c>
      <c r="K1105" s="2" t="n">
        <v>6823</v>
      </c>
      <c r="L1105" s="2" t="n">
        <v>4349</v>
      </c>
      <c r="M1105" s="2" t="n">
        <v>146</v>
      </c>
      <c r="N1105" s="2" t="n">
        <v>5</v>
      </c>
      <c r="O1105" s="2" t="n">
        <v>19</v>
      </c>
      <c r="P1105" s="2" t="n">
        <v>15</v>
      </c>
      <c r="Q1105" s="2" t="n">
        <v>25</v>
      </c>
      <c r="R1105" s="2" t="n">
        <v>5</v>
      </c>
      <c r="S1105" s="2" t="n">
        <v>9</v>
      </c>
      <c r="T1105" s="2" t="s">
        <v>27</v>
      </c>
      <c r="U1105" s="4" t="n">
        <f aca="false">(M1105+N1105+O1105+P1105)/L1105</f>
        <v>0.0425385146010577</v>
      </c>
      <c r="V1105" s="2" t="str">
        <f aca="false">IF(S1105&lt;=5,"Late night (0-5)",IF(S1105&lt;=11,"Morning (6-11)",IF(S1105&lt;=17,"Afternoon (12-17)","Evening (18-23)")))</f>
        <v>Morning (6-11)</v>
      </c>
    </row>
    <row r="1106" customFormat="false" ht="15" hidden="false" customHeight="false" outlineLevel="0" collapsed="false">
      <c r="A1106" s="2" t="s">
        <v>1988</v>
      </c>
      <c r="B1106" s="2" t="s">
        <v>111</v>
      </c>
      <c r="C1106" s="2" t="s">
        <v>48</v>
      </c>
      <c r="D1106" s="3" t="n">
        <v>45887</v>
      </c>
      <c r="E1106" s="2" t="s">
        <v>1989</v>
      </c>
      <c r="F1106" s="2" t="s">
        <v>32</v>
      </c>
      <c r="G1106" s="2" t="n">
        <v>16824</v>
      </c>
      <c r="H1106" s="2" t="n">
        <v>9</v>
      </c>
      <c r="I1106" s="2" t="n">
        <v>61</v>
      </c>
      <c r="J1106" s="2" t="n">
        <v>0</v>
      </c>
      <c r="K1106" s="2" t="n">
        <v>15133</v>
      </c>
      <c r="L1106" s="2" t="n">
        <v>8665</v>
      </c>
      <c r="M1106" s="2" t="n">
        <v>733</v>
      </c>
      <c r="N1106" s="2" t="n">
        <v>53</v>
      </c>
      <c r="O1106" s="2" t="n">
        <v>127</v>
      </c>
      <c r="P1106" s="2" t="n">
        <v>59</v>
      </c>
      <c r="Q1106" s="2" t="n">
        <v>197</v>
      </c>
      <c r="R1106" s="2" t="n">
        <v>39</v>
      </c>
      <c r="S1106" s="2" t="n">
        <v>11</v>
      </c>
      <c r="T1106" s="2" t="s">
        <v>33</v>
      </c>
      <c r="U1106" s="4" t="n">
        <f aca="false">(M1106+N1106+O1106+P1106)/L1106</f>
        <v>0.112175418349683</v>
      </c>
      <c r="V1106" s="2" t="str">
        <f aca="false">IF(S1106&lt;=5,"Late night (0-5)",IF(S1106&lt;=11,"Morning (6-11)",IF(S1106&lt;=17,"Afternoon (12-17)","Evening (18-23)")))</f>
        <v>Morning (6-11)</v>
      </c>
    </row>
    <row r="1107" customFormat="false" ht="15" hidden="false" customHeight="false" outlineLevel="0" collapsed="false">
      <c r="A1107" s="2" t="s">
        <v>1990</v>
      </c>
      <c r="B1107" s="2" t="s">
        <v>371</v>
      </c>
      <c r="C1107" s="2" t="s">
        <v>48</v>
      </c>
      <c r="D1107" s="3" t="n">
        <v>45759</v>
      </c>
      <c r="E1107" s="2" t="s">
        <v>1991</v>
      </c>
      <c r="F1107" s="2" t="s">
        <v>38</v>
      </c>
      <c r="G1107" s="2" t="n">
        <v>42479</v>
      </c>
      <c r="H1107" s="2" t="n">
        <v>14</v>
      </c>
      <c r="I1107" s="2" t="n">
        <v>182</v>
      </c>
      <c r="J1107" s="2" t="n">
        <v>1</v>
      </c>
      <c r="K1107" s="2" t="n">
        <v>124792</v>
      </c>
      <c r="L1107" s="2" t="n">
        <v>70671</v>
      </c>
      <c r="M1107" s="2" t="n">
        <v>3796</v>
      </c>
      <c r="N1107" s="2" t="n">
        <v>213</v>
      </c>
      <c r="O1107" s="2" t="n">
        <v>451</v>
      </c>
      <c r="P1107" s="2" t="n">
        <v>1021</v>
      </c>
      <c r="Q1107" s="2" t="n">
        <v>1005</v>
      </c>
      <c r="R1107" s="2" t="n">
        <v>159</v>
      </c>
      <c r="S1107" s="2" t="n">
        <v>11</v>
      </c>
      <c r="T1107" s="2" t="s">
        <v>62</v>
      </c>
      <c r="U1107" s="4" t="n">
        <f aca="false">(M1107+N1107+O1107+P1107)/L1107</f>
        <v>0.0775565649276224</v>
      </c>
      <c r="V1107" s="2" t="str">
        <f aca="false">IF(S1107&lt;=5,"Late night (0-5)",IF(S1107&lt;=11,"Morning (6-11)",IF(S1107&lt;=17,"Afternoon (12-17)","Evening (18-23)")))</f>
        <v>Morning (6-11)</v>
      </c>
    </row>
    <row r="1108" customFormat="false" ht="15" hidden="false" customHeight="false" outlineLevel="0" collapsed="false">
      <c r="A1108" s="2" t="s">
        <v>1992</v>
      </c>
      <c r="B1108" s="2" t="s">
        <v>35</v>
      </c>
      <c r="C1108" s="2" t="s">
        <v>36</v>
      </c>
      <c r="D1108" s="3" t="n">
        <v>45672</v>
      </c>
      <c r="E1108" s="2" t="s">
        <v>992</v>
      </c>
      <c r="F1108" s="2" t="s">
        <v>32</v>
      </c>
      <c r="G1108" s="2" t="n">
        <v>33933</v>
      </c>
      <c r="H1108" s="2" t="n">
        <v>12</v>
      </c>
      <c r="I1108" s="2" t="n">
        <v>180</v>
      </c>
      <c r="J1108" s="2" t="n">
        <v>0</v>
      </c>
      <c r="K1108" s="2" t="n">
        <v>21011</v>
      </c>
      <c r="L1108" s="2" t="n">
        <v>18848</v>
      </c>
      <c r="M1108" s="2" t="n">
        <v>864</v>
      </c>
      <c r="N1108" s="2" t="n">
        <v>54</v>
      </c>
      <c r="O1108" s="2" t="n">
        <v>111</v>
      </c>
      <c r="P1108" s="2" t="n">
        <v>56</v>
      </c>
      <c r="Q1108" s="2" t="n">
        <v>236</v>
      </c>
      <c r="R1108" s="2" t="n">
        <v>16</v>
      </c>
      <c r="S1108" s="2" t="n">
        <v>16</v>
      </c>
      <c r="T1108" s="2" t="s">
        <v>66</v>
      </c>
      <c r="U1108" s="4" t="n">
        <f aca="false">(M1108+N1108+O1108+P1108)/L1108</f>
        <v>0.0575657894736842</v>
      </c>
      <c r="V1108" s="2" t="str">
        <f aca="false">IF(S1108&lt;=5,"Late night (0-5)",IF(S1108&lt;=11,"Morning (6-11)",IF(S1108&lt;=17,"Afternoon (12-17)","Evening (18-23)")))</f>
        <v>Afternoon (12-17)</v>
      </c>
    </row>
    <row r="1109" customFormat="false" ht="15" hidden="false" customHeight="false" outlineLevel="0" collapsed="false">
      <c r="A1109" s="2" t="s">
        <v>1993</v>
      </c>
      <c r="B1109" s="2" t="s">
        <v>431</v>
      </c>
      <c r="C1109" s="2" t="s">
        <v>36</v>
      </c>
      <c r="D1109" s="3" t="n">
        <v>45922</v>
      </c>
      <c r="E1109" s="2" t="s">
        <v>1994</v>
      </c>
      <c r="F1109" s="2" t="s">
        <v>50</v>
      </c>
      <c r="G1109" s="2" t="n">
        <v>64821</v>
      </c>
      <c r="H1109" s="2" t="n">
        <v>20</v>
      </c>
      <c r="I1109" s="2" t="n">
        <v>198</v>
      </c>
      <c r="J1109" s="2" t="n">
        <v>1</v>
      </c>
      <c r="K1109" s="2" t="n">
        <v>44829</v>
      </c>
      <c r="L1109" s="2" t="n">
        <v>28405</v>
      </c>
      <c r="M1109" s="2" t="n">
        <v>1034</v>
      </c>
      <c r="N1109" s="2" t="n">
        <v>27</v>
      </c>
      <c r="O1109" s="2" t="n">
        <v>101</v>
      </c>
      <c r="P1109" s="2" t="n">
        <v>53</v>
      </c>
      <c r="Q1109" s="2" t="n">
        <v>654</v>
      </c>
      <c r="R1109" s="2" t="n">
        <v>121</v>
      </c>
      <c r="S1109" s="2" t="n">
        <v>16</v>
      </c>
      <c r="T1109" s="2" t="s">
        <v>33</v>
      </c>
      <c r="U1109" s="4" t="n">
        <f aca="false">(M1109+N1109+O1109+P1109)/L1109</f>
        <v>0.042774159478965</v>
      </c>
      <c r="V1109" s="2" t="str">
        <f aca="false">IF(S1109&lt;=5,"Late night (0-5)",IF(S1109&lt;=11,"Morning (6-11)",IF(S1109&lt;=17,"Afternoon (12-17)","Evening (18-23)")))</f>
        <v>Afternoon (12-17)</v>
      </c>
    </row>
    <row r="1110" customFormat="false" ht="15" hidden="false" customHeight="false" outlineLevel="0" collapsed="false">
      <c r="A1110" s="2" t="s">
        <v>1995</v>
      </c>
      <c r="B1110" s="2" t="s">
        <v>319</v>
      </c>
      <c r="C1110" s="2" t="s">
        <v>84</v>
      </c>
      <c r="D1110" s="3" t="n">
        <v>45864</v>
      </c>
      <c r="E1110" s="2" t="s">
        <v>1996</v>
      </c>
      <c r="F1110" s="2" t="s">
        <v>26</v>
      </c>
      <c r="G1110" s="2" t="n">
        <v>49810</v>
      </c>
      <c r="H1110" s="2" t="n">
        <v>9</v>
      </c>
      <c r="I1110" s="2" t="n">
        <v>255</v>
      </c>
      <c r="J1110" s="2" t="n">
        <v>0</v>
      </c>
      <c r="K1110" s="2" t="n">
        <v>60246</v>
      </c>
      <c r="L1110" s="2" t="n">
        <v>36658</v>
      </c>
      <c r="M1110" s="2" t="n">
        <v>1412</v>
      </c>
      <c r="N1110" s="2" t="n">
        <v>74</v>
      </c>
      <c r="O1110" s="2" t="n">
        <v>143</v>
      </c>
      <c r="P1110" s="2" t="n">
        <v>588</v>
      </c>
      <c r="Q1110" s="2" t="n">
        <v>782</v>
      </c>
      <c r="R1110" s="2" t="n">
        <v>221</v>
      </c>
      <c r="S1110" s="2" t="n">
        <v>4</v>
      </c>
      <c r="T1110" s="2" t="s">
        <v>62</v>
      </c>
      <c r="U1110" s="4" t="n">
        <f aca="false">(M1110+N1110+O1110+P1110)/L1110</f>
        <v>0.0604779311473621</v>
      </c>
      <c r="V1110" s="2" t="str">
        <f aca="false">IF(S1110&lt;=5,"Late night (0-5)",IF(S1110&lt;=11,"Morning (6-11)",IF(S1110&lt;=17,"Afternoon (12-17)","Evening (18-23)")))</f>
        <v>Late night (0-5)</v>
      </c>
    </row>
    <row r="1111" customFormat="false" ht="15" hidden="false" customHeight="false" outlineLevel="0" collapsed="false">
      <c r="A1111" s="2" t="s">
        <v>1997</v>
      </c>
      <c r="B1111" s="2" t="s">
        <v>135</v>
      </c>
      <c r="C1111" s="2" t="s">
        <v>36</v>
      </c>
      <c r="D1111" s="3" t="n">
        <v>45673</v>
      </c>
      <c r="E1111" s="2" t="s">
        <v>1998</v>
      </c>
      <c r="F1111" s="2" t="s">
        <v>26</v>
      </c>
      <c r="G1111" s="2" t="n">
        <v>45812</v>
      </c>
      <c r="H1111" s="2" t="n">
        <v>8</v>
      </c>
      <c r="I1111" s="2" t="n">
        <v>309</v>
      </c>
      <c r="J1111" s="2" t="n">
        <v>1</v>
      </c>
      <c r="K1111" s="2" t="n">
        <v>19565</v>
      </c>
      <c r="L1111" s="2" t="n">
        <v>16460</v>
      </c>
      <c r="M1111" s="2" t="n">
        <v>655</v>
      </c>
      <c r="N1111" s="2" t="n">
        <v>24</v>
      </c>
      <c r="O1111" s="2" t="n">
        <v>20</v>
      </c>
      <c r="P1111" s="2" t="n">
        <v>263</v>
      </c>
      <c r="Q1111" s="2" t="n">
        <v>133</v>
      </c>
      <c r="R1111" s="2" t="n">
        <v>19</v>
      </c>
      <c r="S1111" s="2" t="n">
        <v>10</v>
      </c>
      <c r="T1111" s="2" t="s">
        <v>79</v>
      </c>
      <c r="U1111" s="4" t="n">
        <f aca="false">(M1111+N1111+O1111+P1111)/L1111</f>
        <v>0.0584447144592953</v>
      </c>
      <c r="V1111" s="2" t="str">
        <f aca="false">IF(S1111&lt;=5,"Late night (0-5)",IF(S1111&lt;=11,"Morning (6-11)",IF(S1111&lt;=17,"Afternoon (12-17)","Evening (18-23)")))</f>
        <v>Morning (6-11)</v>
      </c>
    </row>
    <row r="1112" customFormat="false" ht="15" hidden="false" customHeight="false" outlineLevel="0" collapsed="false">
      <c r="A1112" s="2" t="s">
        <v>1999</v>
      </c>
      <c r="B1112" s="2" t="s">
        <v>57</v>
      </c>
      <c r="C1112" s="2" t="s">
        <v>24</v>
      </c>
      <c r="D1112" s="3" t="n">
        <v>45929</v>
      </c>
      <c r="E1112" s="2" t="s">
        <v>1269</v>
      </c>
      <c r="F1112" s="2" t="s">
        <v>26</v>
      </c>
      <c r="G1112" s="2" t="n">
        <v>31021</v>
      </c>
      <c r="H1112" s="2" t="n">
        <v>19</v>
      </c>
      <c r="I1112" s="2" t="n">
        <v>304</v>
      </c>
      <c r="J1112" s="2" t="n">
        <v>1</v>
      </c>
      <c r="K1112" s="2" t="n">
        <v>43184</v>
      </c>
      <c r="L1112" s="2" t="n">
        <v>34839</v>
      </c>
      <c r="M1112" s="2" t="n">
        <v>1665</v>
      </c>
      <c r="N1112" s="2" t="n">
        <v>85</v>
      </c>
      <c r="O1112" s="2" t="n">
        <v>68</v>
      </c>
      <c r="P1112" s="2" t="n">
        <v>614</v>
      </c>
      <c r="Q1112" s="2" t="n">
        <v>938</v>
      </c>
      <c r="R1112" s="2" t="n">
        <v>121</v>
      </c>
      <c r="S1112" s="2" t="n">
        <v>22</v>
      </c>
      <c r="T1112" s="2" t="s">
        <v>33</v>
      </c>
      <c r="U1112" s="4" t="n">
        <f aca="false">(M1112+N1112+O1112+P1112)/L1112</f>
        <v>0.06980682568386</v>
      </c>
      <c r="V1112" s="2" t="str">
        <f aca="false">IF(S1112&lt;=5,"Late night (0-5)",IF(S1112&lt;=11,"Morning (6-11)",IF(S1112&lt;=17,"Afternoon (12-17)","Evening (18-23)")))</f>
        <v>Evening (18-23)</v>
      </c>
    </row>
    <row r="1113" customFormat="false" ht="15" hidden="false" customHeight="false" outlineLevel="0" collapsed="false">
      <c r="A1113" s="2" t="s">
        <v>2000</v>
      </c>
      <c r="B1113" s="2" t="s">
        <v>193</v>
      </c>
      <c r="C1113" s="2" t="s">
        <v>36</v>
      </c>
      <c r="D1113" s="3" t="n">
        <v>45714</v>
      </c>
      <c r="E1113" s="2" t="s">
        <v>783</v>
      </c>
      <c r="F1113" s="2" t="s">
        <v>38</v>
      </c>
      <c r="G1113" s="2" t="n">
        <v>26454</v>
      </c>
      <c r="H1113" s="2" t="n">
        <v>13</v>
      </c>
      <c r="I1113" s="2" t="n">
        <v>187</v>
      </c>
      <c r="J1113" s="2" t="n">
        <v>0</v>
      </c>
      <c r="K1113" s="2" t="n">
        <v>6870</v>
      </c>
      <c r="L1113" s="2" t="n">
        <v>5028</v>
      </c>
      <c r="M1113" s="2" t="n">
        <v>213</v>
      </c>
      <c r="N1113" s="2" t="n">
        <v>12</v>
      </c>
      <c r="O1113" s="2" t="n">
        <v>10</v>
      </c>
      <c r="P1113" s="2" t="n">
        <v>34</v>
      </c>
      <c r="Q1113" s="2" t="n">
        <v>100</v>
      </c>
      <c r="R1113" s="2" t="n">
        <v>25</v>
      </c>
      <c r="S1113" s="2" t="n">
        <v>1</v>
      </c>
      <c r="T1113" s="2" t="s">
        <v>66</v>
      </c>
      <c r="U1113" s="4" t="n">
        <f aca="false">(M1113+N1113+O1113+P1113)/L1113</f>
        <v>0.0535003977724741</v>
      </c>
      <c r="V1113" s="2" t="str">
        <f aca="false">IF(S1113&lt;=5,"Late night (0-5)",IF(S1113&lt;=11,"Morning (6-11)",IF(S1113&lt;=17,"Afternoon (12-17)","Evening (18-23)")))</f>
        <v>Late night (0-5)</v>
      </c>
    </row>
    <row r="1114" customFormat="false" ht="15" hidden="false" customHeight="false" outlineLevel="0" collapsed="false">
      <c r="A1114" s="2" t="s">
        <v>2001</v>
      </c>
      <c r="B1114" s="2" t="s">
        <v>123</v>
      </c>
      <c r="C1114" s="2" t="s">
        <v>24</v>
      </c>
      <c r="D1114" s="3" t="n">
        <v>45685</v>
      </c>
      <c r="E1114" s="2" t="s">
        <v>616</v>
      </c>
      <c r="F1114" s="2" t="s">
        <v>32</v>
      </c>
      <c r="G1114" s="2" t="n">
        <v>41391</v>
      </c>
      <c r="H1114" s="2" t="n">
        <v>8</v>
      </c>
      <c r="I1114" s="2" t="n">
        <v>54</v>
      </c>
      <c r="J1114" s="2" t="n">
        <v>1</v>
      </c>
      <c r="K1114" s="2" t="n">
        <v>97758</v>
      </c>
      <c r="L1114" s="2" t="n">
        <v>61393</v>
      </c>
      <c r="M1114" s="2" t="n">
        <v>4440</v>
      </c>
      <c r="N1114" s="2" t="n">
        <v>126</v>
      </c>
      <c r="O1114" s="2" t="n">
        <v>301</v>
      </c>
      <c r="P1114" s="2" t="n">
        <v>709</v>
      </c>
      <c r="Q1114" s="2" t="n">
        <v>1723</v>
      </c>
      <c r="R1114" s="2" t="n">
        <v>326</v>
      </c>
      <c r="S1114" s="2" t="n">
        <v>23</v>
      </c>
      <c r="T1114" s="2" t="s">
        <v>51</v>
      </c>
      <c r="U1114" s="4" t="n">
        <f aca="false">(M1114+N1114+O1114+P1114)/L1114</f>
        <v>0.0908246868535501</v>
      </c>
      <c r="V1114" s="2" t="str">
        <f aca="false">IF(S1114&lt;=5,"Late night (0-5)",IF(S1114&lt;=11,"Morning (6-11)",IF(S1114&lt;=17,"Afternoon (12-17)","Evening (18-23)")))</f>
        <v>Evening (18-23)</v>
      </c>
    </row>
    <row r="1115" customFormat="false" ht="15" hidden="false" customHeight="false" outlineLevel="0" collapsed="false">
      <c r="A1115" s="2" t="s">
        <v>2002</v>
      </c>
      <c r="B1115" s="2" t="s">
        <v>426</v>
      </c>
      <c r="C1115" s="2" t="s">
        <v>30</v>
      </c>
      <c r="D1115" s="3" t="n">
        <v>45659</v>
      </c>
      <c r="E1115" s="2" t="s">
        <v>2003</v>
      </c>
      <c r="F1115" s="2" t="s">
        <v>26</v>
      </c>
      <c r="G1115" s="2" t="n">
        <v>40649</v>
      </c>
      <c r="H1115" s="2" t="n">
        <v>0</v>
      </c>
      <c r="I1115" s="2" t="n">
        <v>147</v>
      </c>
      <c r="J1115" s="2" t="n">
        <v>1</v>
      </c>
      <c r="K1115" s="2" t="n">
        <v>7740</v>
      </c>
      <c r="L1115" s="2" t="n">
        <v>6909</v>
      </c>
      <c r="M1115" s="2" t="n">
        <v>534</v>
      </c>
      <c r="N1115" s="2" t="n">
        <v>34</v>
      </c>
      <c r="O1115" s="2" t="n">
        <v>20</v>
      </c>
      <c r="P1115" s="2" t="n">
        <v>130</v>
      </c>
      <c r="Q1115" s="2" t="n">
        <v>200</v>
      </c>
      <c r="R1115" s="2" t="n">
        <v>24</v>
      </c>
      <c r="S1115" s="2" t="n">
        <v>2</v>
      </c>
      <c r="T1115" s="2" t="s">
        <v>79</v>
      </c>
      <c r="U1115" s="4" t="n">
        <f aca="false">(M1115+N1115+O1115+P1115)/L1115</f>
        <v>0.103922420031843</v>
      </c>
      <c r="V1115" s="2" t="str">
        <f aca="false">IF(S1115&lt;=5,"Late night (0-5)",IF(S1115&lt;=11,"Morning (6-11)",IF(S1115&lt;=17,"Afternoon (12-17)","Evening (18-23)")))</f>
        <v>Late night (0-5)</v>
      </c>
    </row>
    <row r="1116" customFormat="false" ht="15" hidden="false" customHeight="false" outlineLevel="0" collapsed="false">
      <c r="A1116" s="2" t="s">
        <v>2004</v>
      </c>
      <c r="B1116" s="2" t="s">
        <v>462</v>
      </c>
      <c r="C1116" s="2" t="s">
        <v>84</v>
      </c>
      <c r="D1116" s="3" t="n">
        <v>45768</v>
      </c>
      <c r="E1116" s="2" t="s">
        <v>2005</v>
      </c>
      <c r="F1116" s="2" t="s">
        <v>32</v>
      </c>
      <c r="G1116" s="2" t="n">
        <v>43510</v>
      </c>
      <c r="H1116" s="2" t="n">
        <v>9</v>
      </c>
      <c r="I1116" s="2" t="n">
        <v>69</v>
      </c>
      <c r="J1116" s="2" t="n">
        <v>1</v>
      </c>
      <c r="K1116" s="2" t="n">
        <v>183959</v>
      </c>
      <c r="L1116" s="2" t="n">
        <v>135056</v>
      </c>
      <c r="M1116" s="2" t="n">
        <v>7854</v>
      </c>
      <c r="N1116" s="2" t="n">
        <v>297</v>
      </c>
      <c r="O1116" s="2" t="n">
        <v>1942</v>
      </c>
      <c r="P1116" s="2" t="n">
        <v>1660</v>
      </c>
      <c r="Q1116" s="2" t="n">
        <v>1124</v>
      </c>
      <c r="R1116" s="2" t="n">
        <v>255</v>
      </c>
      <c r="S1116" s="2" t="n">
        <v>9</v>
      </c>
      <c r="T1116" s="2" t="s">
        <v>33</v>
      </c>
      <c r="U1116" s="4" t="n">
        <f aca="false">(M1116+N1116+O1116+P1116)/L1116</f>
        <v>0.0870231607629428</v>
      </c>
      <c r="V1116" s="2" t="str">
        <f aca="false">IF(S1116&lt;=5,"Late night (0-5)",IF(S1116&lt;=11,"Morning (6-11)",IF(S1116&lt;=17,"Afternoon (12-17)","Evening (18-23)")))</f>
        <v>Morning (6-11)</v>
      </c>
    </row>
    <row r="1117" customFormat="false" ht="15" hidden="false" customHeight="false" outlineLevel="0" collapsed="false">
      <c r="A1117" s="2" t="s">
        <v>2006</v>
      </c>
      <c r="B1117" s="2" t="s">
        <v>103</v>
      </c>
      <c r="C1117" s="2" t="s">
        <v>36</v>
      </c>
      <c r="D1117" s="3" t="n">
        <v>45750</v>
      </c>
      <c r="E1117" s="2" t="s">
        <v>1592</v>
      </c>
      <c r="F1117" s="2" t="s">
        <v>50</v>
      </c>
      <c r="G1117" s="2" t="n">
        <v>56979</v>
      </c>
      <c r="H1117" s="2" t="n">
        <v>7</v>
      </c>
      <c r="I1117" s="2" t="n">
        <v>362</v>
      </c>
      <c r="J1117" s="2" t="n">
        <v>0</v>
      </c>
      <c r="K1117" s="2" t="n">
        <v>46937</v>
      </c>
      <c r="L1117" s="2" t="n">
        <v>35909</v>
      </c>
      <c r="M1117" s="2" t="n">
        <v>1899</v>
      </c>
      <c r="N1117" s="2" t="n">
        <v>58</v>
      </c>
      <c r="O1117" s="2" t="n">
        <v>297</v>
      </c>
      <c r="P1117" s="2" t="n">
        <v>320</v>
      </c>
      <c r="Q1117" s="2" t="n">
        <v>974</v>
      </c>
      <c r="R1117" s="2" t="n">
        <v>262</v>
      </c>
      <c r="S1117" s="2" t="n">
        <v>10</v>
      </c>
      <c r="T1117" s="2" t="s">
        <v>79</v>
      </c>
      <c r="U1117" s="4" t="n">
        <f aca="false">(M1117+N1117+O1117+P1117)/L1117</f>
        <v>0.0716811941296054</v>
      </c>
      <c r="V1117" s="2" t="str">
        <f aca="false">IF(S1117&lt;=5,"Late night (0-5)",IF(S1117&lt;=11,"Morning (6-11)",IF(S1117&lt;=17,"Afternoon (12-17)","Evening (18-23)")))</f>
        <v>Morning (6-11)</v>
      </c>
    </row>
    <row r="1118" customFormat="false" ht="15" hidden="false" customHeight="false" outlineLevel="0" collapsed="false">
      <c r="A1118" s="2" t="s">
        <v>2007</v>
      </c>
      <c r="B1118" s="2" t="s">
        <v>243</v>
      </c>
      <c r="C1118" s="2" t="s">
        <v>91</v>
      </c>
      <c r="D1118" s="3" t="n">
        <v>45930</v>
      </c>
      <c r="E1118" s="2" t="s">
        <v>636</v>
      </c>
      <c r="F1118" s="2" t="s">
        <v>32</v>
      </c>
      <c r="G1118" s="2" t="n">
        <v>42046</v>
      </c>
      <c r="H1118" s="2" t="n">
        <v>0</v>
      </c>
      <c r="I1118" s="2" t="n">
        <v>132</v>
      </c>
      <c r="J1118" s="2" t="n">
        <v>0</v>
      </c>
      <c r="K1118" s="2" t="n">
        <v>25434</v>
      </c>
      <c r="L1118" s="2" t="n">
        <v>16169</v>
      </c>
      <c r="M1118" s="2" t="n">
        <v>1210</v>
      </c>
      <c r="N1118" s="2" t="n">
        <v>84</v>
      </c>
      <c r="O1118" s="2" t="n">
        <v>286</v>
      </c>
      <c r="P1118" s="2" t="n">
        <v>79</v>
      </c>
      <c r="Q1118" s="2" t="n">
        <v>217</v>
      </c>
      <c r="R1118" s="2" t="n">
        <v>39</v>
      </c>
      <c r="S1118" s="2" t="n">
        <v>16</v>
      </c>
      <c r="T1118" s="2" t="s">
        <v>51</v>
      </c>
      <c r="U1118" s="4" t="n">
        <f aca="false">(M1118+N1118+O1118+P1118)/L1118</f>
        <v>0.102603747912672</v>
      </c>
      <c r="V1118" s="2" t="str">
        <f aca="false">IF(S1118&lt;=5,"Late night (0-5)",IF(S1118&lt;=11,"Morning (6-11)",IF(S1118&lt;=17,"Afternoon (12-17)","Evening (18-23)")))</f>
        <v>Afternoon (12-17)</v>
      </c>
    </row>
    <row r="1119" customFormat="false" ht="15" hidden="false" customHeight="false" outlineLevel="0" collapsed="false">
      <c r="A1119" s="2" t="s">
        <v>2008</v>
      </c>
      <c r="B1119" s="2" t="s">
        <v>103</v>
      </c>
      <c r="C1119" s="2" t="s">
        <v>36</v>
      </c>
      <c r="D1119" s="3" t="n">
        <v>45984</v>
      </c>
      <c r="E1119" s="2" t="s">
        <v>1584</v>
      </c>
      <c r="F1119" s="2" t="s">
        <v>38</v>
      </c>
      <c r="G1119" s="2" t="n">
        <v>56979</v>
      </c>
      <c r="H1119" s="2" t="n">
        <v>7</v>
      </c>
      <c r="I1119" s="2" t="n">
        <v>277</v>
      </c>
      <c r="J1119" s="2" t="n">
        <v>0</v>
      </c>
      <c r="K1119" s="2" t="n">
        <v>13877</v>
      </c>
      <c r="L1119" s="2" t="n">
        <v>12357</v>
      </c>
      <c r="M1119" s="2" t="n">
        <v>456</v>
      </c>
      <c r="N1119" s="2" t="n">
        <v>10</v>
      </c>
      <c r="O1119" s="2" t="n">
        <v>39</v>
      </c>
      <c r="P1119" s="2" t="n">
        <v>79</v>
      </c>
      <c r="Q1119" s="2" t="n">
        <v>171</v>
      </c>
      <c r="R1119" s="2" t="n">
        <v>32</v>
      </c>
      <c r="S1119" s="2" t="n">
        <v>2</v>
      </c>
      <c r="T1119" s="2" t="s">
        <v>27</v>
      </c>
      <c r="U1119" s="4" t="n">
        <f aca="false">(M1119+N1119+O1119+P1119)/L1119</f>
        <v>0.0472606619729708</v>
      </c>
      <c r="V1119" s="2" t="str">
        <f aca="false">IF(S1119&lt;=5,"Late night (0-5)",IF(S1119&lt;=11,"Morning (6-11)",IF(S1119&lt;=17,"Afternoon (12-17)","Evening (18-23)")))</f>
        <v>Late night (0-5)</v>
      </c>
    </row>
    <row r="1120" customFormat="false" ht="15" hidden="false" customHeight="false" outlineLevel="0" collapsed="false">
      <c r="A1120" s="2" t="s">
        <v>2009</v>
      </c>
      <c r="B1120" s="2" t="s">
        <v>164</v>
      </c>
      <c r="C1120" s="2" t="s">
        <v>36</v>
      </c>
      <c r="D1120" s="3" t="n">
        <v>45760</v>
      </c>
      <c r="E1120" s="2" t="s">
        <v>1652</v>
      </c>
      <c r="F1120" s="2" t="s">
        <v>32</v>
      </c>
      <c r="G1120" s="2" t="n">
        <v>44230</v>
      </c>
      <c r="H1120" s="2" t="n">
        <v>14</v>
      </c>
      <c r="I1120" s="2" t="n">
        <v>202</v>
      </c>
      <c r="J1120" s="2" t="n">
        <v>1</v>
      </c>
      <c r="K1120" s="2" t="n">
        <v>65166</v>
      </c>
      <c r="L1120" s="2" t="n">
        <v>37637</v>
      </c>
      <c r="M1120" s="2" t="n">
        <v>3220</v>
      </c>
      <c r="N1120" s="2" t="n">
        <v>76</v>
      </c>
      <c r="O1120" s="2" t="n">
        <v>839</v>
      </c>
      <c r="P1120" s="2" t="n">
        <v>686</v>
      </c>
      <c r="Q1120" s="2" t="n">
        <v>448</v>
      </c>
      <c r="R1120" s="2" t="n">
        <v>92</v>
      </c>
      <c r="S1120" s="2" t="n">
        <v>14</v>
      </c>
      <c r="T1120" s="2" t="s">
        <v>27</v>
      </c>
      <c r="U1120" s="4" t="n">
        <f aca="false">(M1120+N1120+O1120+P1120)/L1120</f>
        <v>0.12809203709116</v>
      </c>
      <c r="V1120" s="2" t="str">
        <f aca="false">IF(S1120&lt;=5,"Late night (0-5)",IF(S1120&lt;=11,"Morning (6-11)",IF(S1120&lt;=17,"Afternoon (12-17)","Evening (18-23)")))</f>
        <v>Afternoon (12-17)</v>
      </c>
    </row>
    <row r="1121" customFormat="false" ht="15" hidden="false" customHeight="false" outlineLevel="0" collapsed="false">
      <c r="A1121" s="2" t="s">
        <v>2010</v>
      </c>
      <c r="B1121" s="2" t="s">
        <v>44</v>
      </c>
      <c r="C1121" s="2" t="s">
        <v>36</v>
      </c>
      <c r="D1121" s="3" t="n">
        <v>45852</v>
      </c>
      <c r="E1121" s="2" t="s">
        <v>2011</v>
      </c>
      <c r="F1121" s="2" t="s">
        <v>38</v>
      </c>
      <c r="G1121" s="2" t="n">
        <v>6265</v>
      </c>
      <c r="H1121" s="2" t="n">
        <v>21</v>
      </c>
      <c r="I1121" s="2" t="n">
        <v>293</v>
      </c>
      <c r="J1121" s="2" t="n">
        <v>1</v>
      </c>
      <c r="K1121" s="2" t="n">
        <v>2690</v>
      </c>
      <c r="L1121" s="2" t="n">
        <v>1855</v>
      </c>
      <c r="M1121" s="2" t="n">
        <v>138</v>
      </c>
      <c r="N1121" s="2" t="n">
        <v>8</v>
      </c>
      <c r="O1121" s="2" t="n">
        <v>18</v>
      </c>
      <c r="P1121" s="2" t="n">
        <v>16</v>
      </c>
      <c r="Q1121" s="2" t="n">
        <v>28</v>
      </c>
      <c r="R1121" s="2" t="n">
        <v>3</v>
      </c>
      <c r="S1121" s="2" t="n">
        <v>15</v>
      </c>
      <c r="T1121" s="2" t="s">
        <v>33</v>
      </c>
      <c r="U1121" s="4" t="n">
        <f aca="false">(M1121+N1121+O1121+P1121)/L1121</f>
        <v>0.0970350404312668</v>
      </c>
      <c r="V1121" s="2" t="str">
        <f aca="false">IF(S1121&lt;=5,"Late night (0-5)",IF(S1121&lt;=11,"Morning (6-11)",IF(S1121&lt;=17,"Afternoon (12-17)","Evening (18-23)")))</f>
        <v>Afternoon (12-17)</v>
      </c>
    </row>
    <row r="1122" customFormat="false" ht="15" hidden="false" customHeight="false" outlineLevel="0" collapsed="false">
      <c r="A1122" s="2" t="s">
        <v>2012</v>
      </c>
      <c r="B1122" s="2" t="s">
        <v>307</v>
      </c>
      <c r="C1122" s="2" t="s">
        <v>48</v>
      </c>
      <c r="D1122" s="3" t="n">
        <v>45877</v>
      </c>
      <c r="E1122" s="2" t="s">
        <v>245</v>
      </c>
      <c r="F1122" s="2" t="s">
        <v>38</v>
      </c>
      <c r="G1122" s="2" t="n">
        <v>91358</v>
      </c>
      <c r="H1122" s="2" t="n">
        <v>12</v>
      </c>
      <c r="I1122" s="2" t="n">
        <v>193</v>
      </c>
      <c r="J1122" s="2" t="n">
        <v>1</v>
      </c>
      <c r="K1122" s="2" t="n">
        <v>106635</v>
      </c>
      <c r="L1122" s="2" t="n">
        <v>87079</v>
      </c>
      <c r="M1122" s="2" t="n">
        <v>6550</v>
      </c>
      <c r="N1122" s="2" t="n">
        <v>227</v>
      </c>
      <c r="O1122" s="2" t="n">
        <v>478</v>
      </c>
      <c r="P1122" s="2" t="n">
        <v>506</v>
      </c>
      <c r="Q1122" s="2" t="n">
        <v>2004</v>
      </c>
      <c r="R1122" s="2" t="n">
        <v>248</v>
      </c>
      <c r="S1122" s="2" t="n">
        <v>7</v>
      </c>
      <c r="T1122" s="2" t="s">
        <v>96</v>
      </c>
      <c r="U1122" s="4" t="n">
        <f aca="false">(M1122+N1122+O1122+P1122)/L1122</f>
        <v>0.0891259660767809</v>
      </c>
      <c r="V1122" s="2" t="str">
        <f aca="false">IF(S1122&lt;=5,"Late night (0-5)",IF(S1122&lt;=11,"Morning (6-11)",IF(S1122&lt;=17,"Afternoon (12-17)","Evening (18-23)")))</f>
        <v>Morning (6-11)</v>
      </c>
    </row>
    <row r="1123" customFormat="false" ht="15" hidden="false" customHeight="false" outlineLevel="0" collapsed="false">
      <c r="A1123" s="2" t="s">
        <v>2013</v>
      </c>
      <c r="B1123" s="2" t="s">
        <v>57</v>
      </c>
      <c r="C1123" s="2" t="s">
        <v>24</v>
      </c>
      <c r="D1123" s="3" t="n">
        <v>45725</v>
      </c>
      <c r="E1123" s="2" t="s">
        <v>1715</v>
      </c>
      <c r="F1123" s="2" t="s">
        <v>32</v>
      </c>
      <c r="G1123" s="2" t="n">
        <v>31021</v>
      </c>
      <c r="H1123" s="2" t="n">
        <v>20</v>
      </c>
      <c r="I1123" s="2" t="n">
        <v>123</v>
      </c>
      <c r="J1123" s="2" t="n">
        <v>0</v>
      </c>
      <c r="K1123" s="2" t="n">
        <v>130333</v>
      </c>
      <c r="L1123" s="2" t="n">
        <v>89177</v>
      </c>
      <c r="M1123" s="2" t="n">
        <v>8154</v>
      </c>
      <c r="N1123" s="2" t="n">
        <v>178</v>
      </c>
      <c r="O1123" s="2" t="n">
        <v>1015</v>
      </c>
      <c r="P1123" s="2" t="n">
        <v>1686</v>
      </c>
      <c r="Q1123" s="2" t="n">
        <v>2550</v>
      </c>
      <c r="R1123" s="2" t="n">
        <v>378</v>
      </c>
      <c r="S1123" s="2" t="n">
        <v>14</v>
      </c>
      <c r="T1123" s="2" t="s">
        <v>27</v>
      </c>
      <c r="U1123" s="4" t="n">
        <f aca="false">(M1123+N1123+O1123+P1123)/L1123</f>
        <v>0.123720241766375</v>
      </c>
      <c r="V1123" s="2" t="str">
        <f aca="false">IF(S1123&lt;=5,"Late night (0-5)",IF(S1123&lt;=11,"Morning (6-11)",IF(S1123&lt;=17,"Afternoon (12-17)","Evening (18-23)")))</f>
        <v>Afternoon (12-17)</v>
      </c>
    </row>
    <row r="1124" customFormat="false" ht="15" hidden="false" customHeight="false" outlineLevel="0" collapsed="false">
      <c r="A1124" s="2" t="s">
        <v>2014</v>
      </c>
      <c r="B1124" s="2" t="s">
        <v>345</v>
      </c>
      <c r="C1124" s="2" t="s">
        <v>30</v>
      </c>
      <c r="D1124" s="3" t="n">
        <v>45994</v>
      </c>
      <c r="E1124" s="2" t="s">
        <v>2015</v>
      </c>
      <c r="F1124" s="2" t="s">
        <v>32</v>
      </c>
      <c r="G1124" s="2" t="n">
        <v>8662</v>
      </c>
      <c r="H1124" s="2" t="n">
        <v>6</v>
      </c>
      <c r="I1124" s="2" t="n">
        <v>86</v>
      </c>
      <c r="J1124" s="2" t="n">
        <v>0</v>
      </c>
      <c r="K1124" s="2" t="n">
        <v>4881</v>
      </c>
      <c r="L1124" s="2" t="n">
        <v>4101</v>
      </c>
      <c r="M1124" s="2" t="n">
        <v>387</v>
      </c>
      <c r="N1124" s="2" t="n">
        <v>26</v>
      </c>
      <c r="O1124" s="2" t="n">
        <v>90</v>
      </c>
      <c r="P1124" s="2" t="n">
        <v>112</v>
      </c>
      <c r="Q1124" s="2" t="n">
        <v>48</v>
      </c>
      <c r="R1124" s="2" t="n">
        <v>12</v>
      </c>
      <c r="S1124" s="2" t="n">
        <v>3</v>
      </c>
      <c r="T1124" s="2" t="s">
        <v>66</v>
      </c>
      <c r="U1124" s="4" t="n">
        <f aca="false">(M1124+N1124+O1124+P1124)/L1124</f>
        <v>0.14996342355523</v>
      </c>
      <c r="V1124" s="2" t="str">
        <f aca="false">IF(S1124&lt;=5,"Late night (0-5)",IF(S1124&lt;=11,"Morning (6-11)",IF(S1124&lt;=17,"Afternoon (12-17)","Evening (18-23)")))</f>
        <v>Late night (0-5)</v>
      </c>
    </row>
    <row r="1125" customFormat="false" ht="15" hidden="false" customHeight="false" outlineLevel="0" collapsed="false">
      <c r="A1125" s="2" t="s">
        <v>2016</v>
      </c>
      <c r="B1125" s="2" t="s">
        <v>64</v>
      </c>
      <c r="C1125" s="2" t="s">
        <v>36</v>
      </c>
      <c r="D1125" s="3" t="n">
        <v>45837</v>
      </c>
      <c r="E1125" s="2" t="s">
        <v>665</v>
      </c>
      <c r="F1125" s="2" t="s">
        <v>32</v>
      </c>
      <c r="G1125" s="2" t="n">
        <v>43781</v>
      </c>
      <c r="H1125" s="2" t="n">
        <v>2</v>
      </c>
      <c r="I1125" s="2" t="n">
        <v>87</v>
      </c>
      <c r="J1125" s="2" t="n">
        <v>0</v>
      </c>
      <c r="K1125" s="2" t="n">
        <v>109565</v>
      </c>
      <c r="L1125" s="2" t="n">
        <v>96224</v>
      </c>
      <c r="M1125" s="2" t="n">
        <v>5876</v>
      </c>
      <c r="N1125" s="2" t="n">
        <v>422</v>
      </c>
      <c r="O1125" s="2" t="n">
        <v>310</v>
      </c>
      <c r="P1125" s="2" t="n">
        <v>876</v>
      </c>
      <c r="Q1125" s="2" t="n">
        <v>2754</v>
      </c>
      <c r="R1125" s="2" t="n">
        <v>172</v>
      </c>
      <c r="S1125" s="2" t="n">
        <v>20</v>
      </c>
      <c r="T1125" s="2" t="s">
        <v>27</v>
      </c>
      <c r="U1125" s="4" t="n">
        <f aca="false">(M1125+N1125+O1125+P1125)/L1125</f>
        <v>0.0777768540073163</v>
      </c>
      <c r="V1125" s="2" t="str">
        <f aca="false">IF(S1125&lt;=5,"Late night (0-5)",IF(S1125&lt;=11,"Morning (6-11)",IF(S1125&lt;=17,"Afternoon (12-17)","Evening (18-23)")))</f>
        <v>Evening (18-23)</v>
      </c>
    </row>
    <row r="1126" customFormat="false" ht="15" hidden="false" customHeight="false" outlineLevel="0" collapsed="false">
      <c r="A1126" s="2" t="s">
        <v>2017</v>
      </c>
      <c r="B1126" s="2" t="s">
        <v>87</v>
      </c>
      <c r="C1126" s="2" t="s">
        <v>36</v>
      </c>
      <c r="D1126" s="3" t="n">
        <v>45758</v>
      </c>
      <c r="E1126" s="2" t="s">
        <v>2018</v>
      </c>
      <c r="F1126" s="2" t="s">
        <v>32</v>
      </c>
      <c r="G1126" s="2" t="n">
        <v>25592</v>
      </c>
      <c r="H1126" s="2" t="n">
        <v>11</v>
      </c>
      <c r="I1126" s="2" t="n">
        <v>126</v>
      </c>
      <c r="J1126" s="2" t="n">
        <v>0</v>
      </c>
      <c r="K1126" s="2" t="n">
        <v>38378</v>
      </c>
      <c r="L1126" s="2" t="n">
        <v>22234</v>
      </c>
      <c r="M1126" s="2" t="n">
        <v>1186</v>
      </c>
      <c r="N1126" s="2" t="n">
        <v>35</v>
      </c>
      <c r="O1126" s="2" t="n">
        <v>161</v>
      </c>
      <c r="P1126" s="2" t="n">
        <v>102</v>
      </c>
      <c r="Q1126" s="2" t="n">
        <v>637</v>
      </c>
      <c r="R1126" s="2" t="n">
        <v>146</v>
      </c>
      <c r="S1126" s="2" t="n">
        <v>7</v>
      </c>
      <c r="T1126" s="2" t="s">
        <v>96</v>
      </c>
      <c r="U1126" s="4" t="n">
        <f aca="false">(M1126+N1126+O1126+P1126)/L1126</f>
        <v>0.0667446253485653</v>
      </c>
      <c r="V1126" s="2" t="str">
        <f aca="false">IF(S1126&lt;=5,"Late night (0-5)",IF(S1126&lt;=11,"Morning (6-11)",IF(S1126&lt;=17,"Afternoon (12-17)","Evening (18-23)")))</f>
        <v>Morning (6-11)</v>
      </c>
    </row>
    <row r="1127" customFormat="false" ht="15" hidden="false" customHeight="false" outlineLevel="0" collapsed="false">
      <c r="A1127" s="2" t="s">
        <v>2019</v>
      </c>
      <c r="B1127" s="2" t="s">
        <v>264</v>
      </c>
      <c r="C1127" s="2" t="s">
        <v>36</v>
      </c>
      <c r="D1127" s="3" t="n">
        <v>45815</v>
      </c>
      <c r="E1127" s="2" t="s">
        <v>1458</v>
      </c>
      <c r="F1127" s="2" t="s">
        <v>50</v>
      </c>
      <c r="G1127" s="2" t="n">
        <v>22362</v>
      </c>
      <c r="H1127" s="2" t="n">
        <v>14</v>
      </c>
      <c r="I1127" s="2" t="n">
        <v>35</v>
      </c>
      <c r="J1127" s="2" t="n">
        <v>1</v>
      </c>
      <c r="K1127" s="2" t="n">
        <v>25579</v>
      </c>
      <c r="L1127" s="2" t="n">
        <v>19412</v>
      </c>
      <c r="M1127" s="2" t="n">
        <v>586</v>
      </c>
      <c r="N1127" s="2" t="n">
        <v>46</v>
      </c>
      <c r="O1127" s="2" t="n">
        <v>41</v>
      </c>
      <c r="P1127" s="2" t="n">
        <v>171</v>
      </c>
      <c r="Q1127" s="2" t="n">
        <v>413</v>
      </c>
      <c r="R1127" s="2" t="n">
        <v>113</v>
      </c>
      <c r="S1127" s="2" t="n">
        <v>6</v>
      </c>
      <c r="T1127" s="2" t="s">
        <v>62</v>
      </c>
      <c r="U1127" s="4" t="n">
        <f aca="false">(M1127+N1127+O1127+P1127)/L1127</f>
        <v>0.0434782608695652</v>
      </c>
      <c r="V1127" s="2" t="str">
        <f aca="false">IF(S1127&lt;=5,"Late night (0-5)",IF(S1127&lt;=11,"Morning (6-11)",IF(S1127&lt;=17,"Afternoon (12-17)","Evening (18-23)")))</f>
        <v>Morning (6-11)</v>
      </c>
    </row>
    <row r="1128" customFormat="false" ht="15" hidden="false" customHeight="false" outlineLevel="0" collapsed="false">
      <c r="A1128" s="2" t="s">
        <v>2020</v>
      </c>
      <c r="B1128" s="2" t="s">
        <v>57</v>
      </c>
      <c r="C1128" s="2" t="s">
        <v>24</v>
      </c>
      <c r="D1128" s="3" t="n">
        <v>45772</v>
      </c>
      <c r="E1128" s="2" t="s">
        <v>1518</v>
      </c>
      <c r="F1128" s="2" t="s">
        <v>26</v>
      </c>
      <c r="G1128" s="2" t="n">
        <v>31021</v>
      </c>
      <c r="H1128" s="2" t="n">
        <v>7</v>
      </c>
      <c r="I1128" s="2" t="n">
        <v>168</v>
      </c>
      <c r="J1128" s="2" t="n">
        <v>0</v>
      </c>
      <c r="K1128" s="2" t="n">
        <v>23973</v>
      </c>
      <c r="L1128" s="2" t="n">
        <v>17738</v>
      </c>
      <c r="M1128" s="2" t="n">
        <v>999</v>
      </c>
      <c r="N1128" s="2" t="n">
        <v>30</v>
      </c>
      <c r="O1128" s="2" t="n">
        <v>158</v>
      </c>
      <c r="P1128" s="2" t="n">
        <v>124</v>
      </c>
      <c r="Q1128" s="2" t="n">
        <v>433</v>
      </c>
      <c r="R1128" s="2" t="n">
        <v>108</v>
      </c>
      <c r="S1128" s="2" t="n">
        <v>12</v>
      </c>
      <c r="T1128" s="2" t="s">
        <v>96</v>
      </c>
      <c r="U1128" s="4" t="n">
        <f aca="false">(M1128+N1128+O1128+P1128)/L1128</f>
        <v>0.0739091216597136</v>
      </c>
      <c r="V1128" s="2" t="str">
        <f aca="false">IF(S1128&lt;=5,"Late night (0-5)",IF(S1128&lt;=11,"Morning (6-11)",IF(S1128&lt;=17,"Afternoon (12-17)","Evening (18-23)")))</f>
        <v>Afternoon (12-17)</v>
      </c>
    </row>
    <row r="1129" customFormat="false" ht="15" hidden="false" customHeight="false" outlineLevel="0" collapsed="false">
      <c r="A1129" s="2" t="s">
        <v>2021</v>
      </c>
      <c r="B1129" s="2" t="s">
        <v>154</v>
      </c>
      <c r="C1129" s="2" t="s">
        <v>41</v>
      </c>
      <c r="D1129" s="3" t="n">
        <v>45856</v>
      </c>
      <c r="E1129" s="2" t="s">
        <v>2022</v>
      </c>
      <c r="F1129" s="2" t="s">
        <v>38</v>
      </c>
      <c r="G1129" s="2" t="n">
        <v>33644</v>
      </c>
      <c r="H1129" s="2" t="n">
        <v>9</v>
      </c>
      <c r="I1129" s="2" t="n">
        <v>151</v>
      </c>
      <c r="J1129" s="2" t="n">
        <v>0</v>
      </c>
      <c r="K1129" s="2" t="n">
        <v>6579</v>
      </c>
      <c r="L1129" s="2" t="n">
        <v>4201</v>
      </c>
      <c r="M1129" s="2" t="n">
        <v>214</v>
      </c>
      <c r="N1129" s="2" t="n">
        <v>15</v>
      </c>
      <c r="O1129" s="2" t="n">
        <v>36</v>
      </c>
      <c r="P1129" s="2" t="n">
        <v>37</v>
      </c>
      <c r="Q1129" s="2" t="n">
        <v>102</v>
      </c>
      <c r="R1129" s="2" t="n">
        <v>12</v>
      </c>
      <c r="S1129" s="2" t="n">
        <v>3</v>
      </c>
      <c r="T1129" s="2" t="s">
        <v>96</v>
      </c>
      <c r="U1129" s="4" t="n">
        <f aca="false">(M1129+N1129+O1129+P1129)/L1129</f>
        <v>0.0718876457986194</v>
      </c>
      <c r="V1129" s="2" t="str">
        <f aca="false">IF(S1129&lt;=5,"Late night (0-5)",IF(S1129&lt;=11,"Morning (6-11)",IF(S1129&lt;=17,"Afternoon (12-17)","Evening (18-23)")))</f>
        <v>Late night (0-5)</v>
      </c>
    </row>
    <row r="1130" customFormat="false" ht="15" hidden="false" customHeight="false" outlineLevel="0" collapsed="false">
      <c r="A1130" s="2" t="s">
        <v>2023</v>
      </c>
      <c r="B1130" s="2" t="s">
        <v>135</v>
      </c>
      <c r="C1130" s="2" t="s">
        <v>36</v>
      </c>
      <c r="D1130" s="3" t="n">
        <v>45860</v>
      </c>
      <c r="E1130" s="2" t="s">
        <v>1052</v>
      </c>
      <c r="F1130" s="2" t="s">
        <v>38</v>
      </c>
      <c r="G1130" s="2" t="n">
        <v>45812</v>
      </c>
      <c r="H1130" s="2" t="n">
        <v>11</v>
      </c>
      <c r="I1130" s="2" t="n">
        <v>199</v>
      </c>
      <c r="J1130" s="2" t="n">
        <v>1</v>
      </c>
      <c r="K1130" s="2" t="n">
        <v>7669</v>
      </c>
      <c r="L1130" s="2" t="n">
        <v>6950</v>
      </c>
      <c r="M1130" s="2" t="n">
        <v>238</v>
      </c>
      <c r="N1130" s="2" t="n">
        <v>13</v>
      </c>
      <c r="O1130" s="2" t="n">
        <v>14</v>
      </c>
      <c r="P1130" s="2" t="n">
        <v>52</v>
      </c>
      <c r="Q1130" s="2" t="n">
        <v>145</v>
      </c>
      <c r="R1130" s="2" t="n">
        <v>9</v>
      </c>
      <c r="S1130" s="2" t="n">
        <v>1</v>
      </c>
      <c r="T1130" s="2" t="s">
        <v>51</v>
      </c>
      <c r="U1130" s="4" t="n">
        <f aca="false">(M1130+N1130+O1130+P1130)/L1130</f>
        <v>0.0456115107913669</v>
      </c>
      <c r="V1130" s="2" t="str">
        <f aca="false">IF(S1130&lt;=5,"Late night (0-5)",IF(S1130&lt;=11,"Morning (6-11)",IF(S1130&lt;=17,"Afternoon (12-17)","Evening (18-23)")))</f>
        <v>Late night (0-5)</v>
      </c>
    </row>
    <row r="1131" customFormat="false" ht="15" hidden="false" customHeight="false" outlineLevel="0" collapsed="false">
      <c r="A1131" s="2" t="s">
        <v>2024</v>
      </c>
      <c r="B1131" s="2" t="s">
        <v>264</v>
      </c>
      <c r="C1131" s="2" t="s">
        <v>36</v>
      </c>
      <c r="D1131" s="3" t="n">
        <v>45905</v>
      </c>
      <c r="E1131" s="2" t="s">
        <v>2025</v>
      </c>
      <c r="F1131" s="2" t="s">
        <v>38</v>
      </c>
      <c r="G1131" s="2" t="n">
        <v>22362</v>
      </c>
      <c r="H1131" s="2" t="n">
        <v>7</v>
      </c>
      <c r="I1131" s="2" t="n">
        <v>188</v>
      </c>
      <c r="J1131" s="2" t="n">
        <v>1</v>
      </c>
      <c r="K1131" s="2" t="n">
        <v>15841</v>
      </c>
      <c r="L1131" s="2" t="n">
        <v>12920</v>
      </c>
      <c r="M1131" s="2" t="n">
        <v>560</v>
      </c>
      <c r="N1131" s="2" t="n">
        <v>24</v>
      </c>
      <c r="O1131" s="2" t="n">
        <v>79</v>
      </c>
      <c r="P1131" s="2" t="n">
        <v>152</v>
      </c>
      <c r="Q1131" s="2" t="n">
        <v>234</v>
      </c>
      <c r="R1131" s="2" t="n">
        <v>42</v>
      </c>
      <c r="S1131" s="2" t="n">
        <v>22</v>
      </c>
      <c r="T1131" s="2" t="s">
        <v>96</v>
      </c>
      <c r="U1131" s="4" t="n">
        <f aca="false">(M1131+N1131+O1131+P1131)/L1131</f>
        <v>0.0630804953560372</v>
      </c>
      <c r="V1131" s="2" t="str">
        <f aca="false">IF(S1131&lt;=5,"Late night (0-5)",IF(S1131&lt;=11,"Morning (6-11)",IF(S1131&lt;=17,"Afternoon (12-17)","Evening (18-23)")))</f>
        <v>Evening (18-23)</v>
      </c>
    </row>
    <row r="1132" customFormat="false" ht="15" hidden="false" customHeight="false" outlineLevel="0" collapsed="false">
      <c r="A1132" s="2" t="s">
        <v>2026</v>
      </c>
      <c r="B1132" s="2" t="s">
        <v>181</v>
      </c>
      <c r="C1132" s="2" t="s">
        <v>91</v>
      </c>
      <c r="D1132" s="3" t="n">
        <v>46012</v>
      </c>
      <c r="E1132" s="2" t="s">
        <v>945</v>
      </c>
      <c r="F1132" s="2" t="s">
        <v>32</v>
      </c>
      <c r="G1132" s="2" t="n">
        <v>31658</v>
      </c>
      <c r="H1132" s="2" t="n">
        <v>16</v>
      </c>
      <c r="I1132" s="2" t="n">
        <v>207</v>
      </c>
      <c r="J1132" s="2" t="n">
        <v>1</v>
      </c>
      <c r="K1132" s="2" t="n">
        <v>48039</v>
      </c>
      <c r="L1132" s="2" t="n">
        <v>31549</v>
      </c>
      <c r="M1132" s="2" t="n">
        <v>1635</v>
      </c>
      <c r="N1132" s="2" t="n">
        <v>111</v>
      </c>
      <c r="O1132" s="2" t="n">
        <v>255</v>
      </c>
      <c r="P1132" s="2" t="n">
        <v>370</v>
      </c>
      <c r="Q1132" s="2" t="n">
        <v>221</v>
      </c>
      <c r="R1132" s="2" t="n">
        <v>37</v>
      </c>
      <c r="S1132" s="2" t="n">
        <v>17</v>
      </c>
      <c r="T1132" s="2" t="s">
        <v>27</v>
      </c>
      <c r="U1132" s="4" t="n">
        <f aca="false">(M1132+N1132+O1132+P1132)/L1132</f>
        <v>0.0751529367016387</v>
      </c>
      <c r="V1132" s="2" t="str">
        <f aca="false">IF(S1132&lt;=5,"Late night (0-5)",IF(S1132&lt;=11,"Morning (6-11)",IF(S1132&lt;=17,"Afternoon (12-17)","Evening (18-23)")))</f>
        <v>Afternoon (12-17)</v>
      </c>
    </row>
    <row r="1133" customFormat="false" ht="15" hidden="false" customHeight="false" outlineLevel="0" collapsed="false">
      <c r="A1133" s="2" t="s">
        <v>2027</v>
      </c>
      <c r="B1133" s="2" t="s">
        <v>426</v>
      </c>
      <c r="C1133" s="2" t="s">
        <v>30</v>
      </c>
      <c r="D1133" s="3" t="n">
        <v>45995</v>
      </c>
      <c r="E1133" s="2" t="s">
        <v>1272</v>
      </c>
      <c r="F1133" s="2" t="s">
        <v>38</v>
      </c>
      <c r="G1133" s="2" t="n">
        <v>40649</v>
      </c>
      <c r="H1133" s="2" t="n">
        <v>15</v>
      </c>
      <c r="I1133" s="2" t="n">
        <v>162</v>
      </c>
      <c r="J1133" s="2" t="n">
        <v>1</v>
      </c>
      <c r="K1133" s="2" t="n">
        <v>40115</v>
      </c>
      <c r="L1133" s="2" t="n">
        <v>26587</v>
      </c>
      <c r="M1133" s="2" t="n">
        <v>869</v>
      </c>
      <c r="N1133" s="2" t="n">
        <v>60</v>
      </c>
      <c r="O1133" s="2" t="n">
        <v>88</v>
      </c>
      <c r="P1133" s="2" t="n">
        <v>133</v>
      </c>
      <c r="Q1133" s="2" t="n">
        <v>350</v>
      </c>
      <c r="R1133" s="2" t="n">
        <v>102</v>
      </c>
      <c r="S1133" s="2" t="n">
        <v>13</v>
      </c>
      <c r="T1133" s="2" t="s">
        <v>79</v>
      </c>
      <c r="U1133" s="4" t="n">
        <f aca="false">(M1133+N1133+O1133+P1133)/L1133</f>
        <v>0.0432542219881897</v>
      </c>
      <c r="V1133" s="2" t="str">
        <f aca="false">IF(S1133&lt;=5,"Late night (0-5)",IF(S1133&lt;=11,"Morning (6-11)",IF(S1133&lt;=17,"Afternoon (12-17)","Evening (18-23)")))</f>
        <v>Afternoon (12-17)</v>
      </c>
    </row>
    <row r="1134" customFormat="false" ht="15" hidden="false" customHeight="false" outlineLevel="0" collapsed="false">
      <c r="A1134" s="2" t="s">
        <v>2028</v>
      </c>
      <c r="B1134" s="2" t="s">
        <v>247</v>
      </c>
      <c r="C1134" s="2" t="s">
        <v>24</v>
      </c>
      <c r="D1134" s="3" t="n">
        <v>45760</v>
      </c>
      <c r="E1134" s="2" t="s">
        <v>2029</v>
      </c>
      <c r="F1134" s="2" t="s">
        <v>32</v>
      </c>
      <c r="G1134" s="2" t="n">
        <v>70847</v>
      </c>
      <c r="H1134" s="2" t="n">
        <v>11</v>
      </c>
      <c r="I1134" s="2" t="n">
        <v>292</v>
      </c>
      <c r="J1134" s="2" t="n">
        <v>0</v>
      </c>
      <c r="K1134" s="2" t="n">
        <v>87338</v>
      </c>
      <c r="L1134" s="2" t="n">
        <v>75556</v>
      </c>
      <c r="M1134" s="2" t="n">
        <v>5236</v>
      </c>
      <c r="N1134" s="2" t="n">
        <v>309</v>
      </c>
      <c r="O1134" s="2" t="n">
        <v>1055</v>
      </c>
      <c r="P1134" s="2" t="n">
        <v>332</v>
      </c>
      <c r="Q1134" s="2" t="n">
        <v>557</v>
      </c>
      <c r="R1134" s="2" t="n">
        <v>76</v>
      </c>
      <c r="S1134" s="2" t="n">
        <v>10</v>
      </c>
      <c r="T1134" s="2" t="s">
        <v>27</v>
      </c>
      <c r="U1134" s="4" t="n">
        <f aca="false">(M1134+N1134+O1134+P1134)/L1134</f>
        <v>0.0917465191381227</v>
      </c>
      <c r="V1134" s="2" t="str">
        <f aca="false">IF(S1134&lt;=5,"Late night (0-5)",IF(S1134&lt;=11,"Morning (6-11)",IF(S1134&lt;=17,"Afternoon (12-17)","Evening (18-23)")))</f>
        <v>Morning (6-11)</v>
      </c>
    </row>
    <row r="1135" customFormat="false" ht="15" hidden="false" customHeight="false" outlineLevel="0" collapsed="false">
      <c r="A1135" s="2" t="s">
        <v>2030</v>
      </c>
      <c r="B1135" s="2" t="s">
        <v>154</v>
      </c>
      <c r="C1135" s="2" t="s">
        <v>41</v>
      </c>
      <c r="D1135" s="3" t="n">
        <v>45889</v>
      </c>
      <c r="E1135" s="2" t="s">
        <v>2031</v>
      </c>
      <c r="F1135" s="2" t="s">
        <v>38</v>
      </c>
      <c r="G1135" s="2" t="n">
        <v>33644</v>
      </c>
      <c r="H1135" s="2" t="n">
        <v>2</v>
      </c>
      <c r="I1135" s="2" t="n">
        <v>99</v>
      </c>
      <c r="J1135" s="2" t="n">
        <v>1</v>
      </c>
      <c r="K1135" s="2" t="n">
        <v>32018</v>
      </c>
      <c r="L1135" s="2" t="n">
        <v>23632</v>
      </c>
      <c r="M1135" s="2" t="n">
        <v>1393</v>
      </c>
      <c r="N1135" s="2" t="n">
        <v>105</v>
      </c>
      <c r="O1135" s="2" t="n">
        <v>170</v>
      </c>
      <c r="P1135" s="2" t="n">
        <v>214</v>
      </c>
      <c r="Q1135" s="2" t="n">
        <v>702</v>
      </c>
      <c r="R1135" s="2" t="n">
        <v>46</v>
      </c>
      <c r="S1135" s="2" t="n">
        <v>12</v>
      </c>
      <c r="T1135" s="2" t="s">
        <v>66</v>
      </c>
      <c r="U1135" s="4" t="n">
        <f aca="false">(M1135+N1135+O1135+P1135)/L1135</f>
        <v>0.079637779282329</v>
      </c>
      <c r="V1135" s="2" t="str">
        <f aca="false">IF(S1135&lt;=5,"Late night (0-5)",IF(S1135&lt;=11,"Morning (6-11)",IF(S1135&lt;=17,"Afternoon (12-17)","Evening (18-23)")))</f>
        <v>Afternoon (12-17)</v>
      </c>
    </row>
    <row r="1136" customFormat="false" ht="15" hidden="false" customHeight="false" outlineLevel="0" collapsed="false">
      <c r="A1136" s="2" t="s">
        <v>2032</v>
      </c>
      <c r="B1136" s="2" t="s">
        <v>188</v>
      </c>
      <c r="C1136" s="2" t="s">
        <v>30</v>
      </c>
      <c r="D1136" s="3" t="n">
        <v>45855</v>
      </c>
      <c r="E1136" s="2" t="s">
        <v>2033</v>
      </c>
      <c r="F1136" s="2" t="s">
        <v>32</v>
      </c>
      <c r="G1136" s="2" t="n">
        <v>38900</v>
      </c>
      <c r="H1136" s="2" t="n">
        <v>21</v>
      </c>
      <c r="I1136" s="2" t="n">
        <v>146</v>
      </c>
      <c r="J1136" s="2" t="n">
        <v>0</v>
      </c>
      <c r="K1136" s="2" t="n">
        <v>39455</v>
      </c>
      <c r="L1136" s="2" t="n">
        <v>23101</v>
      </c>
      <c r="M1136" s="2" t="n">
        <v>1979</v>
      </c>
      <c r="N1136" s="2" t="n">
        <v>46</v>
      </c>
      <c r="O1136" s="2" t="n">
        <v>311</v>
      </c>
      <c r="P1136" s="2" t="n">
        <v>478</v>
      </c>
      <c r="Q1136" s="2" t="n">
        <v>295</v>
      </c>
      <c r="R1136" s="2" t="n">
        <v>42</v>
      </c>
      <c r="S1136" s="2" t="n">
        <v>0</v>
      </c>
      <c r="T1136" s="2" t="s">
        <v>79</v>
      </c>
      <c r="U1136" s="4" t="n">
        <f aca="false">(M1136+N1136+O1136+P1136)/L1136</f>
        <v>0.121812908532098</v>
      </c>
      <c r="V1136" s="2" t="str">
        <f aca="false">IF(S1136&lt;=5,"Late night (0-5)",IF(S1136&lt;=11,"Morning (6-11)",IF(S1136&lt;=17,"Afternoon (12-17)","Evening (18-23)")))</f>
        <v>Late night (0-5)</v>
      </c>
    </row>
    <row r="1137" customFormat="false" ht="15" hidden="false" customHeight="false" outlineLevel="0" collapsed="false">
      <c r="A1137" s="2" t="s">
        <v>2034</v>
      </c>
      <c r="B1137" s="2" t="s">
        <v>181</v>
      </c>
      <c r="C1137" s="2" t="s">
        <v>91</v>
      </c>
      <c r="D1137" s="3" t="n">
        <v>45968</v>
      </c>
      <c r="E1137" s="2" t="s">
        <v>1120</v>
      </c>
      <c r="F1137" s="2" t="s">
        <v>32</v>
      </c>
      <c r="G1137" s="2" t="n">
        <v>31658</v>
      </c>
      <c r="H1137" s="2" t="n">
        <v>15</v>
      </c>
      <c r="I1137" s="2" t="n">
        <v>181</v>
      </c>
      <c r="J1137" s="2" t="n">
        <v>0</v>
      </c>
      <c r="K1137" s="2" t="n">
        <v>33976</v>
      </c>
      <c r="L1137" s="2" t="n">
        <v>20290</v>
      </c>
      <c r="M1137" s="2" t="n">
        <v>1689</v>
      </c>
      <c r="N1137" s="2" t="n">
        <v>59</v>
      </c>
      <c r="O1137" s="2" t="n">
        <v>163</v>
      </c>
      <c r="P1137" s="2" t="n">
        <v>235</v>
      </c>
      <c r="Q1137" s="2" t="n">
        <v>521</v>
      </c>
      <c r="R1137" s="2" t="n">
        <v>138</v>
      </c>
      <c r="S1137" s="2" t="n">
        <v>15</v>
      </c>
      <c r="T1137" s="2" t="s">
        <v>96</v>
      </c>
      <c r="U1137" s="4" t="n">
        <f aca="false">(M1137+N1137+O1137+P1137)/L1137</f>
        <v>0.105766387382947</v>
      </c>
      <c r="V1137" s="2" t="str">
        <f aca="false">IF(S1137&lt;=5,"Late night (0-5)",IF(S1137&lt;=11,"Morning (6-11)",IF(S1137&lt;=17,"Afternoon (12-17)","Evening (18-23)")))</f>
        <v>Afternoon (12-17)</v>
      </c>
    </row>
    <row r="1138" customFormat="false" ht="15" hidden="false" customHeight="false" outlineLevel="0" collapsed="false">
      <c r="A1138" s="2" t="s">
        <v>2035</v>
      </c>
      <c r="B1138" s="2" t="s">
        <v>220</v>
      </c>
      <c r="C1138" s="2" t="s">
        <v>48</v>
      </c>
      <c r="D1138" s="3" t="n">
        <v>45898</v>
      </c>
      <c r="E1138" s="2" t="s">
        <v>2036</v>
      </c>
      <c r="F1138" s="2" t="s">
        <v>38</v>
      </c>
      <c r="G1138" s="2" t="n">
        <v>18917</v>
      </c>
      <c r="H1138" s="2" t="n">
        <v>12</v>
      </c>
      <c r="I1138" s="2" t="n">
        <v>10</v>
      </c>
      <c r="J1138" s="2" t="n">
        <v>1</v>
      </c>
      <c r="K1138" s="2" t="n">
        <v>21896</v>
      </c>
      <c r="L1138" s="2" t="n">
        <v>12562</v>
      </c>
      <c r="M1138" s="2" t="n">
        <v>800</v>
      </c>
      <c r="N1138" s="2" t="n">
        <v>39</v>
      </c>
      <c r="O1138" s="2" t="n">
        <v>32</v>
      </c>
      <c r="P1138" s="2" t="n">
        <v>45</v>
      </c>
      <c r="Q1138" s="2" t="n">
        <v>362</v>
      </c>
      <c r="R1138" s="2" t="n">
        <v>60</v>
      </c>
      <c r="S1138" s="2" t="n">
        <v>21</v>
      </c>
      <c r="T1138" s="2" t="s">
        <v>96</v>
      </c>
      <c r="U1138" s="4" t="n">
        <f aca="false">(M1138+N1138+O1138+P1138)/L1138</f>
        <v>0.072918325107467</v>
      </c>
      <c r="V1138" s="2" t="str">
        <f aca="false">IF(S1138&lt;=5,"Late night (0-5)",IF(S1138&lt;=11,"Morning (6-11)",IF(S1138&lt;=17,"Afternoon (12-17)","Evening (18-23)")))</f>
        <v>Evening (18-23)</v>
      </c>
    </row>
    <row r="1139" customFormat="false" ht="15" hidden="false" customHeight="false" outlineLevel="0" collapsed="false">
      <c r="A1139" s="2" t="s">
        <v>2037</v>
      </c>
      <c r="B1139" s="2" t="s">
        <v>193</v>
      </c>
      <c r="C1139" s="2" t="s">
        <v>36</v>
      </c>
      <c r="D1139" s="3" t="n">
        <v>45659</v>
      </c>
      <c r="E1139" s="2" t="s">
        <v>2038</v>
      </c>
      <c r="F1139" s="2" t="s">
        <v>32</v>
      </c>
      <c r="G1139" s="2" t="n">
        <v>26454</v>
      </c>
      <c r="H1139" s="2" t="n">
        <v>16</v>
      </c>
      <c r="I1139" s="2" t="n">
        <v>18</v>
      </c>
      <c r="J1139" s="2" t="n">
        <v>1</v>
      </c>
      <c r="K1139" s="2" t="n">
        <v>12217</v>
      </c>
      <c r="L1139" s="2" t="n">
        <v>9338</v>
      </c>
      <c r="M1139" s="2" t="n">
        <v>555</v>
      </c>
      <c r="N1139" s="2" t="n">
        <v>39</v>
      </c>
      <c r="O1139" s="2" t="n">
        <v>26</v>
      </c>
      <c r="P1139" s="2" t="n">
        <v>88</v>
      </c>
      <c r="Q1139" s="2" t="n">
        <v>266</v>
      </c>
      <c r="R1139" s="2" t="n">
        <v>49</v>
      </c>
      <c r="S1139" s="2" t="n">
        <v>14</v>
      </c>
      <c r="T1139" s="2" t="s">
        <v>79</v>
      </c>
      <c r="U1139" s="4" t="n">
        <f aca="false">(M1139+N1139+O1139+P1139)/L1139</f>
        <v>0.0758192332405226</v>
      </c>
      <c r="V1139" s="2" t="str">
        <f aca="false">IF(S1139&lt;=5,"Late night (0-5)",IF(S1139&lt;=11,"Morning (6-11)",IF(S1139&lt;=17,"Afternoon (12-17)","Evening (18-23)")))</f>
        <v>Afternoon (12-17)</v>
      </c>
    </row>
    <row r="1140" customFormat="false" ht="15" hidden="false" customHeight="false" outlineLevel="0" collapsed="false">
      <c r="A1140" s="2" t="s">
        <v>2039</v>
      </c>
      <c r="B1140" s="2" t="s">
        <v>345</v>
      </c>
      <c r="C1140" s="2" t="s">
        <v>30</v>
      </c>
      <c r="D1140" s="3" t="n">
        <v>45880</v>
      </c>
      <c r="E1140" s="2" t="s">
        <v>1503</v>
      </c>
      <c r="F1140" s="2" t="s">
        <v>26</v>
      </c>
      <c r="G1140" s="2" t="n">
        <v>8662</v>
      </c>
      <c r="H1140" s="2" t="n">
        <v>14</v>
      </c>
      <c r="I1140" s="2" t="n">
        <v>212</v>
      </c>
      <c r="J1140" s="2" t="n">
        <v>0</v>
      </c>
      <c r="K1140" s="2" t="n">
        <v>8058</v>
      </c>
      <c r="L1140" s="2" t="n">
        <v>4858</v>
      </c>
      <c r="M1140" s="2" t="n">
        <v>154</v>
      </c>
      <c r="N1140" s="2" t="n">
        <v>9</v>
      </c>
      <c r="O1140" s="2" t="n">
        <v>13</v>
      </c>
      <c r="P1140" s="2" t="n">
        <v>36</v>
      </c>
      <c r="Q1140" s="2" t="n">
        <v>63</v>
      </c>
      <c r="R1140" s="2" t="n">
        <v>8</v>
      </c>
      <c r="S1140" s="2" t="n">
        <v>4</v>
      </c>
      <c r="T1140" s="2" t="s">
        <v>33</v>
      </c>
      <c r="U1140" s="4" t="n">
        <f aca="false">(M1140+N1140+O1140+P1140)/L1140</f>
        <v>0.0436393577603952</v>
      </c>
      <c r="V1140" s="2" t="str">
        <f aca="false">IF(S1140&lt;=5,"Late night (0-5)",IF(S1140&lt;=11,"Morning (6-11)",IF(S1140&lt;=17,"Afternoon (12-17)","Evening (18-23)")))</f>
        <v>Late night (0-5)</v>
      </c>
    </row>
    <row r="1141" customFormat="false" ht="15" hidden="false" customHeight="false" outlineLevel="0" collapsed="false">
      <c r="A1141" s="2" t="s">
        <v>2040</v>
      </c>
      <c r="B1141" s="2" t="s">
        <v>426</v>
      </c>
      <c r="C1141" s="2" t="s">
        <v>30</v>
      </c>
      <c r="D1141" s="3" t="n">
        <v>45721</v>
      </c>
      <c r="E1141" s="2" t="s">
        <v>2041</v>
      </c>
      <c r="F1141" s="2" t="s">
        <v>38</v>
      </c>
      <c r="G1141" s="2" t="n">
        <v>40649</v>
      </c>
      <c r="H1141" s="2" t="n">
        <v>0</v>
      </c>
      <c r="I1141" s="2" t="n">
        <v>199</v>
      </c>
      <c r="J1141" s="2" t="n">
        <v>1</v>
      </c>
      <c r="K1141" s="2" t="n">
        <v>41235</v>
      </c>
      <c r="L1141" s="2" t="n">
        <v>29971</v>
      </c>
      <c r="M1141" s="2" t="n">
        <v>2356</v>
      </c>
      <c r="N1141" s="2" t="n">
        <v>100</v>
      </c>
      <c r="O1141" s="2" t="n">
        <v>283</v>
      </c>
      <c r="P1141" s="2" t="n">
        <v>467</v>
      </c>
      <c r="Q1141" s="2" t="n">
        <v>166</v>
      </c>
      <c r="R1141" s="2" t="n">
        <v>29</v>
      </c>
      <c r="S1141" s="2" t="n">
        <v>22</v>
      </c>
      <c r="T1141" s="2" t="s">
        <v>66</v>
      </c>
      <c r="U1141" s="4" t="n">
        <f aca="false">(M1141+N1141+O1141+P1141)/L1141</f>
        <v>0.1069700710687</v>
      </c>
      <c r="V1141" s="2" t="str">
        <f aca="false">IF(S1141&lt;=5,"Late night (0-5)",IF(S1141&lt;=11,"Morning (6-11)",IF(S1141&lt;=17,"Afternoon (12-17)","Evening (18-23)")))</f>
        <v>Evening (18-23)</v>
      </c>
    </row>
    <row r="1142" customFormat="false" ht="15" hidden="false" customHeight="false" outlineLevel="0" collapsed="false">
      <c r="A1142" s="2" t="s">
        <v>2042</v>
      </c>
      <c r="B1142" s="2" t="s">
        <v>60</v>
      </c>
      <c r="C1142" s="2" t="s">
        <v>41</v>
      </c>
      <c r="D1142" s="3" t="n">
        <v>45704</v>
      </c>
      <c r="E1142" s="2" t="s">
        <v>1403</v>
      </c>
      <c r="F1142" s="2" t="s">
        <v>32</v>
      </c>
      <c r="G1142" s="2" t="n">
        <v>7512</v>
      </c>
      <c r="H1142" s="2" t="n">
        <v>17</v>
      </c>
      <c r="I1142" s="2" t="n">
        <v>132</v>
      </c>
      <c r="J1142" s="2" t="n">
        <v>0</v>
      </c>
      <c r="K1142" s="2" t="n">
        <v>24497</v>
      </c>
      <c r="L1142" s="2" t="n">
        <v>19599</v>
      </c>
      <c r="M1142" s="2" t="n">
        <v>1692</v>
      </c>
      <c r="N1142" s="2" t="n">
        <v>91</v>
      </c>
      <c r="O1142" s="2" t="n">
        <v>421</v>
      </c>
      <c r="P1142" s="2" t="n">
        <v>285</v>
      </c>
      <c r="Q1142" s="2" t="n">
        <v>191</v>
      </c>
      <c r="R1142" s="2" t="n">
        <v>40</v>
      </c>
      <c r="S1142" s="2" t="n">
        <v>16</v>
      </c>
      <c r="T1142" s="2" t="s">
        <v>27</v>
      </c>
      <c r="U1142" s="4" t="n">
        <f aca="false">(M1142+N1142+O1142+P1142)/L1142</f>
        <v>0.126996275320169</v>
      </c>
      <c r="V1142" s="2" t="str">
        <f aca="false">IF(S1142&lt;=5,"Late night (0-5)",IF(S1142&lt;=11,"Morning (6-11)",IF(S1142&lt;=17,"Afternoon (12-17)","Evening (18-23)")))</f>
        <v>Afternoon (12-17)</v>
      </c>
    </row>
    <row r="1143" customFormat="false" ht="15" hidden="false" customHeight="false" outlineLevel="0" collapsed="false">
      <c r="A1143" s="2" t="s">
        <v>2043</v>
      </c>
      <c r="B1143" s="2" t="s">
        <v>360</v>
      </c>
      <c r="C1143" s="2" t="s">
        <v>48</v>
      </c>
      <c r="D1143" s="3" t="n">
        <v>45889</v>
      </c>
      <c r="E1143" s="2" t="s">
        <v>1693</v>
      </c>
      <c r="F1143" s="2" t="s">
        <v>32</v>
      </c>
      <c r="G1143" s="2" t="n">
        <v>19542</v>
      </c>
      <c r="H1143" s="2" t="n">
        <v>12</v>
      </c>
      <c r="I1143" s="2" t="n">
        <v>46</v>
      </c>
      <c r="J1143" s="2" t="n">
        <v>0</v>
      </c>
      <c r="K1143" s="2" t="n">
        <v>49563</v>
      </c>
      <c r="L1143" s="2" t="n">
        <v>35317</v>
      </c>
      <c r="M1143" s="2" t="n">
        <v>3204</v>
      </c>
      <c r="N1143" s="2" t="n">
        <v>72</v>
      </c>
      <c r="O1143" s="2" t="n">
        <v>399</v>
      </c>
      <c r="P1143" s="2" t="n">
        <v>708</v>
      </c>
      <c r="Q1143" s="2" t="n">
        <v>467</v>
      </c>
      <c r="R1143" s="2" t="n">
        <v>32</v>
      </c>
      <c r="S1143" s="2" t="n">
        <v>15</v>
      </c>
      <c r="T1143" s="2" t="s">
        <v>66</v>
      </c>
      <c r="U1143" s="4" t="n">
        <f aca="false">(M1143+N1143+O1143+P1143)/L1143</f>
        <v>0.124104538890619</v>
      </c>
      <c r="V1143" s="2" t="str">
        <f aca="false">IF(S1143&lt;=5,"Late night (0-5)",IF(S1143&lt;=11,"Morning (6-11)",IF(S1143&lt;=17,"Afternoon (12-17)","Evening (18-23)")))</f>
        <v>Afternoon (12-17)</v>
      </c>
    </row>
    <row r="1144" customFormat="false" ht="15" hidden="false" customHeight="false" outlineLevel="0" collapsed="false">
      <c r="A1144" s="2" t="s">
        <v>2044</v>
      </c>
      <c r="B1144" s="2" t="s">
        <v>57</v>
      </c>
      <c r="C1144" s="2" t="s">
        <v>24</v>
      </c>
      <c r="D1144" s="3" t="n">
        <v>45920</v>
      </c>
      <c r="E1144" s="2" t="s">
        <v>2045</v>
      </c>
      <c r="F1144" s="2" t="s">
        <v>26</v>
      </c>
      <c r="G1144" s="2" t="n">
        <v>31021</v>
      </c>
      <c r="H1144" s="2" t="n">
        <v>12</v>
      </c>
      <c r="I1144" s="2" t="n">
        <v>315</v>
      </c>
      <c r="J1144" s="2" t="n">
        <v>1</v>
      </c>
      <c r="K1144" s="2" t="n">
        <v>66033</v>
      </c>
      <c r="L1144" s="2" t="n">
        <v>43627</v>
      </c>
      <c r="M1144" s="2" t="n">
        <v>2296</v>
      </c>
      <c r="N1144" s="2" t="n">
        <v>162</v>
      </c>
      <c r="O1144" s="2" t="n">
        <v>390</v>
      </c>
      <c r="P1144" s="2" t="n">
        <v>249</v>
      </c>
      <c r="Q1144" s="2" t="n">
        <v>836</v>
      </c>
      <c r="R1144" s="2" t="n">
        <v>105</v>
      </c>
      <c r="S1144" s="2" t="n">
        <v>17</v>
      </c>
      <c r="T1144" s="2" t="s">
        <v>62</v>
      </c>
      <c r="U1144" s="4" t="n">
        <f aca="false">(M1144+N1144+O1144+P1144)/L1144</f>
        <v>0.0709881495404222</v>
      </c>
      <c r="V1144" s="2" t="str">
        <f aca="false">IF(S1144&lt;=5,"Late night (0-5)",IF(S1144&lt;=11,"Morning (6-11)",IF(S1144&lt;=17,"Afternoon (12-17)","Evening (18-23)")))</f>
        <v>Afternoon (12-17)</v>
      </c>
    </row>
    <row r="1145" customFormat="false" ht="15" hidden="false" customHeight="false" outlineLevel="0" collapsed="false">
      <c r="A1145" s="2" t="s">
        <v>2046</v>
      </c>
      <c r="B1145" s="2" t="s">
        <v>123</v>
      </c>
      <c r="C1145" s="2" t="s">
        <v>24</v>
      </c>
      <c r="D1145" s="3" t="n">
        <v>45962</v>
      </c>
      <c r="E1145" s="2" t="s">
        <v>2031</v>
      </c>
      <c r="F1145" s="2" t="s">
        <v>38</v>
      </c>
      <c r="G1145" s="2" t="n">
        <v>41391</v>
      </c>
      <c r="H1145" s="2" t="n">
        <v>14</v>
      </c>
      <c r="I1145" s="2" t="n">
        <v>344</v>
      </c>
      <c r="J1145" s="2" t="n">
        <v>1</v>
      </c>
      <c r="K1145" s="2" t="n">
        <v>69238</v>
      </c>
      <c r="L1145" s="2" t="n">
        <v>50893</v>
      </c>
      <c r="M1145" s="2" t="n">
        <v>2589</v>
      </c>
      <c r="N1145" s="2" t="n">
        <v>64</v>
      </c>
      <c r="O1145" s="2" t="n">
        <v>109</v>
      </c>
      <c r="P1145" s="2" t="n">
        <v>374</v>
      </c>
      <c r="Q1145" s="2" t="n">
        <v>1432</v>
      </c>
      <c r="R1145" s="2" t="n">
        <v>330</v>
      </c>
      <c r="S1145" s="2" t="n">
        <v>12</v>
      </c>
      <c r="T1145" s="2" t="s">
        <v>62</v>
      </c>
      <c r="U1145" s="4" t="n">
        <f aca="false">(M1145+N1145+O1145+P1145)/L1145</f>
        <v>0.0616194761558564</v>
      </c>
      <c r="V1145" s="2" t="str">
        <f aca="false">IF(S1145&lt;=5,"Late night (0-5)",IF(S1145&lt;=11,"Morning (6-11)",IF(S1145&lt;=17,"Afternoon (12-17)","Evening (18-23)")))</f>
        <v>Afternoon (12-17)</v>
      </c>
    </row>
    <row r="1146" customFormat="false" ht="15" hidden="false" customHeight="false" outlineLevel="0" collapsed="false">
      <c r="A1146" s="2" t="s">
        <v>2047</v>
      </c>
      <c r="B1146" s="2" t="s">
        <v>83</v>
      </c>
      <c r="C1146" s="2" t="s">
        <v>84</v>
      </c>
      <c r="D1146" s="3" t="n">
        <v>45895</v>
      </c>
      <c r="E1146" s="2" t="s">
        <v>377</v>
      </c>
      <c r="F1146" s="2" t="s">
        <v>50</v>
      </c>
      <c r="G1146" s="2" t="n">
        <v>17918</v>
      </c>
      <c r="H1146" s="2" t="n">
        <v>8</v>
      </c>
      <c r="I1146" s="2" t="n">
        <v>191</v>
      </c>
      <c r="J1146" s="2" t="n">
        <v>0</v>
      </c>
      <c r="K1146" s="2" t="n">
        <v>12577</v>
      </c>
      <c r="L1146" s="2" t="n">
        <v>9650</v>
      </c>
      <c r="M1146" s="2" t="n">
        <v>528</v>
      </c>
      <c r="N1146" s="2" t="n">
        <v>34</v>
      </c>
      <c r="O1146" s="2" t="n">
        <v>46</v>
      </c>
      <c r="P1146" s="2" t="n">
        <v>74</v>
      </c>
      <c r="Q1146" s="2" t="n">
        <v>288</v>
      </c>
      <c r="R1146" s="2" t="n">
        <v>54</v>
      </c>
      <c r="S1146" s="2" t="n">
        <v>22</v>
      </c>
      <c r="T1146" s="2" t="s">
        <v>51</v>
      </c>
      <c r="U1146" s="4" t="n">
        <f aca="false">(M1146+N1146+O1146+P1146)/L1146</f>
        <v>0.0706735751295337</v>
      </c>
      <c r="V1146" s="2" t="str">
        <f aca="false">IF(S1146&lt;=5,"Late night (0-5)",IF(S1146&lt;=11,"Morning (6-11)",IF(S1146&lt;=17,"Afternoon (12-17)","Evening (18-23)")))</f>
        <v>Evening (18-23)</v>
      </c>
    </row>
    <row r="1147" customFormat="false" ht="15" hidden="false" customHeight="false" outlineLevel="0" collapsed="false">
      <c r="A1147" s="2" t="s">
        <v>2048</v>
      </c>
      <c r="B1147" s="2" t="s">
        <v>29</v>
      </c>
      <c r="C1147" s="2" t="s">
        <v>30</v>
      </c>
      <c r="D1147" s="3" t="n">
        <v>45938</v>
      </c>
      <c r="E1147" s="2" t="s">
        <v>1766</v>
      </c>
      <c r="F1147" s="2" t="s">
        <v>26</v>
      </c>
      <c r="G1147" s="2" t="n">
        <v>11612</v>
      </c>
      <c r="H1147" s="2" t="n">
        <v>12</v>
      </c>
      <c r="I1147" s="2" t="n">
        <v>234</v>
      </c>
      <c r="J1147" s="2" t="n">
        <v>1</v>
      </c>
      <c r="K1147" s="2" t="n">
        <v>9522</v>
      </c>
      <c r="L1147" s="2" t="n">
        <v>6322</v>
      </c>
      <c r="M1147" s="2" t="n">
        <v>421</v>
      </c>
      <c r="N1147" s="2" t="n">
        <v>21</v>
      </c>
      <c r="O1147" s="2" t="n">
        <v>52</v>
      </c>
      <c r="P1147" s="2" t="n">
        <v>127</v>
      </c>
      <c r="Q1147" s="2" t="n">
        <v>135</v>
      </c>
      <c r="R1147" s="2" t="n">
        <v>13</v>
      </c>
      <c r="S1147" s="2" t="n">
        <v>13</v>
      </c>
      <c r="T1147" s="2" t="s">
        <v>66</v>
      </c>
      <c r="U1147" s="4" t="n">
        <f aca="false">(M1147+N1147+O1147+P1147)/L1147</f>
        <v>0.0982284087314141</v>
      </c>
      <c r="V1147" s="2" t="str">
        <f aca="false">IF(S1147&lt;=5,"Late night (0-5)",IF(S1147&lt;=11,"Morning (6-11)",IF(S1147&lt;=17,"Afternoon (12-17)","Evening (18-23)")))</f>
        <v>Afternoon (12-17)</v>
      </c>
    </row>
    <row r="1148" customFormat="false" ht="15" hidden="false" customHeight="false" outlineLevel="0" collapsed="false">
      <c r="A1148" s="2" t="s">
        <v>2049</v>
      </c>
      <c r="B1148" s="2" t="s">
        <v>310</v>
      </c>
      <c r="C1148" s="2" t="s">
        <v>91</v>
      </c>
      <c r="D1148" s="3" t="n">
        <v>45663</v>
      </c>
      <c r="E1148" s="2" t="s">
        <v>2050</v>
      </c>
      <c r="F1148" s="2" t="s">
        <v>38</v>
      </c>
      <c r="G1148" s="2" t="n">
        <v>56571</v>
      </c>
      <c r="H1148" s="2" t="n">
        <v>16</v>
      </c>
      <c r="I1148" s="2" t="n">
        <v>222</v>
      </c>
      <c r="J1148" s="2" t="n">
        <v>0</v>
      </c>
      <c r="K1148" s="2" t="n">
        <v>49540</v>
      </c>
      <c r="L1148" s="2" t="n">
        <v>43611</v>
      </c>
      <c r="M1148" s="2" t="n">
        <v>2881</v>
      </c>
      <c r="N1148" s="2" t="n">
        <v>165</v>
      </c>
      <c r="O1148" s="2" t="n">
        <v>109</v>
      </c>
      <c r="P1148" s="2" t="n">
        <v>416</v>
      </c>
      <c r="Q1148" s="2" t="n">
        <v>886</v>
      </c>
      <c r="R1148" s="2" t="n">
        <v>189</v>
      </c>
      <c r="S1148" s="2" t="n">
        <v>7</v>
      </c>
      <c r="T1148" s="2" t="s">
        <v>33</v>
      </c>
      <c r="U1148" s="4" t="n">
        <f aca="false">(M1148+N1148+O1148+P1148)/L1148</f>
        <v>0.0818830111669074</v>
      </c>
      <c r="V1148" s="2" t="str">
        <f aca="false">IF(S1148&lt;=5,"Late night (0-5)",IF(S1148&lt;=11,"Morning (6-11)",IF(S1148&lt;=17,"Afternoon (12-17)","Evening (18-23)")))</f>
        <v>Morning (6-11)</v>
      </c>
    </row>
    <row r="1149" customFormat="false" ht="15" hidden="false" customHeight="false" outlineLevel="0" collapsed="false">
      <c r="A1149" s="2" t="s">
        <v>2051</v>
      </c>
      <c r="B1149" s="2" t="s">
        <v>247</v>
      </c>
      <c r="C1149" s="2" t="s">
        <v>24</v>
      </c>
      <c r="D1149" s="3" t="n">
        <v>46014</v>
      </c>
      <c r="E1149" s="2" t="s">
        <v>2052</v>
      </c>
      <c r="F1149" s="2" t="s">
        <v>50</v>
      </c>
      <c r="G1149" s="2" t="n">
        <v>70847</v>
      </c>
      <c r="H1149" s="2" t="n">
        <v>4</v>
      </c>
      <c r="I1149" s="2" t="n">
        <v>211</v>
      </c>
      <c r="J1149" s="2" t="n">
        <v>0</v>
      </c>
      <c r="K1149" s="2" t="n">
        <v>154474</v>
      </c>
      <c r="L1149" s="2" t="n">
        <v>124348</v>
      </c>
      <c r="M1149" s="2" t="n">
        <v>8602</v>
      </c>
      <c r="N1149" s="2" t="n">
        <v>343</v>
      </c>
      <c r="O1149" s="2" t="n">
        <v>752</v>
      </c>
      <c r="P1149" s="2" t="n">
        <v>1333</v>
      </c>
      <c r="Q1149" s="2" t="n">
        <v>3270</v>
      </c>
      <c r="R1149" s="2" t="n">
        <v>358</v>
      </c>
      <c r="S1149" s="2" t="n">
        <v>11</v>
      </c>
      <c r="T1149" s="2" t="s">
        <v>51</v>
      </c>
      <c r="U1149" s="4" t="n">
        <f aca="false">(M1149+N1149+O1149+P1149)/L1149</f>
        <v>0.0887026731431145</v>
      </c>
      <c r="V1149" s="2" t="str">
        <f aca="false">IF(S1149&lt;=5,"Late night (0-5)",IF(S1149&lt;=11,"Morning (6-11)",IF(S1149&lt;=17,"Afternoon (12-17)","Evening (18-23)")))</f>
        <v>Morning (6-11)</v>
      </c>
    </row>
    <row r="1150" customFormat="false" ht="15" hidden="false" customHeight="false" outlineLevel="0" collapsed="false">
      <c r="A1150" s="2" t="s">
        <v>2053</v>
      </c>
      <c r="B1150" s="2" t="s">
        <v>310</v>
      </c>
      <c r="C1150" s="2" t="s">
        <v>91</v>
      </c>
      <c r="D1150" s="3" t="n">
        <v>45738</v>
      </c>
      <c r="E1150" s="2" t="s">
        <v>1932</v>
      </c>
      <c r="F1150" s="2" t="s">
        <v>26</v>
      </c>
      <c r="G1150" s="2" t="n">
        <v>56571</v>
      </c>
      <c r="H1150" s="2" t="n">
        <v>13</v>
      </c>
      <c r="I1150" s="2" t="n">
        <v>153</v>
      </c>
      <c r="J1150" s="2" t="n">
        <v>0</v>
      </c>
      <c r="K1150" s="2" t="n">
        <v>22078</v>
      </c>
      <c r="L1150" s="2" t="n">
        <v>16685</v>
      </c>
      <c r="M1150" s="2" t="n">
        <v>1018</v>
      </c>
      <c r="N1150" s="2" t="n">
        <v>57</v>
      </c>
      <c r="O1150" s="2" t="n">
        <v>94</v>
      </c>
      <c r="P1150" s="2" t="n">
        <v>290</v>
      </c>
      <c r="Q1150" s="2" t="n">
        <v>264</v>
      </c>
      <c r="R1150" s="2" t="n">
        <v>71</v>
      </c>
      <c r="S1150" s="2" t="n">
        <v>2</v>
      </c>
      <c r="T1150" s="2" t="s">
        <v>62</v>
      </c>
      <c r="U1150" s="4" t="n">
        <f aca="false">(M1150+N1150+O1150+P1150)/L1150</f>
        <v>0.0874438118070123</v>
      </c>
      <c r="V1150" s="2" t="str">
        <f aca="false">IF(S1150&lt;=5,"Late night (0-5)",IF(S1150&lt;=11,"Morning (6-11)",IF(S1150&lt;=17,"Afternoon (12-17)","Evening (18-23)")))</f>
        <v>Late night (0-5)</v>
      </c>
    </row>
    <row r="1151" customFormat="false" ht="15" hidden="false" customHeight="false" outlineLevel="0" collapsed="false">
      <c r="A1151" s="2" t="s">
        <v>2054</v>
      </c>
      <c r="B1151" s="2" t="s">
        <v>462</v>
      </c>
      <c r="C1151" s="2" t="s">
        <v>84</v>
      </c>
      <c r="D1151" s="3" t="n">
        <v>45932</v>
      </c>
      <c r="E1151" s="2" t="s">
        <v>2055</v>
      </c>
      <c r="F1151" s="2" t="s">
        <v>32</v>
      </c>
      <c r="G1151" s="2" t="n">
        <v>43510</v>
      </c>
      <c r="H1151" s="2" t="n">
        <v>14</v>
      </c>
      <c r="I1151" s="2" t="n">
        <v>253</v>
      </c>
      <c r="J1151" s="2" t="n">
        <v>0</v>
      </c>
      <c r="K1151" s="2" t="n">
        <v>118584</v>
      </c>
      <c r="L1151" s="2" t="n">
        <v>70210</v>
      </c>
      <c r="M1151" s="2" t="n">
        <v>5209</v>
      </c>
      <c r="N1151" s="2" t="n">
        <v>350</v>
      </c>
      <c r="O1151" s="2" t="n">
        <v>1464</v>
      </c>
      <c r="P1151" s="2" t="n">
        <v>290</v>
      </c>
      <c r="Q1151" s="2" t="n">
        <v>1074</v>
      </c>
      <c r="R1151" s="2" t="n">
        <v>108</v>
      </c>
      <c r="S1151" s="2" t="n">
        <v>11</v>
      </c>
      <c r="T1151" s="2" t="s">
        <v>79</v>
      </c>
      <c r="U1151" s="4" t="n">
        <f aca="false">(M1151+N1151+O1151+P1151)/L1151</f>
        <v>0.10415895171628</v>
      </c>
      <c r="V1151" s="2" t="str">
        <f aca="false">IF(S1151&lt;=5,"Late night (0-5)",IF(S1151&lt;=11,"Morning (6-11)",IF(S1151&lt;=17,"Afternoon (12-17)","Evening (18-23)")))</f>
        <v>Morning (6-11)</v>
      </c>
    </row>
    <row r="1152" customFormat="false" ht="15" hidden="false" customHeight="false" outlineLevel="0" collapsed="false">
      <c r="A1152" s="2" t="s">
        <v>2056</v>
      </c>
      <c r="B1152" s="2" t="s">
        <v>319</v>
      </c>
      <c r="C1152" s="2" t="s">
        <v>84</v>
      </c>
      <c r="D1152" s="3" t="n">
        <v>45854</v>
      </c>
      <c r="E1152" s="2" t="s">
        <v>2057</v>
      </c>
      <c r="F1152" s="2" t="s">
        <v>32</v>
      </c>
      <c r="G1152" s="2" t="n">
        <v>49810</v>
      </c>
      <c r="H1152" s="2" t="n">
        <v>19</v>
      </c>
      <c r="I1152" s="2" t="n">
        <v>255</v>
      </c>
      <c r="J1152" s="2" t="n">
        <v>0</v>
      </c>
      <c r="K1152" s="2" t="n">
        <v>157724</v>
      </c>
      <c r="L1152" s="2" t="n">
        <v>89455</v>
      </c>
      <c r="M1152" s="2" t="n">
        <v>6685</v>
      </c>
      <c r="N1152" s="2" t="n">
        <v>385</v>
      </c>
      <c r="O1152" s="2" t="n">
        <v>615</v>
      </c>
      <c r="P1152" s="2" t="n">
        <v>1237</v>
      </c>
      <c r="Q1152" s="2" t="n">
        <v>1308</v>
      </c>
      <c r="R1152" s="2" t="n">
        <v>369</v>
      </c>
      <c r="S1152" s="2" t="n">
        <v>22</v>
      </c>
      <c r="T1152" s="2" t="s">
        <v>66</v>
      </c>
      <c r="U1152" s="4" t="n">
        <f aca="false">(M1152+N1152+O1152+P1152)/L1152</f>
        <v>0.099737298082835</v>
      </c>
      <c r="V1152" s="2" t="str">
        <f aca="false">IF(S1152&lt;=5,"Late night (0-5)",IF(S1152&lt;=11,"Morning (6-11)",IF(S1152&lt;=17,"Afternoon (12-17)","Evening (18-23)")))</f>
        <v>Evening (18-23)</v>
      </c>
    </row>
    <row r="1153" customFormat="false" ht="15" hidden="false" customHeight="false" outlineLevel="0" collapsed="false">
      <c r="A1153" s="2" t="s">
        <v>2058</v>
      </c>
      <c r="B1153" s="2" t="s">
        <v>264</v>
      </c>
      <c r="C1153" s="2" t="s">
        <v>36</v>
      </c>
      <c r="D1153" s="3" t="n">
        <v>45684</v>
      </c>
      <c r="E1153" s="2" t="s">
        <v>1503</v>
      </c>
      <c r="F1153" s="2" t="s">
        <v>38</v>
      </c>
      <c r="G1153" s="2" t="n">
        <v>22362</v>
      </c>
      <c r="H1153" s="2" t="n">
        <v>12</v>
      </c>
      <c r="I1153" s="2" t="n">
        <v>129</v>
      </c>
      <c r="J1153" s="2" t="n">
        <v>0</v>
      </c>
      <c r="K1153" s="2" t="n">
        <v>5569</v>
      </c>
      <c r="L1153" s="2" t="n">
        <v>4301</v>
      </c>
      <c r="M1153" s="2" t="n">
        <v>221</v>
      </c>
      <c r="N1153" s="2" t="n">
        <v>15</v>
      </c>
      <c r="O1153" s="2" t="n">
        <v>8</v>
      </c>
      <c r="P1153" s="2" t="n">
        <v>53</v>
      </c>
      <c r="Q1153" s="2" t="n">
        <v>110</v>
      </c>
      <c r="R1153" s="2" t="n">
        <v>24</v>
      </c>
      <c r="S1153" s="2" t="n">
        <v>4</v>
      </c>
      <c r="T1153" s="2" t="s">
        <v>33</v>
      </c>
      <c r="U1153" s="4" t="n">
        <f aca="false">(M1153+N1153+O1153+P1153)/L1153</f>
        <v>0.0690537084398977</v>
      </c>
      <c r="V1153" s="2" t="str">
        <f aca="false">IF(S1153&lt;=5,"Late night (0-5)",IF(S1153&lt;=11,"Morning (6-11)",IF(S1153&lt;=17,"Afternoon (12-17)","Evening (18-23)")))</f>
        <v>Late night (0-5)</v>
      </c>
    </row>
    <row r="1154" customFormat="false" ht="15" hidden="false" customHeight="false" outlineLevel="0" collapsed="false">
      <c r="A1154" s="2" t="s">
        <v>2059</v>
      </c>
      <c r="B1154" s="2" t="s">
        <v>135</v>
      </c>
      <c r="C1154" s="2" t="s">
        <v>36</v>
      </c>
      <c r="D1154" s="3" t="n">
        <v>45964</v>
      </c>
      <c r="E1154" s="2" t="s">
        <v>2060</v>
      </c>
      <c r="F1154" s="2" t="s">
        <v>38</v>
      </c>
      <c r="G1154" s="2" t="n">
        <v>45812</v>
      </c>
      <c r="H1154" s="2" t="n">
        <v>11</v>
      </c>
      <c r="I1154" s="2" t="n">
        <v>10</v>
      </c>
      <c r="J1154" s="2" t="n">
        <v>1</v>
      </c>
      <c r="K1154" s="2" t="n">
        <v>21965</v>
      </c>
      <c r="L1154" s="2" t="n">
        <v>15806</v>
      </c>
      <c r="M1154" s="2" t="n">
        <v>1273</v>
      </c>
      <c r="N1154" s="2" t="n">
        <v>74</v>
      </c>
      <c r="O1154" s="2" t="n">
        <v>131</v>
      </c>
      <c r="P1154" s="2" t="n">
        <v>135</v>
      </c>
      <c r="Q1154" s="2" t="n">
        <v>268</v>
      </c>
      <c r="R1154" s="2" t="n">
        <v>24</v>
      </c>
      <c r="S1154" s="2" t="n">
        <v>6</v>
      </c>
      <c r="T1154" s="2" t="s">
        <v>33</v>
      </c>
      <c r="U1154" s="4" t="n">
        <f aca="false">(M1154+N1154+O1154+P1154)/L1154</f>
        <v>0.102049854485638</v>
      </c>
      <c r="V1154" s="2" t="str">
        <f aca="false">IF(S1154&lt;=5,"Late night (0-5)",IF(S1154&lt;=11,"Morning (6-11)",IF(S1154&lt;=17,"Afternoon (12-17)","Evening (18-23)")))</f>
        <v>Morning (6-11)</v>
      </c>
    </row>
    <row r="1155" customFormat="false" ht="15" hidden="false" customHeight="false" outlineLevel="0" collapsed="false">
      <c r="A1155" s="2" t="s">
        <v>2061</v>
      </c>
      <c r="B1155" s="2" t="s">
        <v>94</v>
      </c>
      <c r="C1155" s="2" t="s">
        <v>30</v>
      </c>
      <c r="D1155" s="3" t="n">
        <v>45873</v>
      </c>
      <c r="E1155" s="2" t="s">
        <v>795</v>
      </c>
      <c r="F1155" s="2" t="s">
        <v>38</v>
      </c>
      <c r="G1155" s="2" t="n">
        <v>58559</v>
      </c>
      <c r="H1155" s="2" t="n">
        <v>14</v>
      </c>
      <c r="I1155" s="2" t="n">
        <v>301</v>
      </c>
      <c r="J1155" s="2" t="n">
        <v>0</v>
      </c>
      <c r="K1155" s="2" t="n">
        <v>48426</v>
      </c>
      <c r="L1155" s="2" t="n">
        <v>36984</v>
      </c>
      <c r="M1155" s="2" t="n">
        <v>1823</v>
      </c>
      <c r="N1155" s="2" t="n">
        <v>129</v>
      </c>
      <c r="O1155" s="2" t="n">
        <v>331</v>
      </c>
      <c r="P1155" s="2" t="n">
        <v>507</v>
      </c>
      <c r="Q1155" s="2" t="n">
        <v>455</v>
      </c>
      <c r="R1155" s="2" t="n">
        <v>36</v>
      </c>
      <c r="S1155" s="2" t="n">
        <v>9</v>
      </c>
      <c r="T1155" s="2" t="s">
        <v>33</v>
      </c>
      <c r="U1155" s="4" t="n">
        <f aca="false">(M1155+N1155+O1155+P1155)/L1155</f>
        <v>0.0754380272550292</v>
      </c>
      <c r="V1155" s="2" t="str">
        <f aca="false">IF(S1155&lt;=5,"Late night (0-5)",IF(S1155&lt;=11,"Morning (6-11)",IF(S1155&lt;=17,"Afternoon (12-17)","Evening (18-23)")))</f>
        <v>Morning (6-11)</v>
      </c>
    </row>
    <row r="1156" customFormat="false" ht="15" hidden="false" customHeight="false" outlineLevel="0" collapsed="false">
      <c r="A1156" s="2" t="s">
        <v>2062</v>
      </c>
      <c r="B1156" s="2" t="s">
        <v>452</v>
      </c>
      <c r="C1156" s="2" t="s">
        <v>91</v>
      </c>
      <c r="D1156" s="3" t="n">
        <v>45878</v>
      </c>
      <c r="E1156" s="2" t="s">
        <v>2063</v>
      </c>
      <c r="F1156" s="2" t="s">
        <v>38</v>
      </c>
      <c r="G1156" s="2" t="n">
        <v>14201</v>
      </c>
      <c r="H1156" s="2" t="n">
        <v>4</v>
      </c>
      <c r="I1156" s="2" t="n">
        <v>240</v>
      </c>
      <c r="J1156" s="2" t="n">
        <v>1</v>
      </c>
      <c r="K1156" s="2" t="n">
        <v>40176</v>
      </c>
      <c r="L1156" s="2" t="n">
        <v>25241</v>
      </c>
      <c r="M1156" s="2" t="n">
        <v>1959</v>
      </c>
      <c r="N1156" s="2" t="n">
        <v>84</v>
      </c>
      <c r="O1156" s="2" t="n">
        <v>66</v>
      </c>
      <c r="P1156" s="2" t="n">
        <v>498</v>
      </c>
      <c r="Q1156" s="2" t="n">
        <v>256</v>
      </c>
      <c r="R1156" s="2" t="n">
        <v>34</v>
      </c>
      <c r="S1156" s="2" t="n">
        <v>12</v>
      </c>
      <c r="T1156" s="2" t="s">
        <v>62</v>
      </c>
      <c r="U1156" s="4" t="n">
        <f aca="false">(M1156+N1156+O1156+P1156)/L1156</f>
        <v>0.103284338972307</v>
      </c>
      <c r="V1156" s="2" t="str">
        <f aca="false">IF(S1156&lt;=5,"Late night (0-5)",IF(S1156&lt;=11,"Morning (6-11)",IF(S1156&lt;=17,"Afternoon (12-17)","Evening (18-23)")))</f>
        <v>Afternoon (12-17)</v>
      </c>
    </row>
    <row r="1157" customFormat="false" ht="15" hidden="false" customHeight="false" outlineLevel="0" collapsed="false">
      <c r="A1157" s="2" t="s">
        <v>2064</v>
      </c>
      <c r="B1157" s="2" t="s">
        <v>426</v>
      </c>
      <c r="C1157" s="2" t="s">
        <v>30</v>
      </c>
      <c r="D1157" s="3" t="n">
        <v>45943</v>
      </c>
      <c r="E1157" s="2" t="s">
        <v>238</v>
      </c>
      <c r="F1157" s="2" t="s">
        <v>26</v>
      </c>
      <c r="G1157" s="2" t="n">
        <v>40649</v>
      </c>
      <c r="H1157" s="2" t="n">
        <v>12</v>
      </c>
      <c r="I1157" s="2" t="n">
        <v>288</v>
      </c>
      <c r="J1157" s="2" t="n">
        <v>0</v>
      </c>
      <c r="K1157" s="2" t="n">
        <v>13929</v>
      </c>
      <c r="L1157" s="2" t="n">
        <v>10842</v>
      </c>
      <c r="M1157" s="2" t="n">
        <v>673</v>
      </c>
      <c r="N1157" s="2" t="n">
        <v>22</v>
      </c>
      <c r="O1157" s="2" t="n">
        <v>119</v>
      </c>
      <c r="P1157" s="2" t="n">
        <v>223</v>
      </c>
      <c r="Q1157" s="2" t="n">
        <v>165</v>
      </c>
      <c r="R1157" s="2" t="n">
        <v>39</v>
      </c>
      <c r="S1157" s="2" t="n">
        <v>4</v>
      </c>
      <c r="T1157" s="2" t="s">
        <v>33</v>
      </c>
      <c r="U1157" s="4" t="n">
        <f aca="false">(M1157+N1157+O1157+P1157)/L1157</f>
        <v>0.0956465596753367</v>
      </c>
      <c r="V1157" s="2" t="str">
        <f aca="false">IF(S1157&lt;=5,"Late night (0-5)",IF(S1157&lt;=11,"Morning (6-11)",IF(S1157&lt;=17,"Afternoon (12-17)","Evening (18-23)")))</f>
        <v>Late night (0-5)</v>
      </c>
    </row>
    <row r="1158" customFormat="false" ht="15" hidden="false" customHeight="false" outlineLevel="0" collapsed="false">
      <c r="A1158" s="2" t="s">
        <v>2065</v>
      </c>
      <c r="B1158" s="2" t="s">
        <v>319</v>
      </c>
      <c r="C1158" s="2" t="s">
        <v>84</v>
      </c>
      <c r="D1158" s="3" t="n">
        <v>45803</v>
      </c>
      <c r="E1158" s="2" t="s">
        <v>510</v>
      </c>
      <c r="F1158" s="2" t="s">
        <v>32</v>
      </c>
      <c r="G1158" s="2" t="n">
        <v>49810</v>
      </c>
      <c r="H1158" s="2" t="n">
        <v>5</v>
      </c>
      <c r="I1158" s="2" t="n">
        <v>383</v>
      </c>
      <c r="J1158" s="2" t="n">
        <v>1</v>
      </c>
      <c r="K1158" s="2" t="n">
        <v>238902</v>
      </c>
      <c r="L1158" s="2" t="n">
        <v>153576</v>
      </c>
      <c r="M1158" s="2" t="n">
        <v>13587</v>
      </c>
      <c r="N1158" s="2" t="n">
        <v>313</v>
      </c>
      <c r="O1158" s="2" t="n">
        <v>1050</v>
      </c>
      <c r="P1158" s="2" t="n">
        <v>2194</v>
      </c>
      <c r="Q1158" s="2" t="n">
        <v>3043</v>
      </c>
      <c r="R1158" s="2" t="n">
        <v>497</v>
      </c>
      <c r="S1158" s="2" t="n">
        <v>11</v>
      </c>
      <c r="T1158" s="2" t="s">
        <v>33</v>
      </c>
      <c r="U1158" s="4" t="n">
        <f aca="false">(M1158+N1158+O1158+P1158)/L1158</f>
        <v>0.11163202583737</v>
      </c>
      <c r="V1158" s="2" t="str">
        <f aca="false">IF(S1158&lt;=5,"Late night (0-5)",IF(S1158&lt;=11,"Morning (6-11)",IF(S1158&lt;=17,"Afternoon (12-17)","Evening (18-23)")))</f>
        <v>Morning (6-11)</v>
      </c>
    </row>
    <row r="1159" customFormat="false" ht="15" hidden="false" customHeight="false" outlineLevel="0" collapsed="false">
      <c r="A1159" s="2" t="s">
        <v>2066</v>
      </c>
      <c r="B1159" s="2" t="s">
        <v>57</v>
      </c>
      <c r="C1159" s="2" t="s">
        <v>24</v>
      </c>
      <c r="D1159" s="3" t="n">
        <v>45717</v>
      </c>
      <c r="E1159" s="2" t="s">
        <v>1165</v>
      </c>
      <c r="F1159" s="2" t="s">
        <v>26</v>
      </c>
      <c r="G1159" s="2" t="n">
        <v>31021</v>
      </c>
      <c r="H1159" s="2" t="n">
        <v>19</v>
      </c>
      <c r="I1159" s="2" t="n">
        <v>239</v>
      </c>
      <c r="J1159" s="2" t="n">
        <v>0</v>
      </c>
      <c r="K1159" s="2" t="n">
        <v>17899</v>
      </c>
      <c r="L1159" s="2" t="n">
        <v>13192</v>
      </c>
      <c r="M1159" s="2" t="n">
        <v>985</v>
      </c>
      <c r="N1159" s="2" t="n">
        <v>31</v>
      </c>
      <c r="O1159" s="2" t="n">
        <v>129</v>
      </c>
      <c r="P1159" s="2" t="n">
        <v>321</v>
      </c>
      <c r="Q1159" s="2" t="n">
        <v>154</v>
      </c>
      <c r="R1159" s="2" t="n">
        <v>32</v>
      </c>
      <c r="S1159" s="2" t="n">
        <v>9</v>
      </c>
      <c r="T1159" s="2" t="s">
        <v>62</v>
      </c>
      <c r="U1159" s="4" t="n">
        <f aca="false">(M1159+N1159+O1159+P1159)/L1159</f>
        <v>0.111127956337174</v>
      </c>
      <c r="V1159" s="2" t="str">
        <f aca="false">IF(S1159&lt;=5,"Late night (0-5)",IF(S1159&lt;=11,"Morning (6-11)",IF(S1159&lt;=17,"Afternoon (12-17)","Evening (18-23)")))</f>
        <v>Morning (6-11)</v>
      </c>
    </row>
    <row r="1160" customFormat="false" ht="15" hidden="false" customHeight="false" outlineLevel="0" collapsed="false">
      <c r="A1160" s="2" t="s">
        <v>2067</v>
      </c>
      <c r="B1160" s="2" t="s">
        <v>138</v>
      </c>
      <c r="C1160" s="2" t="s">
        <v>41</v>
      </c>
      <c r="D1160" s="3" t="n">
        <v>45713</v>
      </c>
      <c r="E1160" s="2" t="s">
        <v>2068</v>
      </c>
      <c r="F1160" s="2" t="s">
        <v>38</v>
      </c>
      <c r="G1160" s="2" t="n">
        <v>18712</v>
      </c>
      <c r="H1160" s="2" t="n">
        <v>11</v>
      </c>
      <c r="I1160" s="2" t="n">
        <v>301</v>
      </c>
      <c r="J1160" s="2" t="n">
        <v>0</v>
      </c>
      <c r="K1160" s="2" t="n">
        <v>20465</v>
      </c>
      <c r="L1160" s="2" t="n">
        <v>17994</v>
      </c>
      <c r="M1160" s="2" t="n">
        <v>1336</v>
      </c>
      <c r="N1160" s="2" t="n">
        <v>40</v>
      </c>
      <c r="O1160" s="2" t="n">
        <v>136</v>
      </c>
      <c r="P1160" s="2" t="n">
        <v>229</v>
      </c>
      <c r="Q1160" s="2" t="n">
        <v>172</v>
      </c>
      <c r="R1160" s="2" t="n">
        <v>12</v>
      </c>
      <c r="S1160" s="2" t="n">
        <v>22</v>
      </c>
      <c r="T1160" s="2" t="s">
        <v>51</v>
      </c>
      <c r="U1160" s="4" t="n">
        <f aca="false">(M1160+N1160+O1160+P1160)/L1160</f>
        <v>0.0967544737134601</v>
      </c>
      <c r="V1160" s="2" t="str">
        <f aca="false">IF(S1160&lt;=5,"Late night (0-5)",IF(S1160&lt;=11,"Morning (6-11)",IF(S1160&lt;=17,"Afternoon (12-17)","Evening (18-23)")))</f>
        <v>Evening (18-23)</v>
      </c>
    </row>
    <row r="1161" customFormat="false" ht="15" hidden="false" customHeight="false" outlineLevel="0" collapsed="false">
      <c r="A1161" s="2" t="s">
        <v>2069</v>
      </c>
      <c r="B1161" s="2" t="s">
        <v>220</v>
      </c>
      <c r="C1161" s="2" t="s">
        <v>48</v>
      </c>
      <c r="D1161" s="3" t="n">
        <v>45932</v>
      </c>
      <c r="E1161" s="2" t="s">
        <v>2070</v>
      </c>
      <c r="F1161" s="2" t="s">
        <v>38</v>
      </c>
      <c r="G1161" s="2" t="n">
        <v>18917</v>
      </c>
      <c r="H1161" s="2" t="n">
        <v>22</v>
      </c>
      <c r="I1161" s="2" t="n">
        <v>118</v>
      </c>
      <c r="J1161" s="2" t="n">
        <v>1</v>
      </c>
      <c r="K1161" s="2" t="n">
        <v>3383</v>
      </c>
      <c r="L1161" s="2" t="n">
        <v>2436</v>
      </c>
      <c r="M1161" s="2" t="n">
        <v>145</v>
      </c>
      <c r="N1161" s="2" t="n">
        <v>11</v>
      </c>
      <c r="O1161" s="2" t="n">
        <v>5</v>
      </c>
      <c r="P1161" s="2" t="n">
        <v>28</v>
      </c>
      <c r="Q1161" s="2" t="n">
        <v>44</v>
      </c>
      <c r="R1161" s="2" t="n">
        <v>2</v>
      </c>
      <c r="S1161" s="2" t="n">
        <v>4</v>
      </c>
      <c r="T1161" s="2" t="s">
        <v>79</v>
      </c>
      <c r="U1161" s="4" t="n">
        <f aca="false">(M1161+N1161+O1161+P1161)/L1161</f>
        <v>0.0775862068965517</v>
      </c>
      <c r="V1161" s="2" t="str">
        <f aca="false">IF(S1161&lt;=5,"Late night (0-5)",IF(S1161&lt;=11,"Morning (6-11)",IF(S1161&lt;=17,"Afternoon (12-17)","Evening (18-23)")))</f>
        <v>Late night (0-5)</v>
      </c>
    </row>
    <row r="1162" customFormat="false" ht="15" hidden="false" customHeight="false" outlineLevel="0" collapsed="false">
      <c r="A1162" s="2" t="s">
        <v>2071</v>
      </c>
      <c r="B1162" s="2" t="s">
        <v>247</v>
      </c>
      <c r="C1162" s="2" t="s">
        <v>24</v>
      </c>
      <c r="D1162" s="3" t="n">
        <v>45709</v>
      </c>
      <c r="E1162" s="2" t="s">
        <v>2072</v>
      </c>
      <c r="F1162" s="2" t="s">
        <v>32</v>
      </c>
      <c r="G1162" s="2" t="n">
        <v>70847</v>
      </c>
      <c r="H1162" s="2" t="n">
        <v>8</v>
      </c>
      <c r="I1162" s="2" t="n">
        <v>278</v>
      </c>
      <c r="J1162" s="2" t="n">
        <v>0</v>
      </c>
      <c r="K1162" s="2" t="n">
        <v>149977</v>
      </c>
      <c r="L1162" s="2" t="n">
        <v>98202</v>
      </c>
      <c r="M1162" s="2" t="n">
        <v>7944</v>
      </c>
      <c r="N1162" s="2" t="n">
        <v>223</v>
      </c>
      <c r="O1162" s="2" t="n">
        <v>1762</v>
      </c>
      <c r="P1162" s="2" t="n">
        <v>1737</v>
      </c>
      <c r="Q1162" s="2" t="n">
        <v>2166</v>
      </c>
      <c r="R1162" s="2" t="n">
        <v>148</v>
      </c>
      <c r="S1162" s="2" t="n">
        <v>4</v>
      </c>
      <c r="T1162" s="2" t="s">
        <v>96</v>
      </c>
      <c r="U1162" s="4" t="n">
        <f aca="false">(M1162+N1162+O1162+P1162)/L1162</f>
        <v>0.118795951202623</v>
      </c>
      <c r="V1162" s="2" t="str">
        <f aca="false">IF(S1162&lt;=5,"Late night (0-5)",IF(S1162&lt;=11,"Morning (6-11)",IF(S1162&lt;=17,"Afternoon (12-17)","Evening (18-23)")))</f>
        <v>Late night (0-5)</v>
      </c>
    </row>
    <row r="1163" customFormat="false" ht="15" hidden="false" customHeight="false" outlineLevel="0" collapsed="false">
      <c r="A1163" s="2" t="s">
        <v>2073</v>
      </c>
      <c r="B1163" s="2" t="s">
        <v>154</v>
      </c>
      <c r="C1163" s="2" t="s">
        <v>41</v>
      </c>
      <c r="D1163" s="3" t="n">
        <v>45719</v>
      </c>
      <c r="E1163" s="2" t="s">
        <v>2074</v>
      </c>
      <c r="F1163" s="2" t="s">
        <v>38</v>
      </c>
      <c r="G1163" s="2" t="n">
        <v>33644</v>
      </c>
      <c r="H1163" s="2" t="n">
        <v>7</v>
      </c>
      <c r="I1163" s="2" t="n">
        <v>183</v>
      </c>
      <c r="J1163" s="2" t="n">
        <v>1</v>
      </c>
      <c r="K1163" s="2" t="n">
        <v>19392</v>
      </c>
      <c r="L1163" s="2" t="n">
        <v>15120</v>
      </c>
      <c r="M1163" s="2" t="n">
        <v>466</v>
      </c>
      <c r="N1163" s="2" t="n">
        <v>15</v>
      </c>
      <c r="O1163" s="2" t="n">
        <v>72</v>
      </c>
      <c r="P1163" s="2" t="n">
        <v>122</v>
      </c>
      <c r="Q1163" s="2" t="n">
        <v>415</v>
      </c>
      <c r="R1163" s="2" t="n">
        <v>61</v>
      </c>
      <c r="S1163" s="2" t="n">
        <v>19</v>
      </c>
      <c r="T1163" s="2" t="s">
        <v>33</v>
      </c>
      <c r="U1163" s="4" t="n">
        <f aca="false">(M1163+N1163+O1163+P1163)/L1163</f>
        <v>0.0446428571428571</v>
      </c>
      <c r="V1163" s="2" t="str">
        <f aca="false">IF(S1163&lt;=5,"Late night (0-5)",IF(S1163&lt;=11,"Morning (6-11)",IF(S1163&lt;=17,"Afternoon (12-17)","Evening (18-23)")))</f>
        <v>Evening (18-23)</v>
      </c>
    </row>
    <row r="1164" customFormat="false" ht="15" hidden="false" customHeight="false" outlineLevel="0" collapsed="false">
      <c r="A1164" s="2" t="s">
        <v>2075</v>
      </c>
      <c r="B1164" s="2" t="s">
        <v>220</v>
      </c>
      <c r="C1164" s="2" t="s">
        <v>48</v>
      </c>
      <c r="D1164" s="3" t="n">
        <v>45731</v>
      </c>
      <c r="E1164" s="2" t="s">
        <v>223</v>
      </c>
      <c r="F1164" s="2" t="s">
        <v>38</v>
      </c>
      <c r="G1164" s="2" t="n">
        <v>18917</v>
      </c>
      <c r="H1164" s="2" t="n">
        <v>16</v>
      </c>
      <c r="I1164" s="2" t="n">
        <v>232</v>
      </c>
      <c r="J1164" s="2" t="n">
        <v>1</v>
      </c>
      <c r="K1164" s="2" t="n">
        <v>23460</v>
      </c>
      <c r="L1164" s="2" t="n">
        <v>14784</v>
      </c>
      <c r="M1164" s="2" t="n">
        <v>544</v>
      </c>
      <c r="N1164" s="2" t="n">
        <v>13</v>
      </c>
      <c r="O1164" s="2" t="n">
        <v>31</v>
      </c>
      <c r="P1164" s="2" t="n">
        <v>136</v>
      </c>
      <c r="Q1164" s="2" t="n">
        <v>341</v>
      </c>
      <c r="R1164" s="2" t="n">
        <v>71</v>
      </c>
      <c r="S1164" s="2" t="n">
        <v>18</v>
      </c>
      <c r="T1164" s="2" t="s">
        <v>62</v>
      </c>
      <c r="U1164" s="4" t="n">
        <f aca="false">(M1164+N1164+O1164+P1164)/L1164</f>
        <v>0.0489718614718615</v>
      </c>
      <c r="V1164" s="2" t="str">
        <f aca="false">IF(S1164&lt;=5,"Late night (0-5)",IF(S1164&lt;=11,"Morning (6-11)",IF(S1164&lt;=17,"Afternoon (12-17)","Evening (18-23)")))</f>
        <v>Evening (18-23)</v>
      </c>
    </row>
    <row r="1165" customFormat="false" ht="15" hidden="false" customHeight="false" outlineLevel="0" collapsed="false">
      <c r="A1165" s="2" t="s">
        <v>2076</v>
      </c>
      <c r="B1165" s="2" t="s">
        <v>371</v>
      </c>
      <c r="C1165" s="2" t="s">
        <v>48</v>
      </c>
      <c r="D1165" s="3" t="n">
        <v>45828</v>
      </c>
      <c r="E1165" s="2" t="s">
        <v>1707</v>
      </c>
      <c r="F1165" s="2" t="s">
        <v>38</v>
      </c>
      <c r="G1165" s="2" t="n">
        <v>42479</v>
      </c>
      <c r="H1165" s="2" t="n">
        <v>3</v>
      </c>
      <c r="I1165" s="2" t="n">
        <v>275</v>
      </c>
      <c r="J1165" s="2" t="n">
        <v>0</v>
      </c>
      <c r="K1165" s="2" t="n">
        <v>7615</v>
      </c>
      <c r="L1165" s="2" t="n">
        <v>6472</v>
      </c>
      <c r="M1165" s="2" t="n">
        <v>289</v>
      </c>
      <c r="N1165" s="2" t="n">
        <v>12</v>
      </c>
      <c r="O1165" s="2" t="n">
        <v>49</v>
      </c>
      <c r="P1165" s="2" t="n">
        <v>50</v>
      </c>
      <c r="Q1165" s="2" t="n">
        <v>54</v>
      </c>
      <c r="R1165" s="2" t="n">
        <v>6</v>
      </c>
      <c r="S1165" s="2" t="n">
        <v>23</v>
      </c>
      <c r="T1165" s="2" t="s">
        <v>96</v>
      </c>
      <c r="U1165" s="4" t="n">
        <f aca="false">(M1165+N1165+O1165+P1165)/L1165</f>
        <v>0.0618046971569839</v>
      </c>
      <c r="V1165" s="2" t="str">
        <f aca="false">IF(S1165&lt;=5,"Late night (0-5)",IF(S1165&lt;=11,"Morning (6-11)",IF(S1165&lt;=17,"Afternoon (12-17)","Evening (18-23)")))</f>
        <v>Evening (18-23)</v>
      </c>
    </row>
    <row r="1166" customFormat="false" ht="15" hidden="false" customHeight="false" outlineLevel="0" collapsed="false">
      <c r="A1166" s="2" t="s">
        <v>2077</v>
      </c>
      <c r="B1166" s="2" t="s">
        <v>164</v>
      </c>
      <c r="C1166" s="2" t="s">
        <v>36</v>
      </c>
      <c r="D1166" s="3" t="n">
        <v>45935</v>
      </c>
      <c r="E1166" s="2" t="s">
        <v>2005</v>
      </c>
      <c r="F1166" s="2" t="s">
        <v>32</v>
      </c>
      <c r="G1166" s="2" t="n">
        <v>44230</v>
      </c>
      <c r="H1166" s="2" t="n">
        <v>15</v>
      </c>
      <c r="I1166" s="2" t="n">
        <v>356</v>
      </c>
      <c r="J1166" s="2" t="n">
        <v>0</v>
      </c>
      <c r="K1166" s="2" t="n">
        <v>36269</v>
      </c>
      <c r="L1166" s="2" t="n">
        <v>22229</v>
      </c>
      <c r="M1166" s="2" t="n">
        <v>2041</v>
      </c>
      <c r="N1166" s="2" t="n">
        <v>122</v>
      </c>
      <c r="O1166" s="2" t="n">
        <v>562</v>
      </c>
      <c r="P1166" s="2" t="n">
        <v>477</v>
      </c>
      <c r="Q1166" s="2" t="n">
        <v>254</v>
      </c>
      <c r="R1166" s="2" t="n">
        <v>44</v>
      </c>
      <c r="S1166" s="2" t="n">
        <v>9</v>
      </c>
      <c r="T1166" s="2" t="s">
        <v>27</v>
      </c>
      <c r="U1166" s="4" t="n">
        <f aca="false">(M1166+N1166+O1166+P1166)/L1166</f>
        <v>0.144046065949885</v>
      </c>
      <c r="V1166" s="2" t="str">
        <f aca="false">IF(S1166&lt;=5,"Late night (0-5)",IF(S1166&lt;=11,"Morning (6-11)",IF(S1166&lt;=17,"Afternoon (12-17)","Evening (18-23)")))</f>
        <v>Morning (6-11)</v>
      </c>
    </row>
    <row r="1167" customFormat="false" ht="15" hidden="false" customHeight="false" outlineLevel="0" collapsed="false">
      <c r="A1167" s="2" t="s">
        <v>2078</v>
      </c>
      <c r="B1167" s="2" t="s">
        <v>310</v>
      </c>
      <c r="C1167" s="2" t="s">
        <v>91</v>
      </c>
      <c r="D1167" s="3" t="n">
        <v>45971</v>
      </c>
      <c r="E1167" s="2" t="s">
        <v>1848</v>
      </c>
      <c r="F1167" s="2" t="s">
        <v>32</v>
      </c>
      <c r="G1167" s="2" t="n">
        <v>56571</v>
      </c>
      <c r="H1167" s="2" t="n">
        <v>13</v>
      </c>
      <c r="I1167" s="2" t="n">
        <v>64</v>
      </c>
      <c r="J1167" s="2" t="n">
        <v>0</v>
      </c>
      <c r="K1167" s="2" t="n">
        <v>47221</v>
      </c>
      <c r="L1167" s="2" t="n">
        <v>28927</v>
      </c>
      <c r="M1167" s="2" t="n">
        <v>1656</v>
      </c>
      <c r="N1167" s="2" t="n">
        <v>61</v>
      </c>
      <c r="O1167" s="2" t="n">
        <v>281</v>
      </c>
      <c r="P1167" s="2" t="n">
        <v>196</v>
      </c>
      <c r="Q1167" s="2" t="n">
        <v>627</v>
      </c>
      <c r="R1167" s="2" t="n">
        <v>148</v>
      </c>
      <c r="S1167" s="2" t="n">
        <v>0</v>
      </c>
      <c r="T1167" s="2" t="s">
        <v>33</v>
      </c>
      <c r="U1167" s="4" t="n">
        <f aca="false">(M1167+N1167+O1167+P1167)/L1167</f>
        <v>0.0758460953434508</v>
      </c>
      <c r="V1167" s="2" t="str">
        <f aca="false">IF(S1167&lt;=5,"Late night (0-5)",IF(S1167&lt;=11,"Morning (6-11)",IF(S1167&lt;=17,"Afternoon (12-17)","Evening (18-23)")))</f>
        <v>Late night (0-5)</v>
      </c>
    </row>
    <row r="1168" customFormat="false" ht="15" hidden="false" customHeight="false" outlineLevel="0" collapsed="false">
      <c r="A1168" s="2" t="s">
        <v>2079</v>
      </c>
      <c r="B1168" s="2" t="s">
        <v>220</v>
      </c>
      <c r="C1168" s="2" t="s">
        <v>48</v>
      </c>
      <c r="D1168" s="3" t="n">
        <v>46003</v>
      </c>
      <c r="E1168" s="2" t="s">
        <v>2080</v>
      </c>
      <c r="F1168" s="2" t="s">
        <v>26</v>
      </c>
      <c r="G1168" s="2" t="n">
        <v>18917</v>
      </c>
      <c r="H1168" s="2" t="n">
        <v>11</v>
      </c>
      <c r="I1168" s="2" t="n">
        <v>182</v>
      </c>
      <c r="J1168" s="2" t="n">
        <v>0</v>
      </c>
      <c r="K1168" s="2" t="n">
        <v>11979</v>
      </c>
      <c r="L1168" s="2" t="n">
        <v>7263</v>
      </c>
      <c r="M1168" s="2" t="n">
        <v>403</v>
      </c>
      <c r="N1168" s="2" t="n">
        <v>22</v>
      </c>
      <c r="O1168" s="2" t="n">
        <v>12</v>
      </c>
      <c r="P1168" s="2" t="n">
        <v>116</v>
      </c>
      <c r="Q1168" s="2" t="n">
        <v>87</v>
      </c>
      <c r="R1168" s="2" t="n">
        <v>15</v>
      </c>
      <c r="S1168" s="2" t="n">
        <v>7</v>
      </c>
      <c r="T1168" s="2" t="s">
        <v>96</v>
      </c>
      <c r="U1168" s="4" t="n">
        <f aca="false">(M1168+N1168+O1168+P1168)/L1168</f>
        <v>0.0761393363623847</v>
      </c>
      <c r="V1168" s="2" t="str">
        <f aca="false">IF(S1168&lt;=5,"Late night (0-5)",IF(S1168&lt;=11,"Morning (6-11)",IF(S1168&lt;=17,"Afternoon (12-17)","Evening (18-23)")))</f>
        <v>Morning (6-11)</v>
      </c>
    </row>
    <row r="1169" customFormat="false" ht="15" hidden="false" customHeight="false" outlineLevel="0" collapsed="false">
      <c r="A1169" s="2" t="s">
        <v>2081</v>
      </c>
      <c r="B1169" s="2" t="s">
        <v>310</v>
      </c>
      <c r="C1169" s="2" t="s">
        <v>91</v>
      </c>
      <c r="D1169" s="3" t="n">
        <v>45705</v>
      </c>
      <c r="E1169" s="2" t="s">
        <v>2082</v>
      </c>
      <c r="F1169" s="2" t="s">
        <v>32</v>
      </c>
      <c r="G1169" s="2" t="n">
        <v>56571</v>
      </c>
      <c r="H1169" s="2" t="n">
        <v>16</v>
      </c>
      <c r="I1169" s="2" t="n">
        <v>275</v>
      </c>
      <c r="J1169" s="2" t="n">
        <v>1</v>
      </c>
      <c r="K1169" s="2" t="n">
        <v>86645</v>
      </c>
      <c r="L1169" s="2" t="n">
        <v>61236</v>
      </c>
      <c r="M1169" s="2" t="n">
        <v>4363</v>
      </c>
      <c r="N1169" s="2" t="n">
        <v>165</v>
      </c>
      <c r="O1169" s="2" t="n">
        <v>291</v>
      </c>
      <c r="P1169" s="2" t="n">
        <v>859</v>
      </c>
      <c r="Q1169" s="2" t="n">
        <v>833</v>
      </c>
      <c r="R1169" s="2" t="n">
        <v>171</v>
      </c>
      <c r="S1169" s="2" t="n">
        <v>20</v>
      </c>
      <c r="T1169" s="2" t="s">
        <v>33</v>
      </c>
      <c r="U1169" s="4" t="n">
        <f aca="false">(M1169+N1169+O1169+P1169)/L1169</f>
        <v>0.0927232346985433</v>
      </c>
      <c r="V1169" s="2" t="str">
        <f aca="false">IF(S1169&lt;=5,"Late night (0-5)",IF(S1169&lt;=11,"Morning (6-11)",IF(S1169&lt;=17,"Afternoon (12-17)","Evening (18-23)")))</f>
        <v>Evening (18-23)</v>
      </c>
    </row>
    <row r="1170" customFormat="false" ht="15" hidden="false" customHeight="false" outlineLevel="0" collapsed="false">
      <c r="A1170" s="2" t="s">
        <v>2083</v>
      </c>
      <c r="B1170" s="2" t="s">
        <v>138</v>
      </c>
      <c r="C1170" s="2" t="s">
        <v>41</v>
      </c>
      <c r="D1170" s="3" t="n">
        <v>45919</v>
      </c>
      <c r="E1170" s="2" t="s">
        <v>2084</v>
      </c>
      <c r="F1170" s="2" t="s">
        <v>32</v>
      </c>
      <c r="G1170" s="2" t="n">
        <v>18712</v>
      </c>
      <c r="H1170" s="2" t="n">
        <v>8</v>
      </c>
      <c r="I1170" s="2" t="n">
        <v>180</v>
      </c>
      <c r="J1170" s="2" t="n">
        <v>0</v>
      </c>
      <c r="K1170" s="2" t="n">
        <v>31844</v>
      </c>
      <c r="L1170" s="2" t="n">
        <v>21321</v>
      </c>
      <c r="M1170" s="2" t="n">
        <v>2193</v>
      </c>
      <c r="N1170" s="2" t="n">
        <v>65</v>
      </c>
      <c r="O1170" s="2" t="n">
        <v>406</v>
      </c>
      <c r="P1170" s="2" t="n">
        <v>167</v>
      </c>
      <c r="Q1170" s="2" t="n">
        <v>435</v>
      </c>
      <c r="R1170" s="2" t="n">
        <v>61</v>
      </c>
      <c r="S1170" s="2" t="n">
        <v>23</v>
      </c>
      <c r="T1170" s="2" t="s">
        <v>96</v>
      </c>
      <c r="U1170" s="4" t="n">
        <f aca="false">(M1170+N1170+O1170+P1170)/L1170</f>
        <v>0.132779888372966</v>
      </c>
      <c r="V1170" s="2" t="str">
        <f aca="false">IF(S1170&lt;=5,"Late night (0-5)",IF(S1170&lt;=11,"Morning (6-11)",IF(S1170&lt;=17,"Afternoon (12-17)","Evening (18-23)")))</f>
        <v>Evening (18-23)</v>
      </c>
    </row>
    <row r="1171" customFormat="false" ht="15" hidden="false" customHeight="false" outlineLevel="0" collapsed="false">
      <c r="A1171" s="2" t="s">
        <v>2085</v>
      </c>
      <c r="B1171" s="2" t="s">
        <v>206</v>
      </c>
      <c r="C1171" s="2" t="s">
        <v>48</v>
      </c>
      <c r="D1171" s="3" t="n">
        <v>45911</v>
      </c>
      <c r="E1171" s="2" t="s">
        <v>2086</v>
      </c>
      <c r="F1171" s="2" t="s">
        <v>26</v>
      </c>
      <c r="G1171" s="2" t="n">
        <v>42937</v>
      </c>
      <c r="H1171" s="2" t="n">
        <v>9</v>
      </c>
      <c r="I1171" s="2" t="n">
        <v>56</v>
      </c>
      <c r="J1171" s="2" t="n">
        <v>1</v>
      </c>
      <c r="K1171" s="2" t="n">
        <v>25243</v>
      </c>
      <c r="L1171" s="2" t="n">
        <v>18580</v>
      </c>
      <c r="M1171" s="2" t="n">
        <v>863</v>
      </c>
      <c r="N1171" s="2" t="n">
        <v>55</v>
      </c>
      <c r="O1171" s="2" t="n">
        <v>71</v>
      </c>
      <c r="P1171" s="2" t="n">
        <v>223</v>
      </c>
      <c r="Q1171" s="2" t="n">
        <v>521</v>
      </c>
      <c r="R1171" s="2" t="n">
        <v>96</v>
      </c>
      <c r="S1171" s="2" t="n">
        <v>9</v>
      </c>
      <c r="T1171" s="2" t="s">
        <v>79</v>
      </c>
      <c r="U1171" s="4" t="n">
        <f aca="false">(M1171+N1171+O1171+P1171)/L1171</f>
        <v>0.0652314316469322</v>
      </c>
      <c r="V1171" s="2" t="str">
        <f aca="false">IF(S1171&lt;=5,"Late night (0-5)",IF(S1171&lt;=11,"Morning (6-11)",IF(S1171&lt;=17,"Afternoon (12-17)","Evening (18-23)")))</f>
        <v>Morning (6-11)</v>
      </c>
    </row>
    <row r="1172" customFormat="false" ht="15" hidden="false" customHeight="false" outlineLevel="0" collapsed="false">
      <c r="A1172" s="2" t="s">
        <v>2087</v>
      </c>
      <c r="B1172" s="2" t="s">
        <v>220</v>
      </c>
      <c r="C1172" s="2" t="s">
        <v>48</v>
      </c>
      <c r="D1172" s="3" t="n">
        <v>45890</v>
      </c>
      <c r="E1172" s="2" t="s">
        <v>576</v>
      </c>
      <c r="F1172" s="2" t="s">
        <v>38</v>
      </c>
      <c r="G1172" s="2" t="n">
        <v>18917</v>
      </c>
      <c r="H1172" s="2" t="n">
        <v>16</v>
      </c>
      <c r="I1172" s="2" t="n">
        <v>206</v>
      </c>
      <c r="J1172" s="2" t="n">
        <v>0</v>
      </c>
      <c r="K1172" s="2" t="n">
        <v>8817</v>
      </c>
      <c r="L1172" s="2" t="n">
        <v>6725</v>
      </c>
      <c r="M1172" s="2" t="n">
        <v>228</v>
      </c>
      <c r="N1172" s="2" t="n">
        <v>6</v>
      </c>
      <c r="O1172" s="2" t="n">
        <v>40</v>
      </c>
      <c r="P1172" s="2" t="n">
        <v>59</v>
      </c>
      <c r="Q1172" s="2" t="n">
        <v>113</v>
      </c>
      <c r="R1172" s="2" t="n">
        <v>9</v>
      </c>
      <c r="S1172" s="2" t="n">
        <v>14</v>
      </c>
      <c r="T1172" s="2" t="s">
        <v>79</v>
      </c>
      <c r="U1172" s="4" t="n">
        <f aca="false">(M1172+N1172+O1172+P1172)/L1172</f>
        <v>0.0495167286245353</v>
      </c>
      <c r="V1172" s="2" t="str">
        <f aca="false">IF(S1172&lt;=5,"Late night (0-5)",IF(S1172&lt;=11,"Morning (6-11)",IF(S1172&lt;=17,"Afternoon (12-17)","Evening (18-23)")))</f>
        <v>Afternoon (12-17)</v>
      </c>
    </row>
    <row r="1173" customFormat="false" ht="15" hidden="false" customHeight="false" outlineLevel="0" collapsed="false">
      <c r="A1173" s="2" t="s">
        <v>2088</v>
      </c>
      <c r="B1173" s="2" t="s">
        <v>154</v>
      </c>
      <c r="C1173" s="2" t="s">
        <v>41</v>
      </c>
      <c r="D1173" s="3" t="n">
        <v>45707</v>
      </c>
      <c r="E1173" s="2" t="s">
        <v>2089</v>
      </c>
      <c r="F1173" s="2" t="s">
        <v>26</v>
      </c>
      <c r="G1173" s="2" t="n">
        <v>33644</v>
      </c>
      <c r="H1173" s="2" t="n">
        <v>22</v>
      </c>
      <c r="I1173" s="2" t="n">
        <v>216</v>
      </c>
      <c r="J1173" s="2" t="n">
        <v>0</v>
      </c>
      <c r="K1173" s="2" t="n">
        <v>13709</v>
      </c>
      <c r="L1173" s="2" t="n">
        <v>8614</v>
      </c>
      <c r="M1173" s="2" t="n">
        <v>768</v>
      </c>
      <c r="N1173" s="2" t="n">
        <v>32</v>
      </c>
      <c r="O1173" s="2" t="n">
        <v>138</v>
      </c>
      <c r="P1173" s="2" t="n">
        <v>163</v>
      </c>
      <c r="Q1173" s="2" t="n">
        <v>252</v>
      </c>
      <c r="R1173" s="2" t="n">
        <v>53</v>
      </c>
      <c r="S1173" s="2" t="n">
        <v>1</v>
      </c>
      <c r="T1173" s="2" t="s">
        <v>66</v>
      </c>
      <c r="U1173" s="4" t="n">
        <f aca="false">(M1173+N1173+O1173+P1173)/L1173</f>
        <v>0.127815184583237</v>
      </c>
      <c r="V1173" s="2" t="str">
        <f aca="false">IF(S1173&lt;=5,"Late night (0-5)",IF(S1173&lt;=11,"Morning (6-11)",IF(S1173&lt;=17,"Afternoon (12-17)","Evening (18-23)")))</f>
        <v>Late night (0-5)</v>
      </c>
    </row>
    <row r="1174" customFormat="false" ht="15" hidden="false" customHeight="false" outlineLevel="0" collapsed="false">
      <c r="A1174" s="2" t="s">
        <v>2090</v>
      </c>
      <c r="B1174" s="2" t="s">
        <v>103</v>
      </c>
      <c r="C1174" s="2" t="s">
        <v>36</v>
      </c>
      <c r="D1174" s="3" t="n">
        <v>45814</v>
      </c>
      <c r="E1174" s="2" t="s">
        <v>322</v>
      </c>
      <c r="F1174" s="2" t="s">
        <v>32</v>
      </c>
      <c r="G1174" s="2" t="n">
        <v>56979</v>
      </c>
      <c r="H1174" s="2" t="n">
        <v>13</v>
      </c>
      <c r="I1174" s="2" t="n">
        <v>109</v>
      </c>
      <c r="J1174" s="2" t="n">
        <v>0</v>
      </c>
      <c r="K1174" s="2" t="n">
        <v>75201</v>
      </c>
      <c r="L1174" s="2" t="n">
        <v>53462</v>
      </c>
      <c r="M1174" s="2" t="n">
        <v>4920</v>
      </c>
      <c r="N1174" s="2" t="n">
        <v>290</v>
      </c>
      <c r="O1174" s="2" t="n">
        <v>942</v>
      </c>
      <c r="P1174" s="2" t="n">
        <v>781</v>
      </c>
      <c r="Q1174" s="2" t="n">
        <v>983</v>
      </c>
      <c r="R1174" s="2" t="n">
        <v>61</v>
      </c>
      <c r="S1174" s="2" t="n">
        <v>5</v>
      </c>
      <c r="T1174" s="2" t="s">
        <v>96</v>
      </c>
      <c r="U1174" s="4" t="n">
        <f aca="false">(M1174+N1174+O1174+P1174)/L1174</f>
        <v>0.129680894841196</v>
      </c>
      <c r="V1174" s="2" t="str">
        <f aca="false">IF(S1174&lt;=5,"Late night (0-5)",IF(S1174&lt;=11,"Morning (6-11)",IF(S1174&lt;=17,"Afternoon (12-17)","Evening (18-23)")))</f>
        <v>Late night (0-5)</v>
      </c>
    </row>
    <row r="1175" customFormat="false" ht="15" hidden="false" customHeight="false" outlineLevel="0" collapsed="false">
      <c r="A1175" s="2" t="s">
        <v>2091</v>
      </c>
      <c r="B1175" s="2" t="s">
        <v>220</v>
      </c>
      <c r="C1175" s="2" t="s">
        <v>48</v>
      </c>
      <c r="D1175" s="3" t="n">
        <v>45931</v>
      </c>
      <c r="E1175" s="2" t="s">
        <v>2092</v>
      </c>
      <c r="F1175" s="2" t="s">
        <v>50</v>
      </c>
      <c r="G1175" s="2" t="n">
        <v>18917</v>
      </c>
      <c r="H1175" s="2" t="n">
        <v>12</v>
      </c>
      <c r="I1175" s="2" t="n">
        <v>30</v>
      </c>
      <c r="J1175" s="2" t="n">
        <v>0</v>
      </c>
      <c r="K1175" s="2" t="n">
        <v>18053</v>
      </c>
      <c r="L1175" s="2" t="n">
        <v>10259</v>
      </c>
      <c r="M1175" s="2" t="n">
        <v>504</v>
      </c>
      <c r="N1175" s="2" t="n">
        <v>17</v>
      </c>
      <c r="O1175" s="2" t="n">
        <v>100</v>
      </c>
      <c r="P1175" s="2" t="n">
        <v>115</v>
      </c>
      <c r="Q1175" s="2" t="n">
        <v>63</v>
      </c>
      <c r="R1175" s="2" t="n">
        <v>4</v>
      </c>
      <c r="S1175" s="2" t="n">
        <v>5</v>
      </c>
      <c r="T1175" s="2" t="s">
        <v>66</v>
      </c>
      <c r="U1175" s="4" t="n">
        <f aca="false">(M1175+N1175+O1175+P1175)/L1175</f>
        <v>0.0717418851739936</v>
      </c>
      <c r="V1175" s="2" t="str">
        <f aca="false">IF(S1175&lt;=5,"Late night (0-5)",IF(S1175&lt;=11,"Morning (6-11)",IF(S1175&lt;=17,"Afternoon (12-17)","Evening (18-23)")))</f>
        <v>Late night (0-5)</v>
      </c>
    </row>
    <row r="1176" customFormat="false" ht="15" hidden="false" customHeight="false" outlineLevel="0" collapsed="false">
      <c r="A1176" s="2" t="s">
        <v>2093</v>
      </c>
      <c r="B1176" s="2" t="s">
        <v>114</v>
      </c>
      <c r="C1176" s="2" t="s">
        <v>84</v>
      </c>
      <c r="D1176" s="3" t="n">
        <v>45953</v>
      </c>
      <c r="E1176" s="2" t="s">
        <v>1381</v>
      </c>
      <c r="F1176" s="2" t="s">
        <v>32</v>
      </c>
      <c r="G1176" s="2" t="n">
        <v>64307</v>
      </c>
      <c r="H1176" s="2" t="n">
        <v>11</v>
      </c>
      <c r="I1176" s="2" t="n">
        <v>269</v>
      </c>
      <c r="J1176" s="2" t="n">
        <v>1</v>
      </c>
      <c r="K1176" s="2" t="n">
        <v>539239</v>
      </c>
      <c r="L1176" s="2" t="n">
        <v>303245</v>
      </c>
      <c r="M1176" s="2" t="n">
        <v>20506</v>
      </c>
      <c r="N1176" s="2" t="n">
        <v>1020</v>
      </c>
      <c r="O1176" s="2" t="n">
        <v>2074</v>
      </c>
      <c r="P1176" s="2" t="n">
        <v>3092</v>
      </c>
      <c r="Q1176" s="2" t="n">
        <v>1993</v>
      </c>
      <c r="R1176" s="2" t="n">
        <v>527</v>
      </c>
      <c r="S1176" s="2" t="n">
        <v>8</v>
      </c>
      <c r="T1176" s="2" t="s">
        <v>79</v>
      </c>
      <c r="U1176" s="4" t="n">
        <f aca="false">(M1176+N1176+O1176+P1176)/L1176</f>
        <v>0.0880212369536184</v>
      </c>
      <c r="V1176" s="2" t="str">
        <f aca="false">IF(S1176&lt;=5,"Late night (0-5)",IF(S1176&lt;=11,"Morning (6-11)",IF(S1176&lt;=17,"Afternoon (12-17)","Evening (18-23)")))</f>
        <v>Morning (6-11)</v>
      </c>
    </row>
    <row r="1177" customFormat="false" ht="15" hidden="false" customHeight="false" outlineLevel="0" collapsed="false">
      <c r="A1177" s="2" t="s">
        <v>2094</v>
      </c>
      <c r="B1177" s="2" t="s">
        <v>106</v>
      </c>
      <c r="C1177" s="2" t="s">
        <v>91</v>
      </c>
      <c r="D1177" s="3" t="n">
        <v>45659</v>
      </c>
      <c r="E1177" s="2" t="s">
        <v>1816</v>
      </c>
      <c r="F1177" s="2" t="s">
        <v>32</v>
      </c>
      <c r="G1177" s="2" t="n">
        <v>59477</v>
      </c>
      <c r="H1177" s="2" t="n">
        <v>10</v>
      </c>
      <c r="I1177" s="2" t="n">
        <v>135</v>
      </c>
      <c r="J1177" s="2" t="n">
        <v>0</v>
      </c>
      <c r="K1177" s="2" t="n">
        <v>22476</v>
      </c>
      <c r="L1177" s="2" t="n">
        <v>14634</v>
      </c>
      <c r="M1177" s="2" t="n">
        <v>1089</v>
      </c>
      <c r="N1177" s="2" t="n">
        <v>73</v>
      </c>
      <c r="O1177" s="2" t="n">
        <v>66</v>
      </c>
      <c r="P1177" s="2" t="n">
        <v>274</v>
      </c>
      <c r="Q1177" s="2" t="n">
        <v>350</v>
      </c>
      <c r="R1177" s="2" t="n">
        <v>63</v>
      </c>
      <c r="S1177" s="2" t="n">
        <v>4</v>
      </c>
      <c r="T1177" s="2" t="s">
        <v>79</v>
      </c>
      <c r="U1177" s="4" t="n">
        <f aca="false">(M1177+N1177+O1177+P1177)/L1177</f>
        <v>0.102637693043597</v>
      </c>
      <c r="V1177" s="2" t="str">
        <f aca="false">IF(S1177&lt;=5,"Late night (0-5)",IF(S1177&lt;=11,"Morning (6-11)",IF(S1177&lt;=17,"Afternoon (12-17)","Evening (18-23)")))</f>
        <v>Late night (0-5)</v>
      </c>
    </row>
    <row r="1178" customFormat="false" ht="15" hidden="false" customHeight="false" outlineLevel="0" collapsed="false">
      <c r="A1178" s="2" t="s">
        <v>2095</v>
      </c>
      <c r="B1178" s="2" t="s">
        <v>206</v>
      </c>
      <c r="C1178" s="2" t="s">
        <v>48</v>
      </c>
      <c r="D1178" s="3" t="n">
        <v>45716</v>
      </c>
      <c r="E1178" s="2" t="s">
        <v>1518</v>
      </c>
      <c r="F1178" s="2" t="s">
        <v>32</v>
      </c>
      <c r="G1178" s="2" t="n">
        <v>42937</v>
      </c>
      <c r="H1178" s="2" t="n">
        <v>11</v>
      </c>
      <c r="I1178" s="2" t="n">
        <v>227</v>
      </c>
      <c r="J1178" s="2" t="n">
        <v>0</v>
      </c>
      <c r="K1178" s="2" t="n">
        <v>95777</v>
      </c>
      <c r="L1178" s="2" t="n">
        <v>81450</v>
      </c>
      <c r="M1178" s="2" t="n">
        <v>4101</v>
      </c>
      <c r="N1178" s="2" t="n">
        <v>279</v>
      </c>
      <c r="O1178" s="2" t="n">
        <v>866</v>
      </c>
      <c r="P1178" s="2" t="n">
        <v>1171</v>
      </c>
      <c r="Q1178" s="2" t="n">
        <v>2079</v>
      </c>
      <c r="R1178" s="2" t="n">
        <v>313</v>
      </c>
      <c r="S1178" s="2" t="n">
        <v>12</v>
      </c>
      <c r="T1178" s="2" t="s">
        <v>96</v>
      </c>
      <c r="U1178" s="4" t="n">
        <f aca="false">(M1178+N1178+O1178+P1178)/L1178</f>
        <v>0.0787845303867403</v>
      </c>
      <c r="V1178" s="2" t="str">
        <f aca="false">IF(S1178&lt;=5,"Late night (0-5)",IF(S1178&lt;=11,"Morning (6-11)",IF(S1178&lt;=17,"Afternoon (12-17)","Evening (18-23)")))</f>
        <v>Afternoon (12-17)</v>
      </c>
    </row>
    <row r="1179" customFormat="false" ht="15" hidden="false" customHeight="false" outlineLevel="0" collapsed="false">
      <c r="A1179" s="2" t="s">
        <v>2096</v>
      </c>
      <c r="B1179" s="2" t="s">
        <v>47</v>
      </c>
      <c r="C1179" s="2" t="s">
        <v>48</v>
      </c>
      <c r="D1179" s="3" t="n">
        <v>46009</v>
      </c>
      <c r="E1179" s="2" t="s">
        <v>2097</v>
      </c>
      <c r="F1179" s="2" t="s">
        <v>38</v>
      </c>
      <c r="G1179" s="2" t="n">
        <v>19609</v>
      </c>
      <c r="H1179" s="2" t="n">
        <v>7</v>
      </c>
      <c r="I1179" s="2" t="n">
        <v>327</v>
      </c>
      <c r="J1179" s="2" t="n">
        <v>1</v>
      </c>
      <c r="K1179" s="2" t="n">
        <v>14212</v>
      </c>
      <c r="L1179" s="2" t="n">
        <v>10890</v>
      </c>
      <c r="M1179" s="2" t="n">
        <v>907</v>
      </c>
      <c r="N1179" s="2" t="n">
        <v>59</v>
      </c>
      <c r="O1179" s="2" t="n">
        <v>134</v>
      </c>
      <c r="P1179" s="2" t="n">
        <v>108</v>
      </c>
      <c r="Q1179" s="2" t="n">
        <v>247</v>
      </c>
      <c r="R1179" s="2" t="n">
        <v>70</v>
      </c>
      <c r="S1179" s="2" t="n">
        <v>13</v>
      </c>
      <c r="T1179" s="2" t="s">
        <v>79</v>
      </c>
      <c r="U1179" s="4" t="n">
        <f aca="false">(M1179+N1179+O1179+P1179)/L1179</f>
        <v>0.110927456382002</v>
      </c>
      <c r="V1179" s="2" t="str">
        <f aca="false">IF(S1179&lt;=5,"Late night (0-5)",IF(S1179&lt;=11,"Morning (6-11)",IF(S1179&lt;=17,"Afternoon (12-17)","Evening (18-23)")))</f>
        <v>Afternoon (12-17)</v>
      </c>
    </row>
    <row r="1180" customFormat="false" ht="15" hidden="false" customHeight="false" outlineLevel="0" collapsed="false">
      <c r="A1180" s="2" t="s">
        <v>2098</v>
      </c>
      <c r="B1180" s="2" t="s">
        <v>129</v>
      </c>
      <c r="C1180" s="2" t="s">
        <v>54</v>
      </c>
      <c r="D1180" s="3" t="n">
        <v>45710</v>
      </c>
      <c r="E1180" s="2" t="s">
        <v>167</v>
      </c>
      <c r="F1180" s="2" t="s">
        <v>32</v>
      </c>
      <c r="G1180" s="2" t="n">
        <v>10312</v>
      </c>
      <c r="H1180" s="2" t="n">
        <v>8</v>
      </c>
      <c r="I1180" s="2" t="n">
        <v>68</v>
      </c>
      <c r="J1180" s="2" t="n">
        <v>0</v>
      </c>
      <c r="K1180" s="2" t="n">
        <v>15872</v>
      </c>
      <c r="L1180" s="2" t="n">
        <v>9166</v>
      </c>
      <c r="M1180" s="2" t="n">
        <v>542</v>
      </c>
      <c r="N1180" s="2" t="n">
        <v>42</v>
      </c>
      <c r="O1180" s="2" t="n">
        <v>63</v>
      </c>
      <c r="P1180" s="2" t="n">
        <v>125</v>
      </c>
      <c r="Q1180" s="2" t="n">
        <v>132</v>
      </c>
      <c r="R1180" s="2" t="n">
        <v>34</v>
      </c>
      <c r="S1180" s="2" t="n">
        <v>0</v>
      </c>
      <c r="T1180" s="2" t="s">
        <v>62</v>
      </c>
      <c r="U1180" s="4" t="n">
        <f aca="false">(M1180+N1180+O1180+P1180)/L1180</f>
        <v>0.0842243072223435</v>
      </c>
      <c r="V1180" s="2" t="str">
        <f aca="false">IF(S1180&lt;=5,"Late night (0-5)",IF(S1180&lt;=11,"Morning (6-11)",IF(S1180&lt;=17,"Afternoon (12-17)","Evening (18-23)")))</f>
        <v>Late night (0-5)</v>
      </c>
    </row>
    <row r="1181" customFormat="false" ht="15" hidden="false" customHeight="false" outlineLevel="0" collapsed="false">
      <c r="A1181" s="2" t="s">
        <v>2099</v>
      </c>
      <c r="B1181" s="2" t="s">
        <v>23</v>
      </c>
      <c r="C1181" s="2" t="s">
        <v>24</v>
      </c>
      <c r="D1181" s="3" t="n">
        <v>45888</v>
      </c>
      <c r="E1181" s="2" t="s">
        <v>2100</v>
      </c>
      <c r="F1181" s="2" t="s">
        <v>32</v>
      </c>
      <c r="G1181" s="2" t="n">
        <v>63447</v>
      </c>
      <c r="H1181" s="2" t="n">
        <v>24</v>
      </c>
      <c r="I1181" s="2" t="n">
        <v>110</v>
      </c>
      <c r="J1181" s="2" t="n">
        <v>1</v>
      </c>
      <c r="K1181" s="2" t="n">
        <v>148236</v>
      </c>
      <c r="L1181" s="2" t="n">
        <v>115652</v>
      </c>
      <c r="M1181" s="2" t="n">
        <v>12446</v>
      </c>
      <c r="N1181" s="2" t="n">
        <v>591</v>
      </c>
      <c r="O1181" s="2" t="n">
        <v>939</v>
      </c>
      <c r="P1181" s="2" t="n">
        <v>3678</v>
      </c>
      <c r="Q1181" s="2" t="n">
        <v>1279</v>
      </c>
      <c r="R1181" s="2" t="n">
        <v>87</v>
      </c>
      <c r="S1181" s="2" t="n">
        <v>18</v>
      </c>
      <c r="T1181" s="2" t="s">
        <v>51</v>
      </c>
      <c r="U1181" s="4" t="n">
        <f aca="false">(M1181+N1181+O1181+P1181)/L1181</f>
        <v>0.152647597966313</v>
      </c>
      <c r="V1181" s="2" t="str">
        <f aca="false">IF(S1181&lt;=5,"Late night (0-5)",IF(S1181&lt;=11,"Morning (6-11)",IF(S1181&lt;=17,"Afternoon (12-17)","Evening (18-23)")))</f>
        <v>Evening (18-23)</v>
      </c>
    </row>
    <row r="1182" customFormat="false" ht="15" hidden="false" customHeight="false" outlineLevel="0" collapsed="false">
      <c r="A1182" s="2" t="s">
        <v>2101</v>
      </c>
      <c r="B1182" s="2" t="s">
        <v>35</v>
      </c>
      <c r="C1182" s="2" t="s">
        <v>36</v>
      </c>
      <c r="D1182" s="3" t="n">
        <v>45775</v>
      </c>
      <c r="E1182" s="2" t="s">
        <v>745</v>
      </c>
      <c r="F1182" s="2" t="s">
        <v>38</v>
      </c>
      <c r="G1182" s="2" t="n">
        <v>33933</v>
      </c>
      <c r="H1182" s="2" t="n">
        <v>15</v>
      </c>
      <c r="I1182" s="2" t="n">
        <v>205</v>
      </c>
      <c r="J1182" s="2" t="n">
        <v>1</v>
      </c>
      <c r="K1182" s="2" t="n">
        <v>13224</v>
      </c>
      <c r="L1182" s="2" t="n">
        <v>10207</v>
      </c>
      <c r="M1182" s="2" t="n">
        <v>309</v>
      </c>
      <c r="N1182" s="2" t="n">
        <v>6</v>
      </c>
      <c r="O1182" s="2" t="n">
        <v>60</v>
      </c>
      <c r="P1182" s="2" t="n">
        <v>58</v>
      </c>
      <c r="Q1182" s="2" t="n">
        <v>175</v>
      </c>
      <c r="R1182" s="2" t="n">
        <v>48</v>
      </c>
      <c r="S1182" s="2" t="n">
        <v>17</v>
      </c>
      <c r="T1182" s="2" t="s">
        <v>33</v>
      </c>
      <c r="U1182" s="4" t="n">
        <f aca="false">(M1182+N1182+O1182+P1182)/L1182</f>
        <v>0.0424218673459391</v>
      </c>
      <c r="V1182" s="2" t="str">
        <f aca="false">IF(S1182&lt;=5,"Late night (0-5)",IF(S1182&lt;=11,"Morning (6-11)",IF(S1182&lt;=17,"Afternoon (12-17)","Evening (18-23)")))</f>
        <v>Afternoon (12-17)</v>
      </c>
    </row>
    <row r="1183" customFormat="false" ht="15" hidden="false" customHeight="false" outlineLevel="0" collapsed="false">
      <c r="A1183" s="2" t="s">
        <v>2102</v>
      </c>
      <c r="B1183" s="2" t="s">
        <v>390</v>
      </c>
      <c r="C1183" s="2" t="s">
        <v>36</v>
      </c>
      <c r="D1183" s="3" t="n">
        <v>45793</v>
      </c>
      <c r="E1183" s="2" t="s">
        <v>2103</v>
      </c>
      <c r="F1183" s="2" t="s">
        <v>38</v>
      </c>
      <c r="G1183" s="2" t="n">
        <v>30232</v>
      </c>
      <c r="H1183" s="2" t="n">
        <v>7</v>
      </c>
      <c r="I1183" s="2" t="n">
        <v>147</v>
      </c>
      <c r="J1183" s="2" t="n">
        <v>0</v>
      </c>
      <c r="K1183" s="2" t="n">
        <v>30172</v>
      </c>
      <c r="L1183" s="2" t="n">
        <v>17791</v>
      </c>
      <c r="M1183" s="2" t="n">
        <v>1515</v>
      </c>
      <c r="N1183" s="2" t="n">
        <v>54</v>
      </c>
      <c r="O1183" s="2" t="n">
        <v>299</v>
      </c>
      <c r="P1183" s="2" t="n">
        <v>384</v>
      </c>
      <c r="Q1183" s="2" t="n">
        <v>442</v>
      </c>
      <c r="R1183" s="2" t="n">
        <v>95</v>
      </c>
      <c r="S1183" s="2" t="n">
        <v>21</v>
      </c>
      <c r="T1183" s="2" t="s">
        <v>96</v>
      </c>
      <c r="U1183" s="4" t="n">
        <f aca="false">(M1183+N1183+O1183+P1183)/L1183</f>
        <v>0.12658085548873</v>
      </c>
      <c r="V1183" s="2" t="str">
        <f aca="false">IF(S1183&lt;=5,"Late night (0-5)",IF(S1183&lt;=11,"Morning (6-11)",IF(S1183&lt;=17,"Afternoon (12-17)","Evening (18-23)")))</f>
        <v>Evening (18-23)</v>
      </c>
    </row>
    <row r="1184" customFormat="false" ht="15" hidden="false" customHeight="false" outlineLevel="0" collapsed="false">
      <c r="A1184" s="2" t="s">
        <v>2104</v>
      </c>
      <c r="B1184" s="2" t="s">
        <v>77</v>
      </c>
      <c r="C1184" s="2" t="s">
        <v>30</v>
      </c>
      <c r="D1184" s="3" t="n">
        <v>45713</v>
      </c>
      <c r="E1184" s="2" t="s">
        <v>460</v>
      </c>
      <c r="F1184" s="2" t="s">
        <v>50</v>
      </c>
      <c r="G1184" s="2" t="n">
        <v>17548</v>
      </c>
      <c r="H1184" s="2" t="n">
        <v>23</v>
      </c>
      <c r="I1184" s="2" t="n">
        <v>166</v>
      </c>
      <c r="J1184" s="2" t="n">
        <v>1</v>
      </c>
      <c r="K1184" s="2" t="n">
        <v>45749</v>
      </c>
      <c r="L1184" s="2" t="n">
        <v>33014</v>
      </c>
      <c r="M1184" s="2" t="n">
        <v>1673</v>
      </c>
      <c r="N1184" s="2" t="n">
        <v>93</v>
      </c>
      <c r="O1184" s="2" t="n">
        <v>171</v>
      </c>
      <c r="P1184" s="2" t="n">
        <v>268</v>
      </c>
      <c r="Q1184" s="2" t="n">
        <v>582</v>
      </c>
      <c r="R1184" s="2" t="n">
        <v>80</v>
      </c>
      <c r="S1184" s="2" t="n">
        <v>14</v>
      </c>
      <c r="T1184" s="2" t="s">
        <v>51</v>
      </c>
      <c r="U1184" s="4" t="n">
        <f aca="false">(M1184+N1184+O1184+P1184)/L1184</f>
        <v>0.0667898467316896</v>
      </c>
      <c r="V1184" s="2" t="str">
        <f aca="false">IF(S1184&lt;=5,"Late night (0-5)",IF(S1184&lt;=11,"Morning (6-11)",IF(S1184&lt;=17,"Afternoon (12-17)","Evening (18-23)")))</f>
        <v>Afternoon (12-17)</v>
      </c>
    </row>
    <row r="1185" customFormat="false" ht="15" hidden="false" customHeight="false" outlineLevel="0" collapsed="false">
      <c r="A1185" s="2" t="s">
        <v>2105</v>
      </c>
      <c r="B1185" s="2" t="s">
        <v>240</v>
      </c>
      <c r="C1185" s="2" t="s">
        <v>41</v>
      </c>
      <c r="D1185" s="3" t="n">
        <v>45846</v>
      </c>
      <c r="E1185" s="2" t="s">
        <v>2106</v>
      </c>
      <c r="F1185" s="2" t="s">
        <v>32</v>
      </c>
      <c r="G1185" s="2" t="n">
        <v>83197</v>
      </c>
      <c r="H1185" s="2" t="n">
        <v>12</v>
      </c>
      <c r="I1185" s="2" t="n">
        <v>138</v>
      </c>
      <c r="J1185" s="2" t="n">
        <v>0</v>
      </c>
      <c r="K1185" s="2" t="n">
        <v>113100</v>
      </c>
      <c r="L1185" s="2" t="n">
        <v>64412</v>
      </c>
      <c r="M1185" s="2" t="n">
        <v>5424</v>
      </c>
      <c r="N1185" s="2" t="n">
        <v>114</v>
      </c>
      <c r="O1185" s="2" t="n">
        <v>949</v>
      </c>
      <c r="P1185" s="2" t="n">
        <v>1496</v>
      </c>
      <c r="Q1185" s="2" t="n">
        <v>696</v>
      </c>
      <c r="R1185" s="2" t="n">
        <v>49</v>
      </c>
      <c r="S1185" s="2" t="n">
        <v>2</v>
      </c>
      <c r="T1185" s="2" t="s">
        <v>51</v>
      </c>
      <c r="U1185" s="4" t="n">
        <f aca="false">(M1185+N1185+O1185+P1185)/L1185</f>
        <v>0.123936533565174</v>
      </c>
      <c r="V1185" s="2" t="str">
        <f aca="false">IF(S1185&lt;=5,"Late night (0-5)",IF(S1185&lt;=11,"Morning (6-11)",IF(S1185&lt;=17,"Afternoon (12-17)","Evening (18-23)")))</f>
        <v>Late night (0-5)</v>
      </c>
    </row>
    <row r="1186" customFormat="false" ht="15" hidden="false" customHeight="false" outlineLevel="0" collapsed="false">
      <c r="A1186" s="2" t="s">
        <v>2107</v>
      </c>
      <c r="B1186" s="2" t="s">
        <v>123</v>
      </c>
      <c r="C1186" s="2" t="s">
        <v>24</v>
      </c>
      <c r="D1186" s="3" t="n">
        <v>45767</v>
      </c>
      <c r="E1186" s="2" t="s">
        <v>1393</v>
      </c>
      <c r="F1186" s="2" t="s">
        <v>26</v>
      </c>
      <c r="G1186" s="2" t="n">
        <v>41391</v>
      </c>
      <c r="H1186" s="2" t="n">
        <v>12</v>
      </c>
      <c r="I1186" s="2" t="n">
        <v>391</v>
      </c>
      <c r="J1186" s="2" t="n">
        <v>0</v>
      </c>
      <c r="K1186" s="2" t="n">
        <v>90872</v>
      </c>
      <c r="L1186" s="2" t="n">
        <v>63238</v>
      </c>
      <c r="M1186" s="2" t="n">
        <v>4596</v>
      </c>
      <c r="N1186" s="2" t="n">
        <v>126</v>
      </c>
      <c r="O1186" s="2" t="n">
        <v>392</v>
      </c>
      <c r="P1186" s="2" t="n">
        <v>522</v>
      </c>
      <c r="Q1186" s="2" t="n">
        <v>515</v>
      </c>
      <c r="R1186" s="2" t="n">
        <v>28</v>
      </c>
      <c r="S1186" s="2" t="n">
        <v>9</v>
      </c>
      <c r="T1186" s="2" t="s">
        <v>27</v>
      </c>
      <c r="U1186" s="4" t="n">
        <f aca="false">(M1186+N1186+O1186+P1186)/L1186</f>
        <v>0.0891236281982352</v>
      </c>
      <c r="V1186" s="2" t="str">
        <f aca="false">IF(S1186&lt;=5,"Late night (0-5)",IF(S1186&lt;=11,"Morning (6-11)",IF(S1186&lt;=17,"Afternoon (12-17)","Evening (18-23)")))</f>
        <v>Morning (6-11)</v>
      </c>
    </row>
    <row r="1187" customFormat="false" ht="15" hidden="false" customHeight="false" outlineLevel="0" collapsed="false">
      <c r="A1187" s="2" t="s">
        <v>2108</v>
      </c>
      <c r="B1187" s="2" t="s">
        <v>307</v>
      </c>
      <c r="C1187" s="2" t="s">
        <v>48</v>
      </c>
      <c r="D1187" s="3" t="n">
        <v>45891</v>
      </c>
      <c r="E1187" s="2" t="s">
        <v>2109</v>
      </c>
      <c r="F1187" s="2" t="s">
        <v>32</v>
      </c>
      <c r="G1187" s="2" t="n">
        <v>91358</v>
      </c>
      <c r="H1187" s="2" t="n">
        <v>11</v>
      </c>
      <c r="I1187" s="2" t="n">
        <v>154</v>
      </c>
      <c r="J1187" s="2" t="n">
        <v>1</v>
      </c>
      <c r="K1187" s="2" t="n">
        <v>148592</v>
      </c>
      <c r="L1187" s="2" t="n">
        <v>87145</v>
      </c>
      <c r="M1187" s="2" t="n">
        <v>6258</v>
      </c>
      <c r="N1187" s="2" t="n">
        <v>151</v>
      </c>
      <c r="O1187" s="2" t="n">
        <v>965</v>
      </c>
      <c r="P1187" s="2" t="n">
        <v>849</v>
      </c>
      <c r="Q1187" s="2" t="n">
        <v>2582</v>
      </c>
      <c r="R1187" s="2" t="n">
        <v>575</v>
      </c>
      <c r="S1187" s="2" t="n">
        <v>22</v>
      </c>
      <c r="T1187" s="2" t="s">
        <v>96</v>
      </c>
      <c r="U1187" s="4" t="n">
        <f aca="false">(M1187+N1187+O1187+P1187)/L1187</f>
        <v>0.0943599747547192</v>
      </c>
      <c r="V1187" s="2" t="str">
        <f aca="false">IF(S1187&lt;=5,"Late night (0-5)",IF(S1187&lt;=11,"Morning (6-11)",IF(S1187&lt;=17,"Afternoon (12-17)","Evening (18-23)")))</f>
        <v>Evening (18-23)</v>
      </c>
    </row>
    <row r="1188" customFormat="false" ht="15" hidden="false" customHeight="false" outlineLevel="0" collapsed="false">
      <c r="A1188" s="2" t="s">
        <v>2110</v>
      </c>
      <c r="B1188" s="2" t="s">
        <v>90</v>
      </c>
      <c r="C1188" s="2" t="s">
        <v>91</v>
      </c>
      <c r="D1188" s="3" t="n">
        <v>45677</v>
      </c>
      <c r="E1188" s="2" t="s">
        <v>1703</v>
      </c>
      <c r="F1188" s="2" t="s">
        <v>32</v>
      </c>
      <c r="G1188" s="2" t="n">
        <v>54788</v>
      </c>
      <c r="H1188" s="2" t="n">
        <v>15</v>
      </c>
      <c r="I1188" s="2" t="n">
        <v>108</v>
      </c>
      <c r="J1188" s="2" t="n">
        <v>0</v>
      </c>
      <c r="K1188" s="2" t="n">
        <v>94625</v>
      </c>
      <c r="L1188" s="2" t="n">
        <v>61758</v>
      </c>
      <c r="M1188" s="2" t="n">
        <v>6368</v>
      </c>
      <c r="N1188" s="2" t="n">
        <v>235</v>
      </c>
      <c r="O1188" s="2" t="n">
        <v>398</v>
      </c>
      <c r="P1188" s="2" t="n">
        <v>590</v>
      </c>
      <c r="Q1188" s="2" t="n">
        <v>1694</v>
      </c>
      <c r="R1188" s="2" t="n">
        <v>203</v>
      </c>
      <c r="S1188" s="2" t="n">
        <v>17</v>
      </c>
      <c r="T1188" s="2" t="s">
        <v>33</v>
      </c>
      <c r="U1188" s="4" t="n">
        <f aca="false">(M1188+N1188+O1188+P1188)/L1188</f>
        <v>0.122915249846174</v>
      </c>
      <c r="V1188" s="2" t="str">
        <f aca="false">IF(S1188&lt;=5,"Late night (0-5)",IF(S1188&lt;=11,"Morning (6-11)",IF(S1188&lt;=17,"Afternoon (12-17)","Evening (18-23)")))</f>
        <v>Afternoon (12-17)</v>
      </c>
    </row>
    <row r="1189" customFormat="false" ht="15" hidden="false" customHeight="false" outlineLevel="0" collapsed="false">
      <c r="A1189" s="2" t="s">
        <v>2111</v>
      </c>
      <c r="B1189" s="2" t="s">
        <v>148</v>
      </c>
      <c r="C1189" s="2" t="s">
        <v>48</v>
      </c>
      <c r="D1189" s="3" t="n">
        <v>45690</v>
      </c>
      <c r="E1189" s="2" t="s">
        <v>2011</v>
      </c>
      <c r="F1189" s="2" t="s">
        <v>26</v>
      </c>
      <c r="G1189" s="2" t="n">
        <v>46311</v>
      </c>
      <c r="H1189" s="2" t="n">
        <v>11</v>
      </c>
      <c r="I1189" s="2" t="n">
        <v>405</v>
      </c>
      <c r="J1189" s="2" t="n">
        <v>0</v>
      </c>
      <c r="K1189" s="2" t="n">
        <v>8987</v>
      </c>
      <c r="L1189" s="2" t="n">
        <v>6490</v>
      </c>
      <c r="M1189" s="2" t="n">
        <v>422</v>
      </c>
      <c r="N1189" s="2" t="n">
        <v>19</v>
      </c>
      <c r="O1189" s="2" t="n">
        <v>44</v>
      </c>
      <c r="P1189" s="2" t="n">
        <v>48</v>
      </c>
      <c r="Q1189" s="2" t="n">
        <v>169</v>
      </c>
      <c r="R1189" s="2" t="n">
        <v>24</v>
      </c>
      <c r="S1189" s="2" t="n">
        <v>15</v>
      </c>
      <c r="T1189" s="2" t="s">
        <v>27</v>
      </c>
      <c r="U1189" s="4" t="n">
        <f aca="false">(M1189+N1189+O1189+P1189)/L1189</f>
        <v>0.0821263482280431</v>
      </c>
      <c r="V1189" s="2" t="str">
        <f aca="false">IF(S1189&lt;=5,"Late night (0-5)",IF(S1189&lt;=11,"Morning (6-11)",IF(S1189&lt;=17,"Afternoon (12-17)","Evening (18-23)")))</f>
        <v>Afternoon (12-17)</v>
      </c>
    </row>
    <row r="1190" customFormat="false" ht="15" hidden="false" customHeight="false" outlineLevel="0" collapsed="false">
      <c r="A1190" s="2" t="s">
        <v>2112</v>
      </c>
      <c r="B1190" s="2" t="s">
        <v>264</v>
      </c>
      <c r="C1190" s="2" t="s">
        <v>36</v>
      </c>
      <c r="D1190" s="3" t="n">
        <v>45848</v>
      </c>
      <c r="E1190" s="2" t="s">
        <v>2113</v>
      </c>
      <c r="F1190" s="2" t="s">
        <v>32</v>
      </c>
      <c r="G1190" s="2" t="n">
        <v>22362</v>
      </c>
      <c r="H1190" s="2" t="n">
        <v>12</v>
      </c>
      <c r="I1190" s="2" t="n">
        <v>202</v>
      </c>
      <c r="J1190" s="2" t="n">
        <v>1</v>
      </c>
      <c r="K1190" s="2" t="n">
        <v>16225</v>
      </c>
      <c r="L1190" s="2" t="n">
        <v>12353</v>
      </c>
      <c r="M1190" s="2" t="n">
        <v>605</v>
      </c>
      <c r="N1190" s="2" t="n">
        <v>34</v>
      </c>
      <c r="O1190" s="2" t="n">
        <v>62</v>
      </c>
      <c r="P1190" s="2" t="n">
        <v>119</v>
      </c>
      <c r="Q1190" s="2" t="n">
        <v>178</v>
      </c>
      <c r="R1190" s="2" t="n">
        <v>17</v>
      </c>
      <c r="S1190" s="2" t="n">
        <v>4</v>
      </c>
      <c r="T1190" s="2" t="s">
        <v>79</v>
      </c>
      <c r="U1190" s="4" t="n">
        <f aca="false">(M1190+N1190+O1190+P1190)/L1190</f>
        <v>0.0663806362826844</v>
      </c>
      <c r="V1190" s="2" t="str">
        <f aca="false">IF(S1190&lt;=5,"Late night (0-5)",IF(S1190&lt;=11,"Morning (6-11)",IF(S1190&lt;=17,"Afternoon (12-17)","Evening (18-23)")))</f>
        <v>Late night (0-5)</v>
      </c>
    </row>
    <row r="1191" customFormat="false" ht="15" hidden="false" customHeight="false" outlineLevel="0" collapsed="false">
      <c r="A1191" s="2" t="s">
        <v>2114</v>
      </c>
      <c r="B1191" s="2" t="s">
        <v>310</v>
      </c>
      <c r="C1191" s="2" t="s">
        <v>91</v>
      </c>
      <c r="D1191" s="3" t="n">
        <v>45944</v>
      </c>
      <c r="E1191" s="2" t="s">
        <v>1592</v>
      </c>
      <c r="F1191" s="2" t="s">
        <v>50</v>
      </c>
      <c r="G1191" s="2" t="n">
        <v>56571</v>
      </c>
      <c r="H1191" s="2" t="n">
        <v>11</v>
      </c>
      <c r="I1191" s="2" t="n">
        <v>176</v>
      </c>
      <c r="J1191" s="2" t="n">
        <v>0</v>
      </c>
      <c r="K1191" s="2" t="n">
        <v>30854</v>
      </c>
      <c r="L1191" s="2" t="n">
        <v>21931</v>
      </c>
      <c r="M1191" s="2" t="n">
        <v>1016</v>
      </c>
      <c r="N1191" s="2" t="n">
        <v>60</v>
      </c>
      <c r="O1191" s="2" t="n">
        <v>128</v>
      </c>
      <c r="P1191" s="2" t="n">
        <v>105</v>
      </c>
      <c r="Q1191" s="2" t="n">
        <v>498</v>
      </c>
      <c r="R1191" s="2" t="n">
        <v>105</v>
      </c>
      <c r="S1191" s="2" t="n">
        <v>10</v>
      </c>
      <c r="T1191" s="2" t="s">
        <v>51</v>
      </c>
      <c r="U1191" s="4" t="n">
        <f aca="false">(M1191+N1191+O1191+P1191)/L1191</f>
        <v>0.0596872007660389</v>
      </c>
      <c r="V1191" s="2" t="str">
        <f aca="false">IF(S1191&lt;=5,"Late night (0-5)",IF(S1191&lt;=11,"Morning (6-11)",IF(S1191&lt;=17,"Afternoon (12-17)","Evening (18-23)")))</f>
        <v>Morning (6-11)</v>
      </c>
    </row>
    <row r="1192" customFormat="false" ht="15" hidden="false" customHeight="false" outlineLevel="0" collapsed="false">
      <c r="A1192" s="2" t="s">
        <v>2115</v>
      </c>
      <c r="B1192" s="2" t="s">
        <v>87</v>
      </c>
      <c r="C1192" s="2" t="s">
        <v>36</v>
      </c>
      <c r="D1192" s="3" t="n">
        <v>45982</v>
      </c>
      <c r="E1192" s="2" t="s">
        <v>2116</v>
      </c>
      <c r="F1192" s="2" t="s">
        <v>38</v>
      </c>
      <c r="G1192" s="2" t="n">
        <v>25592</v>
      </c>
      <c r="H1192" s="2" t="n">
        <v>9</v>
      </c>
      <c r="I1192" s="2" t="n">
        <v>205</v>
      </c>
      <c r="J1192" s="2" t="n">
        <v>0</v>
      </c>
      <c r="K1192" s="2" t="n">
        <v>6641</v>
      </c>
      <c r="L1192" s="2" t="n">
        <v>5412</v>
      </c>
      <c r="M1192" s="2" t="n">
        <v>315</v>
      </c>
      <c r="N1192" s="2" t="n">
        <v>20</v>
      </c>
      <c r="O1192" s="2" t="n">
        <v>35</v>
      </c>
      <c r="P1192" s="2" t="n">
        <v>40</v>
      </c>
      <c r="Q1192" s="2" t="n">
        <v>117</v>
      </c>
      <c r="R1192" s="2" t="n">
        <v>19</v>
      </c>
      <c r="S1192" s="2" t="n">
        <v>2</v>
      </c>
      <c r="T1192" s="2" t="s">
        <v>96</v>
      </c>
      <c r="U1192" s="4" t="n">
        <f aca="false">(M1192+N1192+O1192+P1192)/L1192</f>
        <v>0.0757575757575758</v>
      </c>
      <c r="V1192" s="2" t="str">
        <f aca="false">IF(S1192&lt;=5,"Late night (0-5)",IF(S1192&lt;=11,"Morning (6-11)",IF(S1192&lt;=17,"Afternoon (12-17)","Evening (18-23)")))</f>
        <v>Late night (0-5)</v>
      </c>
    </row>
    <row r="1193" customFormat="false" ht="15" hidden="false" customHeight="false" outlineLevel="0" collapsed="false">
      <c r="A1193" s="2" t="s">
        <v>2117</v>
      </c>
      <c r="B1193" s="2" t="s">
        <v>114</v>
      </c>
      <c r="C1193" s="2" t="s">
        <v>84</v>
      </c>
      <c r="D1193" s="3" t="n">
        <v>45900</v>
      </c>
      <c r="E1193" s="2" t="s">
        <v>2118</v>
      </c>
      <c r="F1193" s="2" t="s">
        <v>26</v>
      </c>
      <c r="G1193" s="2" t="n">
        <v>64307</v>
      </c>
      <c r="H1193" s="2" t="n">
        <v>6</v>
      </c>
      <c r="I1193" s="2" t="n">
        <v>211</v>
      </c>
      <c r="J1193" s="2" t="n">
        <v>1</v>
      </c>
      <c r="K1193" s="2" t="n">
        <v>52568</v>
      </c>
      <c r="L1193" s="2" t="n">
        <v>36313</v>
      </c>
      <c r="M1193" s="2" t="n">
        <v>1219</v>
      </c>
      <c r="N1193" s="2" t="n">
        <v>85</v>
      </c>
      <c r="O1193" s="2" t="n">
        <v>83</v>
      </c>
      <c r="P1193" s="2" t="n">
        <v>460</v>
      </c>
      <c r="Q1193" s="2" t="n">
        <v>1013</v>
      </c>
      <c r="R1193" s="2" t="n">
        <v>69</v>
      </c>
      <c r="S1193" s="2" t="n">
        <v>5</v>
      </c>
      <c r="T1193" s="2" t="s">
        <v>27</v>
      </c>
      <c r="U1193" s="4" t="n">
        <f aca="false">(M1193+N1193+O1193+P1193)/L1193</f>
        <v>0.0508633271831025</v>
      </c>
      <c r="V1193" s="2" t="str">
        <f aca="false">IF(S1193&lt;=5,"Late night (0-5)",IF(S1193&lt;=11,"Morning (6-11)",IF(S1193&lt;=17,"Afternoon (12-17)","Evening (18-23)")))</f>
        <v>Late night (0-5)</v>
      </c>
    </row>
    <row r="1194" customFormat="false" ht="15" hidden="false" customHeight="false" outlineLevel="0" collapsed="false">
      <c r="A1194" s="2" t="s">
        <v>2119</v>
      </c>
      <c r="B1194" s="2" t="s">
        <v>390</v>
      </c>
      <c r="C1194" s="2" t="s">
        <v>36</v>
      </c>
      <c r="D1194" s="3" t="n">
        <v>45849</v>
      </c>
      <c r="E1194" s="2" t="s">
        <v>2120</v>
      </c>
      <c r="F1194" s="2" t="s">
        <v>32</v>
      </c>
      <c r="G1194" s="2" t="n">
        <v>30232</v>
      </c>
      <c r="H1194" s="2" t="n">
        <v>17</v>
      </c>
      <c r="I1194" s="2" t="n">
        <v>152</v>
      </c>
      <c r="J1194" s="2" t="n">
        <v>1</v>
      </c>
      <c r="K1194" s="2" t="n">
        <v>65118</v>
      </c>
      <c r="L1194" s="2" t="n">
        <v>37791</v>
      </c>
      <c r="M1194" s="2" t="n">
        <v>1737</v>
      </c>
      <c r="N1194" s="2" t="n">
        <v>91</v>
      </c>
      <c r="O1194" s="2" t="n">
        <v>117</v>
      </c>
      <c r="P1194" s="2" t="n">
        <v>183</v>
      </c>
      <c r="Q1194" s="2" t="n">
        <v>480</v>
      </c>
      <c r="R1194" s="2" t="n">
        <v>93</v>
      </c>
      <c r="S1194" s="2" t="n">
        <v>19</v>
      </c>
      <c r="T1194" s="2" t="s">
        <v>96</v>
      </c>
      <c r="U1194" s="4" t="n">
        <f aca="false">(M1194+N1194+O1194+P1194)/L1194</f>
        <v>0.0563097033685269</v>
      </c>
      <c r="V1194" s="2" t="str">
        <f aca="false">IF(S1194&lt;=5,"Late night (0-5)",IF(S1194&lt;=11,"Morning (6-11)",IF(S1194&lt;=17,"Afternoon (12-17)","Evening (18-23)")))</f>
        <v>Evening (18-23)</v>
      </c>
    </row>
    <row r="1195" customFormat="false" ht="15" hidden="false" customHeight="false" outlineLevel="0" collapsed="false">
      <c r="A1195" s="2" t="s">
        <v>2121</v>
      </c>
      <c r="B1195" s="2" t="s">
        <v>390</v>
      </c>
      <c r="C1195" s="2" t="s">
        <v>36</v>
      </c>
      <c r="D1195" s="3" t="n">
        <v>45936</v>
      </c>
      <c r="E1195" s="2" t="s">
        <v>1522</v>
      </c>
      <c r="F1195" s="2" t="s">
        <v>32</v>
      </c>
      <c r="G1195" s="2" t="n">
        <v>30232</v>
      </c>
      <c r="H1195" s="2" t="n">
        <v>17</v>
      </c>
      <c r="I1195" s="2" t="n">
        <v>204</v>
      </c>
      <c r="J1195" s="2" t="n">
        <v>0</v>
      </c>
      <c r="K1195" s="2" t="n">
        <v>119720</v>
      </c>
      <c r="L1195" s="2" t="n">
        <v>103518</v>
      </c>
      <c r="M1195" s="2" t="n">
        <v>8583</v>
      </c>
      <c r="N1195" s="2" t="n">
        <v>620</v>
      </c>
      <c r="O1195" s="2" t="n">
        <v>1774</v>
      </c>
      <c r="P1195" s="2" t="n">
        <v>1349</v>
      </c>
      <c r="Q1195" s="2" t="n">
        <v>1633</v>
      </c>
      <c r="R1195" s="2" t="n">
        <v>96</v>
      </c>
      <c r="S1195" s="2" t="n">
        <v>22</v>
      </c>
      <c r="T1195" s="2" t="s">
        <v>33</v>
      </c>
      <c r="U1195" s="4" t="n">
        <f aca="false">(M1195+N1195+O1195+P1195)/L1195</f>
        <v>0.1190710794258</v>
      </c>
      <c r="V1195" s="2" t="str">
        <f aca="false">IF(S1195&lt;=5,"Late night (0-5)",IF(S1195&lt;=11,"Morning (6-11)",IF(S1195&lt;=17,"Afternoon (12-17)","Evening (18-23)")))</f>
        <v>Evening (18-23)</v>
      </c>
    </row>
    <row r="1196" customFormat="false" ht="15" hidden="false" customHeight="false" outlineLevel="0" collapsed="false">
      <c r="A1196" s="2" t="s">
        <v>2122</v>
      </c>
      <c r="B1196" s="2" t="s">
        <v>459</v>
      </c>
      <c r="C1196" s="2" t="s">
        <v>84</v>
      </c>
      <c r="D1196" s="3" t="n">
        <v>46016</v>
      </c>
      <c r="E1196" s="2" t="s">
        <v>2123</v>
      </c>
      <c r="F1196" s="2" t="s">
        <v>50</v>
      </c>
      <c r="G1196" s="2" t="n">
        <v>19744</v>
      </c>
      <c r="H1196" s="2" t="n">
        <v>8</v>
      </c>
      <c r="I1196" s="2" t="n">
        <v>65</v>
      </c>
      <c r="J1196" s="2" t="n">
        <v>1</v>
      </c>
      <c r="K1196" s="2" t="n">
        <v>39184</v>
      </c>
      <c r="L1196" s="2" t="n">
        <v>25372</v>
      </c>
      <c r="M1196" s="2" t="n">
        <v>1852</v>
      </c>
      <c r="N1196" s="2" t="n">
        <v>116</v>
      </c>
      <c r="O1196" s="2" t="n">
        <v>255</v>
      </c>
      <c r="P1196" s="2" t="n">
        <v>487</v>
      </c>
      <c r="Q1196" s="2" t="n">
        <v>375</v>
      </c>
      <c r="R1196" s="2" t="n">
        <v>98</v>
      </c>
      <c r="S1196" s="2" t="n">
        <v>22</v>
      </c>
      <c r="T1196" s="2" t="s">
        <v>79</v>
      </c>
      <c r="U1196" s="4" t="n">
        <f aca="false">(M1196+N1196+O1196+P1196)/L1196</f>
        <v>0.106810657417626</v>
      </c>
      <c r="V1196" s="2" t="str">
        <f aca="false">IF(S1196&lt;=5,"Late night (0-5)",IF(S1196&lt;=11,"Morning (6-11)",IF(S1196&lt;=17,"Afternoon (12-17)","Evening (18-23)")))</f>
        <v>Evening (18-23)</v>
      </c>
    </row>
    <row r="1197" customFormat="false" ht="15" hidden="false" customHeight="false" outlineLevel="0" collapsed="false">
      <c r="A1197" s="2" t="s">
        <v>2124</v>
      </c>
      <c r="B1197" s="2" t="s">
        <v>452</v>
      </c>
      <c r="C1197" s="2" t="s">
        <v>91</v>
      </c>
      <c r="D1197" s="3" t="n">
        <v>45799</v>
      </c>
      <c r="E1197" s="2" t="s">
        <v>929</v>
      </c>
      <c r="F1197" s="2" t="s">
        <v>50</v>
      </c>
      <c r="G1197" s="2" t="n">
        <v>14201</v>
      </c>
      <c r="H1197" s="2" t="n">
        <v>12</v>
      </c>
      <c r="I1197" s="2" t="n">
        <v>389</v>
      </c>
      <c r="J1197" s="2" t="n">
        <v>1</v>
      </c>
      <c r="K1197" s="2" t="n">
        <v>9221</v>
      </c>
      <c r="L1197" s="2" t="n">
        <v>7548</v>
      </c>
      <c r="M1197" s="2" t="n">
        <v>293</v>
      </c>
      <c r="N1197" s="2" t="n">
        <v>7</v>
      </c>
      <c r="O1197" s="2" t="n">
        <v>41</v>
      </c>
      <c r="P1197" s="2" t="n">
        <v>24</v>
      </c>
      <c r="Q1197" s="2" t="n">
        <v>53</v>
      </c>
      <c r="R1197" s="2" t="n">
        <v>7</v>
      </c>
      <c r="S1197" s="2" t="n">
        <v>13</v>
      </c>
      <c r="T1197" s="2" t="s">
        <v>79</v>
      </c>
      <c r="U1197" s="4" t="n">
        <f aca="false">(M1197+N1197+O1197+P1197)/L1197</f>
        <v>0.0483571807101219</v>
      </c>
      <c r="V1197" s="2" t="str">
        <f aca="false">IF(S1197&lt;=5,"Late night (0-5)",IF(S1197&lt;=11,"Morning (6-11)",IF(S1197&lt;=17,"Afternoon (12-17)","Evening (18-23)")))</f>
        <v>Afternoon (12-17)</v>
      </c>
    </row>
    <row r="1198" customFormat="false" ht="15" hidden="false" customHeight="false" outlineLevel="0" collapsed="false">
      <c r="A1198" s="2" t="s">
        <v>2125</v>
      </c>
      <c r="B1198" s="2" t="s">
        <v>23</v>
      </c>
      <c r="C1198" s="2" t="s">
        <v>24</v>
      </c>
      <c r="D1198" s="3" t="n">
        <v>45728</v>
      </c>
      <c r="E1198" s="2" t="s">
        <v>1488</v>
      </c>
      <c r="F1198" s="2" t="s">
        <v>38</v>
      </c>
      <c r="G1198" s="2" t="n">
        <v>63447</v>
      </c>
      <c r="H1198" s="2" t="n">
        <v>18</v>
      </c>
      <c r="I1198" s="2" t="n">
        <v>214</v>
      </c>
      <c r="J1198" s="2" t="n">
        <v>0</v>
      </c>
      <c r="K1198" s="2" t="n">
        <v>25827</v>
      </c>
      <c r="L1198" s="2" t="n">
        <v>16602</v>
      </c>
      <c r="M1198" s="2" t="n">
        <v>1398</v>
      </c>
      <c r="N1198" s="2" t="n">
        <v>105</v>
      </c>
      <c r="O1198" s="2" t="n">
        <v>183</v>
      </c>
      <c r="P1198" s="2" t="n">
        <v>215</v>
      </c>
      <c r="Q1198" s="2" t="n">
        <v>233</v>
      </c>
      <c r="R1198" s="2" t="n">
        <v>59</v>
      </c>
      <c r="S1198" s="2" t="n">
        <v>4</v>
      </c>
      <c r="T1198" s="2" t="s">
        <v>66</v>
      </c>
      <c r="U1198" s="4" t="n">
        <f aca="false">(M1198+N1198+O1198+P1198)/L1198</f>
        <v>0.114504276593182</v>
      </c>
      <c r="V1198" s="2" t="str">
        <f aca="false">IF(S1198&lt;=5,"Late night (0-5)",IF(S1198&lt;=11,"Morning (6-11)",IF(S1198&lt;=17,"Afternoon (12-17)","Evening (18-23)")))</f>
        <v>Late night (0-5)</v>
      </c>
    </row>
    <row r="1199" customFormat="false" ht="15" hidden="false" customHeight="false" outlineLevel="0" collapsed="false">
      <c r="A1199" s="2" t="s">
        <v>2126</v>
      </c>
      <c r="B1199" s="2" t="s">
        <v>68</v>
      </c>
      <c r="C1199" s="2" t="s">
        <v>54</v>
      </c>
      <c r="D1199" s="3" t="n">
        <v>45983</v>
      </c>
      <c r="E1199" s="2" t="s">
        <v>130</v>
      </c>
      <c r="F1199" s="2" t="s">
        <v>32</v>
      </c>
      <c r="G1199" s="2" t="n">
        <v>35922</v>
      </c>
      <c r="H1199" s="2" t="n">
        <v>13</v>
      </c>
      <c r="I1199" s="2" t="n">
        <v>250</v>
      </c>
      <c r="J1199" s="2" t="n">
        <v>0</v>
      </c>
      <c r="K1199" s="2" t="n">
        <v>52787</v>
      </c>
      <c r="L1199" s="2" t="n">
        <v>38467</v>
      </c>
      <c r="M1199" s="2" t="n">
        <v>3641</v>
      </c>
      <c r="N1199" s="2" t="n">
        <v>110</v>
      </c>
      <c r="O1199" s="2" t="n">
        <v>814</v>
      </c>
      <c r="P1199" s="2" t="n">
        <v>601</v>
      </c>
      <c r="Q1199" s="2" t="n">
        <v>260</v>
      </c>
      <c r="R1199" s="2" t="n">
        <v>24</v>
      </c>
      <c r="S1199" s="2" t="n">
        <v>4</v>
      </c>
      <c r="T1199" s="2" t="s">
        <v>62</v>
      </c>
      <c r="U1199" s="4" t="n">
        <f aca="false">(M1199+N1199+O1199+P1199)/L1199</f>
        <v>0.134296929835963</v>
      </c>
      <c r="V1199" s="2" t="str">
        <f aca="false">IF(S1199&lt;=5,"Late night (0-5)",IF(S1199&lt;=11,"Morning (6-11)",IF(S1199&lt;=17,"Afternoon (12-17)","Evening (18-23)")))</f>
        <v>Late night (0-5)</v>
      </c>
    </row>
    <row r="1200" customFormat="false" ht="15" hidden="false" customHeight="false" outlineLevel="0" collapsed="false">
      <c r="A1200" s="2" t="s">
        <v>2127</v>
      </c>
      <c r="B1200" s="2" t="s">
        <v>83</v>
      </c>
      <c r="C1200" s="2" t="s">
        <v>84</v>
      </c>
      <c r="D1200" s="3" t="n">
        <v>45741</v>
      </c>
      <c r="E1200" s="2" t="s">
        <v>1281</v>
      </c>
      <c r="F1200" s="2" t="s">
        <v>32</v>
      </c>
      <c r="G1200" s="2" t="n">
        <v>17918</v>
      </c>
      <c r="H1200" s="2" t="n">
        <v>14</v>
      </c>
      <c r="I1200" s="2" t="n">
        <v>70</v>
      </c>
      <c r="J1200" s="2" t="n">
        <v>0</v>
      </c>
      <c r="K1200" s="2" t="n">
        <v>23561</v>
      </c>
      <c r="L1200" s="2" t="n">
        <v>20519</v>
      </c>
      <c r="M1200" s="2" t="n">
        <v>1615</v>
      </c>
      <c r="N1200" s="2" t="n">
        <v>128</v>
      </c>
      <c r="O1200" s="2" t="n">
        <v>462</v>
      </c>
      <c r="P1200" s="2" t="n">
        <v>123</v>
      </c>
      <c r="Q1200" s="2" t="n">
        <v>305</v>
      </c>
      <c r="R1200" s="2" t="n">
        <v>39</v>
      </c>
      <c r="S1200" s="2" t="n">
        <v>19</v>
      </c>
      <c r="T1200" s="2" t="s">
        <v>51</v>
      </c>
      <c r="U1200" s="4" t="n">
        <f aca="false">(M1200+N1200+O1200+P1200)/L1200</f>
        <v>0.113455821433793</v>
      </c>
      <c r="V1200" s="2" t="str">
        <f aca="false">IF(S1200&lt;=5,"Late night (0-5)",IF(S1200&lt;=11,"Morning (6-11)",IF(S1200&lt;=17,"Afternoon (12-17)","Evening (18-23)")))</f>
        <v>Evening (18-23)</v>
      </c>
    </row>
    <row r="1201" customFormat="false" ht="15" hidden="false" customHeight="false" outlineLevel="0" collapsed="false">
      <c r="A1201" s="2" t="s">
        <v>2128</v>
      </c>
      <c r="B1201" s="2" t="s">
        <v>193</v>
      </c>
      <c r="C1201" s="2" t="s">
        <v>36</v>
      </c>
      <c r="D1201" s="3" t="n">
        <v>45755</v>
      </c>
      <c r="E1201" s="2" t="s">
        <v>1947</v>
      </c>
      <c r="F1201" s="2" t="s">
        <v>26</v>
      </c>
      <c r="G1201" s="2" t="n">
        <v>26454</v>
      </c>
      <c r="H1201" s="2" t="n">
        <v>16</v>
      </c>
      <c r="I1201" s="2" t="n">
        <v>281</v>
      </c>
      <c r="J1201" s="2" t="n">
        <v>0</v>
      </c>
      <c r="K1201" s="2" t="n">
        <v>6404</v>
      </c>
      <c r="L1201" s="2" t="n">
        <v>5283</v>
      </c>
      <c r="M1201" s="2" t="n">
        <v>222</v>
      </c>
      <c r="N1201" s="2" t="n">
        <v>11</v>
      </c>
      <c r="O1201" s="2" t="n">
        <v>24</v>
      </c>
      <c r="P1201" s="2" t="n">
        <v>59</v>
      </c>
      <c r="Q1201" s="2" t="n">
        <v>32</v>
      </c>
      <c r="R1201" s="2" t="n">
        <v>4</v>
      </c>
      <c r="S1201" s="2" t="n">
        <v>10</v>
      </c>
      <c r="T1201" s="2" t="s">
        <v>51</v>
      </c>
      <c r="U1201" s="4" t="n">
        <f aca="false">(M1201+N1201+O1201+P1201)/L1201</f>
        <v>0.0598144993374976</v>
      </c>
      <c r="V1201" s="2" t="str">
        <f aca="false">IF(S1201&lt;=5,"Late night (0-5)",IF(S1201&lt;=11,"Morning (6-11)",IF(S1201&lt;=17,"Afternoon (12-17)","Evening (18-23)")))</f>
        <v>Morning (6-11)</v>
      </c>
    </row>
    <row r="1202" customFormat="false" ht="15" hidden="false" customHeight="false" outlineLevel="0" collapsed="false">
      <c r="A1202" s="2" t="s">
        <v>2129</v>
      </c>
      <c r="B1202" s="2" t="s">
        <v>135</v>
      </c>
      <c r="C1202" s="2" t="s">
        <v>36</v>
      </c>
      <c r="D1202" s="3" t="n">
        <v>45747</v>
      </c>
      <c r="E1202" s="2" t="s">
        <v>2031</v>
      </c>
      <c r="F1202" s="2" t="s">
        <v>50</v>
      </c>
      <c r="G1202" s="2" t="n">
        <v>45812</v>
      </c>
      <c r="H1202" s="2" t="n">
        <v>12</v>
      </c>
      <c r="I1202" s="2" t="n">
        <v>97</v>
      </c>
      <c r="J1202" s="2" t="n">
        <v>0</v>
      </c>
      <c r="K1202" s="2" t="n">
        <v>38512</v>
      </c>
      <c r="L1202" s="2" t="n">
        <v>25161</v>
      </c>
      <c r="M1202" s="2" t="n">
        <v>833</v>
      </c>
      <c r="N1202" s="2" t="n">
        <v>38</v>
      </c>
      <c r="O1202" s="2" t="n">
        <v>58</v>
      </c>
      <c r="P1202" s="2" t="n">
        <v>240</v>
      </c>
      <c r="Q1202" s="2" t="n">
        <v>354</v>
      </c>
      <c r="R1202" s="2" t="n">
        <v>60</v>
      </c>
      <c r="S1202" s="2" t="n">
        <v>12</v>
      </c>
      <c r="T1202" s="2" t="s">
        <v>33</v>
      </c>
      <c r="U1202" s="4" t="n">
        <f aca="false">(M1202+N1202+O1202+P1202)/L1202</f>
        <v>0.0464607924963237</v>
      </c>
      <c r="V1202" s="2" t="str">
        <f aca="false">IF(S1202&lt;=5,"Late night (0-5)",IF(S1202&lt;=11,"Morning (6-11)",IF(S1202&lt;=17,"Afternoon (12-17)","Evening (18-23)")))</f>
        <v>Afternoon (12-17)</v>
      </c>
    </row>
    <row r="1203" customFormat="false" ht="15" hidden="false" customHeight="false" outlineLevel="0" collapsed="false">
      <c r="A1203" s="2" t="s">
        <v>2130</v>
      </c>
      <c r="B1203" s="2" t="s">
        <v>390</v>
      </c>
      <c r="C1203" s="2" t="s">
        <v>36</v>
      </c>
      <c r="D1203" s="3" t="n">
        <v>45811</v>
      </c>
      <c r="E1203" s="2" t="s">
        <v>2131</v>
      </c>
      <c r="F1203" s="2" t="s">
        <v>26</v>
      </c>
      <c r="G1203" s="2" t="n">
        <v>30232</v>
      </c>
      <c r="H1203" s="2" t="n">
        <v>16</v>
      </c>
      <c r="I1203" s="2" t="n">
        <v>231</v>
      </c>
      <c r="J1203" s="2" t="n">
        <v>0</v>
      </c>
      <c r="K1203" s="2" t="n">
        <v>27063</v>
      </c>
      <c r="L1203" s="2" t="n">
        <v>19379</v>
      </c>
      <c r="M1203" s="2" t="n">
        <v>1171</v>
      </c>
      <c r="N1203" s="2" t="n">
        <v>36</v>
      </c>
      <c r="O1203" s="2" t="n">
        <v>153</v>
      </c>
      <c r="P1203" s="2" t="n">
        <v>233</v>
      </c>
      <c r="Q1203" s="2" t="n">
        <v>265</v>
      </c>
      <c r="R1203" s="2" t="n">
        <v>76</v>
      </c>
      <c r="S1203" s="2" t="n">
        <v>10</v>
      </c>
      <c r="T1203" s="2" t="s">
        <v>51</v>
      </c>
      <c r="U1203" s="4" t="n">
        <f aca="false">(M1203+N1203+O1203+P1203)/L1203</f>
        <v>0.0822023840239435</v>
      </c>
      <c r="V1203" s="2" t="str">
        <f aca="false">IF(S1203&lt;=5,"Late night (0-5)",IF(S1203&lt;=11,"Morning (6-11)",IF(S1203&lt;=17,"Afternoon (12-17)","Evening (18-23)")))</f>
        <v>Morning (6-11)</v>
      </c>
    </row>
    <row r="1204" customFormat="false" ht="15" hidden="false" customHeight="false" outlineLevel="0" collapsed="false">
      <c r="A1204" s="2" t="s">
        <v>2132</v>
      </c>
      <c r="B1204" s="2" t="s">
        <v>44</v>
      </c>
      <c r="C1204" s="2" t="s">
        <v>36</v>
      </c>
      <c r="D1204" s="3" t="n">
        <v>45970</v>
      </c>
      <c r="E1204" s="2" t="s">
        <v>1693</v>
      </c>
      <c r="F1204" s="2" t="s">
        <v>32</v>
      </c>
      <c r="G1204" s="2" t="n">
        <v>6265</v>
      </c>
      <c r="H1204" s="2" t="n">
        <v>3</v>
      </c>
      <c r="I1204" s="2" t="n">
        <v>134</v>
      </c>
      <c r="J1204" s="2" t="n">
        <v>0</v>
      </c>
      <c r="K1204" s="2" t="n">
        <v>11923</v>
      </c>
      <c r="L1204" s="2" t="n">
        <v>6757</v>
      </c>
      <c r="M1204" s="2" t="n">
        <v>396</v>
      </c>
      <c r="N1204" s="2" t="n">
        <v>17</v>
      </c>
      <c r="O1204" s="2" t="n">
        <v>116</v>
      </c>
      <c r="P1204" s="2" t="n">
        <v>30</v>
      </c>
      <c r="Q1204" s="2" t="n">
        <v>168</v>
      </c>
      <c r="R1204" s="2" t="n">
        <v>8</v>
      </c>
      <c r="S1204" s="2" t="n">
        <v>15</v>
      </c>
      <c r="T1204" s="2" t="s">
        <v>27</v>
      </c>
      <c r="U1204" s="4" t="n">
        <f aca="false">(M1204+N1204+O1204+P1204)/L1204</f>
        <v>0.0827290217552168</v>
      </c>
      <c r="V1204" s="2" t="str">
        <f aca="false">IF(S1204&lt;=5,"Late night (0-5)",IF(S1204&lt;=11,"Morning (6-11)",IF(S1204&lt;=17,"Afternoon (12-17)","Evening (18-23)")))</f>
        <v>Afternoon (12-17)</v>
      </c>
    </row>
    <row r="1205" customFormat="false" ht="15" hidden="false" customHeight="false" outlineLevel="0" collapsed="false">
      <c r="A1205" s="2" t="s">
        <v>2133</v>
      </c>
      <c r="B1205" s="2" t="s">
        <v>138</v>
      </c>
      <c r="C1205" s="2" t="s">
        <v>41</v>
      </c>
      <c r="D1205" s="3" t="n">
        <v>45812</v>
      </c>
      <c r="E1205" s="2" t="s">
        <v>1799</v>
      </c>
      <c r="F1205" s="2" t="s">
        <v>38</v>
      </c>
      <c r="G1205" s="2" t="n">
        <v>18712</v>
      </c>
      <c r="H1205" s="2" t="n">
        <v>17</v>
      </c>
      <c r="I1205" s="2" t="n">
        <v>35</v>
      </c>
      <c r="J1205" s="2" t="n">
        <v>0</v>
      </c>
      <c r="K1205" s="2" t="n">
        <v>10700</v>
      </c>
      <c r="L1205" s="2" t="n">
        <v>6700</v>
      </c>
      <c r="M1205" s="2" t="n">
        <v>519</v>
      </c>
      <c r="N1205" s="2" t="n">
        <v>14</v>
      </c>
      <c r="O1205" s="2" t="n">
        <v>75</v>
      </c>
      <c r="P1205" s="2" t="n">
        <v>121</v>
      </c>
      <c r="Q1205" s="2" t="n">
        <v>83</v>
      </c>
      <c r="R1205" s="2" t="n">
        <v>22</v>
      </c>
      <c r="S1205" s="2" t="n">
        <v>16</v>
      </c>
      <c r="T1205" s="2" t="s">
        <v>66</v>
      </c>
      <c r="U1205" s="4" t="n">
        <f aca="false">(M1205+N1205+O1205+P1205)/L1205</f>
        <v>0.108805970149254</v>
      </c>
      <c r="V1205" s="2" t="str">
        <f aca="false">IF(S1205&lt;=5,"Late night (0-5)",IF(S1205&lt;=11,"Morning (6-11)",IF(S1205&lt;=17,"Afternoon (12-17)","Evening (18-23)")))</f>
        <v>Afternoon (12-17)</v>
      </c>
    </row>
    <row r="1206" customFormat="false" ht="15" hidden="false" customHeight="false" outlineLevel="0" collapsed="false">
      <c r="A1206" s="2" t="s">
        <v>2134</v>
      </c>
      <c r="B1206" s="2" t="s">
        <v>53</v>
      </c>
      <c r="C1206" s="2" t="s">
        <v>54</v>
      </c>
      <c r="D1206" s="3" t="n">
        <v>45886</v>
      </c>
      <c r="E1206" s="2" t="s">
        <v>1835</v>
      </c>
      <c r="F1206" s="2" t="s">
        <v>38</v>
      </c>
      <c r="G1206" s="2" t="n">
        <v>11318</v>
      </c>
      <c r="H1206" s="2" t="n">
        <v>17</v>
      </c>
      <c r="I1206" s="2" t="n">
        <v>182</v>
      </c>
      <c r="J1206" s="2" t="n">
        <v>0</v>
      </c>
      <c r="K1206" s="2" t="n">
        <v>32675</v>
      </c>
      <c r="L1206" s="2" t="n">
        <v>19429</v>
      </c>
      <c r="M1206" s="2" t="n">
        <v>1037</v>
      </c>
      <c r="N1206" s="2" t="n">
        <v>59</v>
      </c>
      <c r="O1206" s="2" t="n">
        <v>150</v>
      </c>
      <c r="P1206" s="2" t="n">
        <v>185</v>
      </c>
      <c r="Q1206" s="2" t="n">
        <v>177</v>
      </c>
      <c r="R1206" s="2" t="n">
        <v>39</v>
      </c>
      <c r="S1206" s="2" t="n">
        <v>13</v>
      </c>
      <c r="T1206" s="2" t="s">
        <v>27</v>
      </c>
      <c r="U1206" s="4" t="n">
        <f aca="false">(M1206+N1206+O1206+P1206)/L1206</f>
        <v>0.0736527870708734</v>
      </c>
      <c r="V1206" s="2" t="str">
        <f aca="false">IF(S1206&lt;=5,"Late night (0-5)",IF(S1206&lt;=11,"Morning (6-11)",IF(S1206&lt;=17,"Afternoon (12-17)","Evening (18-23)")))</f>
        <v>Afternoon (12-17)</v>
      </c>
    </row>
    <row r="1207" customFormat="false" ht="15" hidden="false" customHeight="false" outlineLevel="0" collapsed="false">
      <c r="A1207" s="2" t="s">
        <v>2135</v>
      </c>
      <c r="B1207" s="2" t="s">
        <v>138</v>
      </c>
      <c r="C1207" s="2" t="s">
        <v>41</v>
      </c>
      <c r="D1207" s="3" t="n">
        <v>45926</v>
      </c>
      <c r="E1207" s="2" t="s">
        <v>1493</v>
      </c>
      <c r="F1207" s="2" t="s">
        <v>50</v>
      </c>
      <c r="G1207" s="2" t="n">
        <v>18712</v>
      </c>
      <c r="H1207" s="2" t="n">
        <v>6</v>
      </c>
      <c r="I1207" s="2" t="n">
        <v>182</v>
      </c>
      <c r="J1207" s="2" t="n">
        <v>0</v>
      </c>
      <c r="K1207" s="2" t="n">
        <v>15867</v>
      </c>
      <c r="L1207" s="2" t="n">
        <v>10900</v>
      </c>
      <c r="M1207" s="2" t="n">
        <v>612</v>
      </c>
      <c r="N1207" s="2" t="n">
        <v>48</v>
      </c>
      <c r="O1207" s="2" t="n">
        <v>68</v>
      </c>
      <c r="P1207" s="2" t="n">
        <v>103</v>
      </c>
      <c r="Q1207" s="2" t="n">
        <v>169</v>
      </c>
      <c r="R1207" s="2" t="n">
        <v>11</v>
      </c>
      <c r="S1207" s="2" t="n">
        <v>23</v>
      </c>
      <c r="T1207" s="2" t="s">
        <v>96</v>
      </c>
      <c r="U1207" s="4" t="n">
        <f aca="false">(M1207+N1207+O1207+P1207)/L1207</f>
        <v>0.0762385321100917</v>
      </c>
      <c r="V1207" s="2" t="str">
        <f aca="false">IF(S1207&lt;=5,"Late night (0-5)",IF(S1207&lt;=11,"Morning (6-11)",IF(S1207&lt;=17,"Afternoon (12-17)","Evening (18-23)")))</f>
        <v>Evening (18-23)</v>
      </c>
    </row>
    <row r="1208" customFormat="false" ht="15" hidden="false" customHeight="false" outlineLevel="0" collapsed="false">
      <c r="A1208" s="2" t="s">
        <v>2136</v>
      </c>
      <c r="B1208" s="2" t="s">
        <v>148</v>
      </c>
      <c r="C1208" s="2" t="s">
        <v>48</v>
      </c>
      <c r="D1208" s="3" t="n">
        <v>46008</v>
      </c>
      <c r="E1208" s="2" t="s">
        <v>1136</v>
      </c>
      <c r="F1208" s="2" t="s">
        <v>38</v>
      </c>
      <c r="G1208" s="2" t="n">
        <v>46311</v>
      </c>
      <c r="H1208" s="2" t="n">
        <v>15</v>
      </c>
      <c r="I1208" s="2" t="n">
        <v>179</v>
      </c>
      <c r="J1208" s="2" t="n">
        <v>1</v>
      </c>
      <c r="K1208" s="2" t="n">
        <v>30720</v>
      </c>
      <c r="L1208" s="2" t="n">
        <v>19789</v>
      </c>
      <c r="M1208" s="2" t="n">
        <v>797</v>
      </c>
      <c r="N1208" s="2" t="n">
        <v>58</v>
      </c>
      <c r="O1208" s="2" t="n">
        <v>87</v>
      </c>
      <c r="P1208" s="2" t="n">
        <v>134</v>
      </c>
      <c r="Q1208" s="2" t="n">
        <v>561</v>
      </c>
      <c r="R1208" s="2" t="n">
        <v>36</v>
      </c>
      <c r="S1208" s="2" t="n">
        <v>6</v>
      </c>
      <c r="T1208" s="2" t="s">
        <v>66</v>
      </c>
      <c r="U1208" s="4" t="n">
        <f aca="false">(M1208+N1208+O1208+P1208)/L1208</f>
        <v>0.0543736419222801</v>
      </c>
      <c r="V1208" s="2" t="str">
        <f aca="false">IF(S1208&lt;=5,"Late night (0-5)",IF(S1208&lt;=11,"Morning (6-11)",IF(S1208&lt;=17,"Afternoon (12-17)","Evening (18-23)")))</f>
        <v>Morning (6-11)</v>
      </c>
    </row>
    <row r="1209" customFormat="false" ht="15" hidden="false" customHeight="false" outlineLevel="0" collapsed="false">
      <c r="A1209" s="2" t="s">
        <v>2137</v>
      </c>
      <c r="B1209" s="2" t="s">
        <v>452</v>
      </c>
      <c r="C1209" s="2" t="s">
        <v>91</v>
      </c>
      <c r="D1209" s="3" t="n">
        <v>45718</v>
      </c>
      <c r="E1209" s="2" t="s">
        <v>446</v>
      </c>
      <c r="F1209" s="2" t="s">
        <v>32</v>
      </c>
      <c r="G1209" s="2" t="n">
        <v>14201</v>
      </c>
      <c r="H1209" s="2" t="n">
        <v>15</v>
      </c>
      <c r="I1209" s="2" t="n">
        <v>195</v>
      </c>
      <c r="J1209" s="2" t="n">
        <v>0</v>
      </c>
      <c r="K1209" s="2" t="n">
        <v>18499</v>
      </c>
      <c r="L1209" s="2" t="n">
        <v>12700</v>
      </c>
      <c r="M1209" s="2" t="n">
        <v>559</v>
      </c>
      <c r="N1209" s="2" t="n">
        <v>44</v>
      </c>
      <c r="O1209" s="2" t="n">
        <v>43</v>
      </c>
      <c r="P1209" s="2" t="n">
        <v>85</v>
      </c>
      <c r="Q1209" s="2" t="n">
        <v>333</v>
      </c>
      <c r="R1209" s="2" t="n">
        <v>37</v>
      </c>
      <c r="S1209" s="2" t="n">
        <v>6</v>
      </c>
      <c r="T1209" s="2" t="s">
        <v>27</v>
      </c>
      <c r="U1209" s="4" t="n">
        <f aca="false">(M1209+N1209+O1209+P1209)/L1209</f>
        <v>0.0575590551181102</v>
      </c>
      <c r="V1209" s="2" t="str">
        <f aca="false">IF(S1209&lt;=5,"Late night (0-5)",IF(S1209&lt;=11,"Morning (6-11)",IF(S1209&lt;=17,"Afternoon (12-17)","Evening (18-23)")))</f>
        <v>Morning (6-11)</v>
      </c>
    </row>
    <row r="1210" customFormat="false" ht="15" hidden="false" customHeight="false" outlineLevel="0" collapsed="false">
      <c r="A1210" s="2" t="s">
        <v>2138</v>
      </c>
      <c r="B1210" s="2" t="s">
        <v>371</v>
      </c>
      <c r="C1210" s="2" t="s">
        <v>48</v>
      </c>
      <c r="D1210" s="3" t="n">
        <v>45872</v>
      </c>
      <c r="E1210" s="2" t="s">
        <v>2139</v>
      </c>
      <c r="F1210" s="2" t="s">
        <v>32</v>
      </c>
      <c r="G1210" s="2" t="n">
        <v>42479</v>
      </c>
      <c r="H1210" s="2" t="n">
        <v>17</v>
      </c>
      <c r="I1210" s="2" t="n">
        <v>271</v>
      </c>
      <c r="J1210" s="2" t="n">
        <v>1</v>
      </c>
      <c r="K1210" s="2" t="n">
        <v>77624</v>
      </c>
      <c r="L1210" s="2" t="n">
        <v>68776</v>
      </c>
      <c r="M1210" s="2" t="n">
        <v>3449</v>
      </c>
      <c r="N1210" s="2" t="n">
        <v>73</v>
      </c>
      <c r="O1210" s="2" t="n">
        <v>839</v>
      </c>
      <c r="P1210" s="2" t="n">
        <v>1020</v>
      </c>
      <c r="Q1210" s="2" t="n">
        <v>1477</v>
      </c>
      <c r="R1210" s="2" t="n">
        <v>291</v>
      </c>
      <c r="S1210" s="2" t="n">
        <v>7</v>
      </c>
      <c r="T1210" s="2" t="s">
        <v>27</v>
      </c>
      <c r="U1210" s="4" t="n">
        <f aca="false">(M1210+N1210+O1210+P1210)/L1210</f>
        <v>0.0782395021519135</v>
      </c>
      <c r="V1210" s="2" t="str">
        <f aca="false">IF(S1210&lt;=5,"Late night (0-5)",IF(S1210&lt;=11,"Morning (6-11)",IF(S1210&lt;=17,"Afternoon (12-17)","Evening (18-23)")))</f>
        <v>Morning (6-11)</v>
      </c>
    </row>
    <row r="1211" customFormat="false" ht="15" hidden="false" customHeight="false" outlineLevel="0" collapsed="false">
      <c r="A1211" s="2" t="s">
        <v>2140</v>
      </c>
      <c r="B1211" s="2" t="s">
        <v>126</v>
      </c>
      <c r="C1211" s="2" t="s">
        <v>36</v>
      </c>
      <c r="D1211" s="3" t="n">
        <v>45931</v>
      </c>
      <c r="E1211" s="2" t="s">
        <v>2141</v>
      </c>
      <c r="F1211" s="2" t="s">
        <v>38</v>
      </c>
      <c r="G1211" s="2" t="n">
        <v>28784</v>
      </c>
      <c r="H1211" s="2" t="n">
        <v>3</v>
      </c>
      <c r="I1211" s="2" t="n">
        <v>214</v>
      </c>
      <c r="J1211" s="2" t="n">
        <v>0</v>
      </c>
      <c r="K1211" s="2" t="n">
        <v>32418</v>
      </c>
      <c r="L1211" s="2" t="n">
        <v>18765</v>
      </c>
      <c r="M1211" s="2" t="n">
        <v>1263</v>
      </c>
      <c r="N1211" s="2" t="n">
        <v>64</v>
      </c>
      <c r="O1211" s="2" t="n">
        <v>153</v>
      </c>
      <c r="P1211" s="2" t="n">
        <v>67</v>
      </c>
      <c r="Q1211" s="2" t="n">
        <v>328</v>
      </c>
      <c r="R1211" s="2" t="n">
        <v>67</v>
      </c>
      <c r="S1211" s="2" t="n">
        <v>12</v>
      </c>
      <c r="T1211" s="2" t="s">
        <v>66</v>
      </c>
      <c r="U1211" s="4" t="n">
        <f aca="false">(M1211+N1211+O1211+P1211)/L1211</f>
        <v>0.0824407140953904</v>
      </c>
      <c r="V1211" s="2" t="str">
        <f aca="false">IF(S1211&lt;=5,"Late night (0-5)",IF(S1211&lt;=11,"Morning (6-11)",IF(S1211&lt;=17,"Afternoon (12-17)","Evening (18-23)")))</f>
        <v>Afternoon (12-17)</v>
      </c>
    </row>
    <row r="1212" customFormat="false" ht="15" hidden="false" customHeight="false" outlineLevel="0" collapsed="false">
      <c r="A1212" s="2" t="s">
        <v>2142</v>
      </c>
      <c r="B1212" s="2" t="s">
        <v>47</v>
      </c>
      <c r="C1212" s="2" t="s">
        <v>48</v>
      </c>
      <c r="D1212" s="3" t="n">
        <v>45868</v>
      </c>
      <c r="E1212" s="2" t="s">
        <v>381</v>
      </c>
      <c r="F1212" s="2" t="s">
        <v>38</v>
      </c>
      <c r="G1212" s="2" t="n">
        <v>19609</v>
      </c>
      <c r="H1212" s="2" t="n">
        <v>4</v>
      </c>
      <c r="I1212" s="2" t="n">
        <v>108</v>
      </c>
      <c r="J1212" s="2" t="n">
        <v>1</v>
      </c>
      <c r="K1212" s="2" t="n">
        <v>7280</v>
      </c>
      <c r="L1212" s="2" t="n">
        <v>4130</v>
      </c>
      <c r="M1212" s="2" t="n">
        <v>227</v>
      </c>
      <c r="N1212" s="2" t="n">
        <v>11</v>
      </c>
      <c r="O1212" s="2" t="n">
        <v>21</v>
      </c>
      <c r="P1212" s="2" t="n">
        <v>67</v>
      </c>
      <c r="Q1212" s="2" t="n">
        <v>102</v>
      </c>
      <c r="R1212" s="2" t="n">
        <v>7</v>
      </c>
      <c r="S1212" s="2" t="n">
        <v>3</v>
      </c>
      <c r="T1212" s="2" t="s">
        <v>66</v>
      </c>
      <c r="U1212" s="4" t="n">
        <f aca="false">(M1212+N1212+O1212+P1212)/L1212</f>
        <v>0.0789346246973366</v>
      </c>
      <c r="V1212" s="2" t="str">
        <f aca="false">IF(S1212&lt;=5,"Late night (0-5)",IF(S1212&lt;=11,"Morning (6-11)",IF(S1212&lt;=17,"Afternoon (12-17)","Evening (18-23)")))</f>
        <v>Late night (0-5)</v>
      </c>
    </row>
    <row r="1213" customFormat="false" ht="15" hidden="false" customHeight="false" outlineLevel="0" collapsed="false">
      <c r="A1213" s="2" t="s">
        <v>2143</v>
      </c>
      <c r="B1213" s="2" t="s">
        <v>409</v>
      </c>
      <c r="C1213" s="2" t="s">
        <v>48</v>
      </c>
      <c r="D1213" s="3" t="n">
        <v>45661</v>
      </c>
      <c r="E1213" s="2" t="s">
        <v>975</v>
      </c>
      <c r="F1213" s="2" t="s">
        <v>38</v>
      </c>
      <c r="G1213" s="2" t="n">
        <v>31525</v>
      </c>
      <c r="H1213" s="2" t="n">
        <v>19</v>
      </c>
      <c r="I1213" s="2" t="n">
        <v>55</v>
      </c>
      <c r="J1213" s="2" t="n">
        <v>0</v>
      </c>
      <c r="K1213" s="2" t="n">
        <v>23203</v>
      </c>
      <c r="L1213" s="2" t="n">
        <v>15650</v>
      </c>
      <c r="M1213" s="2" t="n">
        <v>955</v>
      </c>
      <c r="N1213" s="2" t="n">
        <v>62</v>
      </c>
      <c r="O1213" s="2" t="n">
        <v>45</v>
      </c>
      <c r="P1213" s="2" t="n">
        <v>60</v>
      </c>
      <c r="Q1213" s="2" t="n">
        <v>463</v>
      </c>
      <c r="R1213" s="2" t="n">
        <v>129</v>
      </c>
      <c r="S1213" s="2" t="n">
        <v>17</v>
      </c>
      <c r="T1213" s="2" t="s">
        <v>62</v>
      </c>
      <c r="U1213" s="4" t="n">
        <f aca="false">(M1213+N1213+O1213+P1213)/L1213</f>
        <v>0.0716932907348243</v>
      </c>
      <c r="V1213" s="2" t="str">
        <f aca="false">IF(S1213&lt;=5,"Late night (0-5)",IF(S1213&lt;=11,"Morning (6-11)",IF(S1213&lt;=17,"Afternoon (12-17)","Evening (18-23)")))</f>
        <v>Afternoon (12-17)</v>
      </c>
    </row>
    <row r="1214" customFormat="false" ht="15" hidden="false" customHeight="false" outlineLevel="0" collapsed="false">
      <c r="A1214" s="2" t="s">
        <v>2144</v>
      </c>
      <c r="B1214" s="2" t="s">
        <v>431</v>
      </c>
      <c r="C1214" s="2" t="s">
        <v>36</v>
      </c>
      <c r="D1214" s="3" t="n">
        <v>45745</v>
      </c>
      <c r="E1214" s="2" t="s">
        <v>2145</v>
      </c>
      <c r="F1214" s="2" t="s">
        <v>26</v>
      </c>
      <c r="G1214" s="2" t="n">
        <v>64821</v>
      </c>
      <c r="H1214" s="2" t="n">
        <v>14</v>
      </c>
      <c r="I1214" s="2" t="n">
        <v>179</v>
      </c>
      <c r="J1214" s="2" t="n">
        <v>0</v>
      </c>
      <c r="K1214" s="2" t="n">
        <v>24816</v>
      </c>
      <c r="L1214" s="2" t="n">
        <v>14156</v>
      </c>
      <c r="M1214" s="2" t="n">
        <v>1175</v>
      </c>
      <c r="N1214" s="2" t="n">
        <v>48</v>
      </c>
      <c r="O1214" s="2" t="n">
        <v>96</v>
      </c>
      <c r="P1214" s="2" t="n">
        <v>138</v>
      </c>
      <c r="Q1214" s="2" t="n">
        <v>395</v>
      </c>
      <c r="R1214" s="2" t="n">
        <v>81</v>
      </c>
      <c r="S1214" s="2" t="n">
        <v>1</v>
      </c>
      <c r="T1214" s="2" t="s">
        <v>62</v>
      </c>
      <c r="U1214" s="4" t="n">
        <f aca="false">(M1214+N1214+O1214+P1214)/L1214</f>
        <v>0.102924554959028</v>
      </c>
      <c r="V1214" s="2" t="str">
        <f aca="false">IF(S1214&lt;=5,"Late night (0-5)",IF(S1214&lt;=11,"Morning (6-11)",IF(S1214&lt;=17,"Afternoon (12-17)","Evening (18-23)")))</f>
        <v>Late night (0-5)</v>
      </c>
    </row>
    <row r="1215" customFormat="false" ht="15" hidden="false" customHeight="false" outlineLevel="0" collapsed="false">
      <c r="A1215" s="2" t="s">
        <v>2146</v>
      </c>
      <c r="B1215" s="2" t="s">
        <v>151</v>
      </c>
      <c r="C1215" s="2" t="s">
        <v>36</v>
      </c>
      <c r="D1215" s="3" t="n">
        <v>45843</v>
      </c>
      <c r="E1215" s="2" t="s">
        <v>676</v>
      </c>
      <c r="F1215" s="2" t="s">
        <v>32</v>
      </c>
      <c r="G1215" s="2" t="n">
        <v>19247</v>
      </c>
      <c r="H1215" s="2" t="n">
        <v>14</v>
      </c>
      <c r="I1215" s="2" t="n">
        <v>131</v>
      </c>
      <c r="J1215" s="2" t="n">
        <v>0</v>
      </c>
      <c r="K1215" s="2" t="n">
        <v>93585</v>
      </c>
      <c r="L1215" s="2" t="n">
        <v>61086</v>
      </c>
      <c r="M1215" s="2" t="n">
        <v>4477</v>
      </c>
      <c r="N1215" s="2" t="n">
        <v>184</v>
      </c>
      <c r="O1215" s="2" t="n">
        <v>287</v>
      </c>
      <c r="P1215" s="2" t="n">
        <v>1332</v>
      </c>
      <c r="Q1215" s="2" t="n">
        <v>572</v>
      </c>
      <c r="R1215" s="2" t="n">
        <v>65</v>
      </c>
      <c r="S1215" s="2" t="n">
        <v>12</v>
      </c>
      <c r="T1215" s="2" t="s">
        <v>62</v>
      </c>
      <c r="U1215" s="4" t="n">
        <f aca="false">(M1215+N1215+O1215+P1215)/L1215</f>
        <v>0.102805880234424</v>
      </c>
      <c r="V1215" s="2" t="str">
        <f aca="false">IF(S1215&lt;=5,"Late night (0-5)",IF(S1215&lt;=11,"Morning (6-11)",IF(S1215&lt;=17,"Afternoon (12-17)","Evening (18-23)")))</f>
        <v>Afternoon (12-17)</v>
      </c>
    </row>
    <row r="1216" customFormat="false" ht="15" hidden="false" customHeight="false" outlineLevel="0" collapsed="false">
      <c r="A1216" s="2" t="s">
        <v>2147</v>
      </c>
      <c r="B1216" s="2" t="s">
        <v>94</v>
      </c>
      <c r="C1216" s="2" t="s">
        <v>30</v>
      </c>
      <c r="D1216" s="3" t="n">
        <v>45781</v>
      </c>
      <c r="E1216" s="2" t="s">
        <v>2148</v>
      </c>
      <c r="F1216" s="2" t="s">
        <v>50</v>
      </c>
      <c r="G1216" s="2" t="n">
        <v>58559</v>
      </c>
      <c r="H1216" s="2" t="n">
        <v>18</v>
      </c>
      <c r="I1216" s="2" t="n">
        <v>142</v>
      </c>
      <c r="J1216" s="2" t="n">
        <v>1</v>
      </c>
      <c r="K1216" s="2" t="n">
        <v>41475</v>
      </c>
      <c r="L1216" s="2" t="n">
        <v>34706</v>
      </c>
      <c r="M1216" s="2" t="n">
        <v>2810</v>
      </c>
      <c r="N1216" s="2" t="n">
        <v>99</v>
      </c>
      <c r="O1216" s="2" t="n">
        <v>426</v>
      </c>
      <c r="P1216" s="2" t="n">
        <v>706</v>
      </c>
      <c r="Q1216" s="2" t="n">
        <v>587</v>
      </c>
      <c r="R1216" s="2" t="n">
        <v>57</v>
      </c>
      <c r="S1216" s="2" t="n">
        <v>10</v>
      </c>
      <c r="T1216" s="2" t="s">
        <v>27</v>
      </c>
      <c r="U1216" s="4" t="n">
        <f aca="false">(M1216+N1216+O1216+P1216)/L1216</f>
        <v>0.116435198524751</v>
      </c>
      <c r="V1216" s="2" t="str">
        <f aca="false">IF(S1216&lt;=5,"Late night (0-5)",IF(S1216&lt;=11,"Morning (6-11)",IF(S1216&lt;=17,"Afternoon (12-17)","Evening (18-23)")))</f>
        <v>Morning (6-11)</v>
      </c>
    </row>
    <row r="1217" customFormat="false" ht="15" hidden="false" customHeight="false" outlineLevel="0" collapsed="false">
      <c r="A1217" s="2" t="s">
        <v>2149</v>
      </c>
      <c r="B1217" s="2" t="s">
        <v>77</v>
      </c>
      <c r="C1217" s="2" t="s">
        <v>30</v>
      </c>
      <c r="D1217" s="3" t="n">
        <v>45779</v>
      </c>
      <c r="E1217" s="2" t="s">
        <v>372</v>
      </c>
      <c r="F1217" s="2" t="s">
        <v>38</v>
      </c>
      <c r="G1217" s="2" t="n">
        <v>17548</v>
      </c>
      <c r="H1217" s="2" t="n">
        <v>6</v>
      </c>
      <c r="I1217" s="2" t="n">
        <v>69</v>
      </c>
      <c r="J1217" s="2" t="n">
        <v>0</v>
      </c>
      <c r="K1217" s="2" t="n">
        <v>18469</v>
      </c>
      <c r="L1217" s="2" t="n">
        <v>10405</v>
      </c>
      <c r="M1217" s="2" t="n">
        <v>385</v>
      </c>
      <c r="N1217" s="2" t="n">
        <v>27</v>
      </c>
      <c r="O1217" s="2" t="n">
        <v>71</v>
      </c>
      <c r="P1217" s="2" t="n">
        <v>98</v>
      </c>
      <c r="Q1217" s="2" t="n">
        <v>262</v>
      </c>
      <c r="R1217" s="2" t="n">
        <v>36</v>
      </c>
      <c r="S1217" s="2" t="n">
        <v>22</v>
      </c>
      <c r="T1217" s="2" t="s">
        <v>96</v>
      </c>
      <c r="U1217" s="4" t="n">
        <f aca="false">(M1217+N1217+O1217+P1217)/L1217</f>
        <v>0.0558385391638635</v>
      </c>
      <c r="V1217" s="2" t="str">
        <f aca="false">IF(S1217&lt;=5,"Late night (0-5)",IF(S1217&lt;=11,"Morning (6-11)",IF(S1217&lt;=17,"Afternoon (12-17)","Evening (18-23)")))</f>
        <v>Evening (18-23)</v>
      </c>
    </row>
    <row r="1218" customFormat="false" ht="15" hidden="false" customHeight="false" outlineLevel="0" collapsed="false">
      <c r="A1218" s="2" t="s">
        <v>2150</v>
      </c>
      <c r="B1218" s="2" t="s">
        <v>164</v>
      </c>
      <c r="C1218" s="2" t="s">
        <v>36</v>
      </c>
      <c r="D1218" s="3" t="n">
        <v>45697</v>
      </c>
      <c r="E1218" s="2" t="s">
        <v>2151</v>
      </c>
      <c r="F1218" s="2" t="s">
        <v>38</v>
      </c>
      <c r="G1218" s="2" t="n">
        <v>44230</v>
      </c>
      <c r="H1218" s="2" t="n">
        <v>10</v>
      </c>
      <c r="I1218" s="2" t="n">
        <v>254</v>
      </c>
      <c r="J1218" s="2" t="n">
        <v>0</v>
      </c>
      <c r="K1218" s="2" t="n">
        <v>12220</v>
      </c>
      <c r="L1218" s="2" t="n">
        <v>7987</v>
      </c>
      <c r="M1218" s="2" t="n">
        <v>453</v>
      </c>
      <c r="N1218" s="2" t="n">
        <v>19</v>
      </c>
      <c r="O1218" s="2" t="n">
        <v>49</v>
      </c>
      <c r="P1218" s="2" t="n">
        <v>88</v>
      </c>
      <c r="Q1218" s="2" t="n">
        <v>139</v>
      </c>
      <c r="R1218" s="2" t="n">
        <v>23</v>
      </c>
      <c r="S1218" s="2" t="n">
        <v>15</v>
      </c>
      <c r="T1218" s="2" t="s">
        <v>27</v>
      </c>
      <c r="U1218" s="4" t="n">
        <f aca="false">(M1218+N1218+O1218+P1218)/L1218</f>
        <v>0.0762489044697634</v>
      </c>
      <c r="V1218" s="2" t="str">
        <f aca="false">IF(S1218&lt;=5,"Late night (0-5)",IF(S1218&lt;=11,"Morning (6-11)",IF(S1218&lt;=17,"Afternoon (12-17)","Evening (18-23)")))</f>
        <v>Afternoon (12-17)</v>
      </c>
    </row>
    <row r="1219" customFormat="false" ht="15" hidden="false" customHeight="false" outlineLevel="0" collapsed="false">
      <c r="A1219" s="2" t="s">
        <v>2152</v>
      </c>
      <c r="B1219" s="2" t="s">
        <v>40</v>
      </c>
      <c r="C1219" s="2" t="s">
        <v>41</v>
      </c>
      <c r="D1219" s="3" t="n">
        <v>45767</v>
      </c>
      <c r="E1219" s="2" t="s">
        <v>2153</v>
      </c>
      <c r="F1219" s="2" t="s">
        <v>26</v>
      </c>
      <c r="G1219" s="2" t="n">
        <v>23051</v>
      </c>
      <c r="H1219" s="2" t="n">
        <v>14</v>
      </c>
      <c r="I1219" s="2" t="n">
        <v>355</v>
      </c>
      <c r="J1219" s="2" t="n">
        <v>0</v>
      </c>
      <c r="K1219" s="2" t="n">
        <v>48946</v>
      </c>
      <c r="L1219" s="2" t="n">
        <v>41790</v>
      </c>
      <c r="M1219" s="2" t="n">
        <v>3609</v>
      </c>
      <c r="N1219" s="2" t="n">
        <v>86</v>
      </c>
      <c r="O1219" s="2" t="n">
        <v>399</v>
      </c>
      <c r="P1219" s="2" t="n">
        <v>200</v>
      </c>
      <c r="Q1219" s="2" t="n">
        <v>282</v>
      </c>
      <c r="R1219" s="2" t="n">
        <v>15</v>
      </c>
      <c r="S1219" s="2" t="n">
        <v>20</v>
      </c>
      <c r="T1219" s="2" t="s">
        <v>27</v>
      </c>
      <c r="U1219" s="4" t="n">
        <f aca="false">(M1219+N1219+O1219+P1219)/L1219</f>
        <v>0.102751854510648</v>
      </c>
      <c r="V1219" s="2" t="str">
        <f aca="false">IF(S1219&lt;=5,"Late night (0-5)",IF(S1219&lt;=11,"Morning (6-11)",IF(S1219&lt;=17,"Afternoon (12-17)","Evening (18-23)")))</f>
        <v>Evening (18-23)</v>
      </c>
    </row>
    <row r="1220" customFormat="false" ht="15" hidden="false" customHeight="false" outlineLevel="0" collapsed="false">
      <c r="A1220" s="2" t="s">
        <v>2154</v>
      </c>
      <c r="B1220" s="2" t="s">
        <v>310</v>
      </c>
      <c r="C1220" s="2" t="s">
        <v>91</v>
      </c>
      <c r="D1220" s="3" t="n">
        <v>45795</v>
      </c>
      <c r="E1220" s="2" t="s">
        <v>2155</v>
      </c>
      <c r="F1220" s="2" t="s">
        <v>38</v>
      </c>
      <c r="G1220" s="2" t="n">
        <v>56571</v>
      </c>
      <c r="H1220" s="2" t="n">
        <v>7</v>
      </c>
      <c r="I1220" s="2" t="n">
        <v>111</v>
      </c>
      <c r="J1220" s="2" t="n">
        <v>1</v>
      </c>
      <c r="K1220" s="2" t="n">
        <v>81853</v>
      </c>
      <c r="L1220" s="2" t="n">
        <v>63246</v>
      </c>
      <c r="M1220" s="2" t="n">
        <v>4628</v>
      </c>
      <c r="N1220" s="2" t="n">
        <v>118</v>
      </c>
      <c r="O1220" s="2" t="n">
        <v>870</v>
      </c>
      <c r="P1220" s="2" t="n">
        <v>751</v>
      </c>
      <c r="Q1220" s="2" t="n">
        <v>1093</v>
      </c>
      <c r="R1220" s="2" t="n">
        <v>210</v>
      </c>
      <c r="S1220" s="2" t="n">
        <v>16</v>
      </c>
      <c r="T1220" s="2" t="s">
        <v>27</v>
      </c>
      <c r="U1220" s="4" t="n">
        <f aca="false">(M1220+N1220+O1220+P1220)/L1220</f>
        <v>0.100670398127945</v>
      </c>
      <c r="V1220" s="2" t="str">
        <f aca="false">IF(S1220&lt;=5,"Late night (0-5)",IF(S1220&lt;=11,"Morning (6-11)",IF(S1220&lt;=17,"Afternoon (12-17)","Evening (18-23)")))</f>
        <v>Afternoon (12-17)</v>
      </c>
    </row>
    <row r="1221" customFormat="false" ht="15" hidden="false" customHeight="false" outlineLevel="0" collapsed="false">
      <c r="A1221" s="2" t="s">
        <v>2156</v>
      </c>
      <c r="B1221" s="2" t="s">
        <v>151</v>
      </c>
      <c r="C1221" s="2" t="s">
        <v>36</v>
      </c>
      <c r="D1221" s="3" t="n">
        <v>45726</v>
      </c>
      <c r="E1221" s="2" t="s">
        <v>490</v>
      </c>
      <c r="F1221" s="2" t="s">
        <v>32</v>
      </c>
      <c r="G1221" s="2" t="n">
        <v>19247</v>
      </c>
      <c r="H1221" s="2" t="n">
        <v>7</v>
      </c>
      <c r="I1221" s="2" t="n">
        <v>155</v>
      </c>
      <c r="J1221" s="2" t="n">
        <v>0</v>
      </c>
      <c r="K1221" s="2" t="n">
        <v>15725</v>
      </c>
      <c r="L1221" s="2" t="n">
        <v>8818</v>
      </c>
      <c r="M1221" s="2" t="n">
        <v>328</v>
      </c>
      <c r="N1221" s="2" t="n">
        <v>18</v>
      </c>
      <c r="O1221" s="2" t="n">
        <v>24</v>
      </c>
      <c r="P1221" s="2" t="n">
        <v>91</v>
      </c>
      <c r="Q1221" s="2" t="n">
        <v>250</v>
      </c>
      <c r="R1221" s="2" t="n">
        <v>31</v>
      </c>
      <c r="S1221" s="2" t="n">
        <v>3</v>
      </c>
      <c r="T1221" s="2" t="s">
        <v>33</v>
      </c>
      <c r="U1221" s="4" t="n">
        <f aca="false">(M1221+N1221+O1221+P1221)/L1221</f>
        <v>0.0522794284418235</v>
      </c>
      <c r="V1221" s="2" t="str">
        <f aca="false">IF(S1221&lt;=5,"Late night (0-5)",IF(S1221&lt;=11,"Morning (6-11)",IF(S1221&lt;=17,"Afternoon (12-17)","Evening (18-23)")))</f>
        <v>Late night (0-5)</v>
      </c>
    </row>
    <row r="1222" customFormat="false" ht="15" hidden="false" customHeight="false" outlineLevel="0" collapsed="false">
      <c r="A1222" s="2" t="s">
        <v>2157</v>
      </c>
      <c r="B1222" s="2" t="s">
        <v>138</v>
      </c>
      <c r="C1222" s="2" t="s">
        <v>41</v>
      </c>
      <c r="D1222" s="3" t="n">
        <v>45826</v>
      </c>
      <c r="E1222" s="2" t="s">
        <v>130</v>
      </c>
      <c r="F1222" s="2" t="s">
        <v>38</v>
      </c>
      <c r="G1222" s="2" t="n">
        <v>18712</v>
      </c>
      <c r="H1222" s="2" t="n">
        <v>11</v>
      </c>
      <c r="I1222" s="2" t="n">
        <v>174</v>
      </c>
      <c r="J1222" s="2" t="n">
        <v>0</v>
      </c>
      <c r="K1222" s="2" t="n">
        <v>5097</v>
      </c>
      <c r="L1222" s="2" t="n">
        <v>3554</v>
      </c>
      <c r="M1222" s="2" t="n">
        <v>230</v>
      </c>
      <c r="N1222" s="2" t="n">
        <v>14</v>
      </c>
      <c r="O1222" s="2" t="n">
        <v>42</v>
      </c>
      <c r="P1222" s="2" t="n">
        <v>200</v>
      </c>
      <c r="Q1222" s="2" t="n">
        <v>92</v>
      </c>
      <c r="R1222" s="2" t="n">
        <v>11</v>
      </c>
      <c r="S1222" s="2" t="n">
        <v>4</v>
      </c>
      <c r="T1222" s="2" t="s">
        <v>66</v>
      </c>
      <c r="U1222" s="4" t="n">
        <f aca="false">(M1222+N1222+O1222+P1222)/L1222</f>
        <v>0.136747326955543</v>
      </c>
      <c r="V1222" s="2" t="str">
        <f aca="false">IF(S1222&lt;=5,"Late night (0-5)",IF(S1222&lt;=11,"Morning (6-11)",IF(S1222&lt;=17,"Afternoon (12-17)","Evening (18-23)")))</f>
        <v>Late night (0-5)</v>
      </c>
    </row>
    <row r="1223" customFormat="false" ht="15" hidden="false" customHeight="false" outlineLevel="0" collapsed="false">
      <c r="A1223" s="2" t="s">
        <v>2158</v>
      </c>
      <c r="B1223" s="2" t="s">
        <v>426</v>
      </c>
      <c r="C1223" s="2" t="s">
        <v>30</v>
      </c>
      <c r="D1223" s="3" t="n">
        <v>45836</v>
      </c>
      <c r="E1223" s="2" t="s">
        <v>2159</v>
      </c>
      <c r="F1223" s="2" t="s">
        <v>32</v>
      </c>
      <c r="G1223" s="2" t="n">
        <v>40649</v>
      </c>
      <c r="H1223" s="2" t="n">
        <v>14</v>
      </c>
      <c r="I1223" s="2" t="n">
        <v>94</v>
      </c>
      <c r="J1223" s="2" t="n">
        <v>0</v>
      </c>
      <c r="K1223" s="2" t="n">
        <v>34426</v>
      </c>
      <c r="L1223" s="2" t="n">
        <v>27530</v>
      </c>
      <c r="M1223" s="2" t="n">
        <v>1867</v>
      </c>
      <c r="N1223" s="2" t="n">
        <v>49</v>
      </c>
      <c r="O1223" s="2" t="n">
        <v>143</v>
      </c>
      <c r="P1223" s="2" t="n">
        <v>279</v>
      </c>
      <c r="Q1223" s="2" t="n">
        <v>619</v>
      </c>
      <c r="R1223" s="2" t="n">
        <v>83</v>
      </c>
      <c r="S1223" s="2" t="n">
        <v>17</v>
      </c>
      <c r="T1223" s="2" t="s">
        <v>62</v>
      </c>
      <c r="U1223" s="4" t="n">
        <f aca="false">(M1223+N1223+O1223+P1223)/L1223</f>
        <v>0.08492553577915</v>
      </c>
      <c r="V1223" s="2" t="str">
        <f aca="false">IF(S1223&lt;=5,"Late night (0-5)",IF(S1223&lt;=11,"Morning (6-11)",IF(S1223&lt;=17,"Afternoon (12-17)","Evening (18-23)")))</f>
        <v>Afternoon (12-17)</v>
      </c>
    </row>
    <row r="1224" customFormat="false" ht="15" hidden="false" customHeight="false" outlineLevel="0" collapsed="false">
      <c r="A1224" s="2" t="s">
        <v>2160</v>
      </c>
      <c r="B1224" s="2" t="s">
        <v>243</v>
      </c>
      <c r="C1224" s="2" t="s">
        <v>91</v>
      </c>
      <c r="D1224" s="3" t="n">
        <v>46003</v>
      </c>
      <c r="E1224" s="2" t="s">
        <v>1269</v>
      </c>
      <c r="F1224" s="2" t="s">
        <v>26</v>
      </c>
      <c r="G1224" s="2" t="n">
        <v>42046</v>
      </c>
      <c r="H1224" s="2" t="n">
        <v>10</v>
      </c>
      <c r="I1224" s="2" t="n">
        <v>220</v>
      </c>
      <c r="J1224" s="2" t="n">
        <v>0</v>
      </c>
      <c r="K1224" s="2" t="n">
        <v>29008</v>
      </c>
      <c r="L1224" s="2" t="n">
        <v>17431</v>
      </c>
      <c r="M1224" s="2" t="n">
        <v>613</v>
      </c>
      <c r="N1224" s="2" t="n">
        <v>13</v>
      </c>
      <c r="O1224" s="2" t="n">
        <v>122</v>
      </c>
      <c r="P1224" s="2" t="n">
        <v>229</v>
      </c>
      <c r="Q1224" s="2" t="n">
        <v>471</v>
      </c>
      <c r="R1224" s="2" t="n">
        <v>135</v>
      </c>
      <c r="S1224" s="2" t="n">
        <v>22</v>
      </c>
      <c r="T1224" s="2" t="s">
        <v>96</v>
      </c>
      <c r="U1224" s="4" t="n">
        <f aca="false">(M1224+N1224+O1224+P1224)/L1224</f>
        <v>0.0560495668636338</v>
      </c>
      <c r="V1224" s="2" t="str">
        <f aca="false">IF(S1224&lt;=5,"Late night (0-5)",IF(S1224&lt;=11,"Morning (6-11)",IF(S1224&lt;=17,"Afternoon (12-17)","Evening (18-23)")))</f>
        <v>Evening (18-23)</v>
      </c>
    </row>
    <row r="1225" customFormat="false" ht="15" hidden="false" customHeight="false" outlineLevel="0" collapsed="false">
      <c r="A1225" s="2" t="s">
        <v>2161</v>
      </c>
      <c r="B1225" s="2" t="s">
        <v>135</v>
      </c>
      <c r="C1225" s="2" t="s">
        <v>36</v>
      </c>
      <c r="D1225" s="3" t="n">
        <v>45907</v>
      </c>
      <c r="E1225" s="2" t="s">
        <v>1551</v>
      </c>
      <c r="F1225" s="2" t="s">
        <v>50</v>
      </c>
      <c r="G1225" s="2" t="n">
        <v>45812</v>
      </c>
      <c r="H1225" s="2" t="n">
        <v>9</v>
      </c>
      <c r="I1225" s="2" t="n">
        <v>39</v>
      </c>
      <c r="J1225" s="2" t="n">
        <v>1</v>
      </c>
      <c r="K1225" s="2" t="n">
        <v>63227</v>
      </c>
      <c r="L1225" s="2" t="n">
        <v>56413</v>
      </c>
      <c r="M1225" s="2" t="n">
        <v>1722</v>
      </c>
      <c r="N1225" s="2" t="n">
        <v>107</v>
      </c>
      <c r="O1225" s="2" t="n">
        <v>86</v>
      </c>
      <c r="P1225" s="2" t="n">
        <v>321</v>
      </c>
      <c r="Q1225" s="2" t="n">
        <v>1263</v>
      </c>
      <c r="R1225" s="2" t="n">
        <v>73</v>
      </c>
      <c r="S1225" s="2" t="n">
        <v>20</v>
      </c>
      <c r="T1225" s="2" t="s">
        <v>27</v>
      </c>
      <c r="U1225" s="4" t="n">
        <f aca="false">(M1225+N1225+O1225+P1225)/L1225</f>
        <v>0.0396362540549164</v>
      </c>
      <c r="V1225" s="2" t="str">
        <f aca="false">IF(S1225&lt;=5,"Late night (0-5)",IF(S1225&lt;=11,"Morning (6-11)",IF(S1225&lt;=17,"Afternoon (12-17)","Evening (18-23)")))</f>
        <v>Evening (18-23)</v>
      </c>
    </row>
    <row r="1226" customFormat="false" ht="15" hidden="false" customHeight="false" outlineLevel="0" collapsed="false">
      <c r="A1226" s="2" t="s">
        <v>2162</v>
      </c>
      <c r="B1226" s="2" t="s">
        <v>310</v>
      </c>
      <c r="C1226" s="2" t="s">
        <v>91</v>
      </c>
      <c r="D1226" s="3" t="n">
        <v>46015</v>
      </c>
      <c r="E1226" s="2" t="s">
        <v>2163</v>
      </c>
      <c r="F1226" s="2" t="s">
        <v>32</v>
      </c>
      <c r="G1226" s="2" t="n">
        <v>56571</v>
      </c>
      <c r="H1226" s="2" t="n">
        <v>8</v>
      </c>
      <c r="I1226" s="2" t="n">
        <v>221</v>
      </c>
      <c r="J1226" s="2" t="n">
        <v>1</v>
      </c>
      <c r="K1226" s="2" t="n">
        <v>172002</v>
      </c>
      <c r="L1226" s="2" t="n">
        <v>96932</v>
      </c>
      <c r="M1226" s="2" t="n">
        <v>7790</v>
      </c>
      <c r="N1226" s="2" t="n">
        <v>332</v>
      </c>
      <c r="O1226" s="2" t="n">
        <v>2005</v>
      </c>
      <c r="P1226" s="2" t="n">
        <v>788</v>
      </c>
      <c r="Q1226" s="2" t="n">
        <v>1525</v>
      </c>
      <c r="R1226" s="2" t="n">
        <v>212</v>
      </c>
      <c r="S1226" s="2" t="n">
        <v>13</v>
      </c>
      <c r="T1226" s="2" t="s">
        <v>66</v>
      </c>
      <c r="U1226" s="4" t="n">
        <f aca="false">(M1226+N1226+O1226+P1226)/L1226</f>
        <v>0.112604712582016</v>
      </c>
      <c r="V1226" s="2" t="str">
        <f aca="false">IF(S1226&lt;=5,"Late night (0-5)",IF(S1226&lt;=11,"Morning (6-11)",IF(S1226&lt;=17,"Afternoon (12-17)","Evening (18-23)")))</f>
        <v>Afternoon (12-17)</v>
      </c>
    </row>
    <row r="1227" customFormat="false" ht="15" hidden="false" customHeight="false" outlineLevel="0" collapsed="false">
      <c r="A1227" s="2" t="s">
        <v>2164</v>
      </c>
      <c r="B1227" s="2" t="s">
        <v>459</v>
      </c>
      <c r="C1227" s="2" t="s">
        <v>84</v>
      </c>
      <c r="D1227" s="3" t="n">
        <v>45848</v>
      </c>
      <c r="E1227" s="2" t="s">
        <v>2165</v>
      </c>
      <c r="F1227" s="2" t="s">
        <v>26</v>
      </c>
      <c r="G1227" s="2" t="n">
        <v>19744</v>
      </c>
      <c r="H1227" s="2" t="n">
        <v>10</v>
      </c>
      <c r="I1227" s="2" t="n">
        <v>278</v>
      </c>
      <c r="J1227" s="2" t="n">
        <v>0</v>
      </c>
      <c r="K1227" s="2" t="n">
        <v>22025</v>
      </c>
      <c r="L1227" s="2" t="n">
        <v>14221</v>
      </c>
      <c r="M1227" s="2" t="n">
        <v>584</v>
      </c>
      <c r="N1227" s="2" t="n">
        <v>24</v>
      </c>
      <c r="O1227" s="2" t="n">
        <v>47</v>
      </c>
      <c r="P1227" s="2" t="n">
        <v>201</v>
      </c>
      <c r="Q1227" s="2" t="n">
        <v>262</v>
      </c>
      <c r="R1227" s="2" t="n">
        <v>64</v>
      </c>
      <c r="S1227" s="2" t="n">
        <v>3</v>
      </c>
      <c r="T1227" s="2" t="s">
        <v>79</v>
      </c>
      <c r="U1227" s="4" t="n">
        <f aca="false">(M1227+N1227+O1227+P1227)/L1227</f>
        <v>0.0601926728078194</v>
      </c>
      <c r="V1227" s="2" t="str">
        <f aca="false">IF(S1227&lt;=5,"Late night (0-5)",IF(S1227&lt;=11,"Morning (6-11)",IF(S1227&lt;=17,"Afternoon (12-17)","Evening (18-23)")))</f>
        <v>Late night (0-5)</v>
      </c>
    </row>
    <row r="1228" customFormat="false" ht="15" hidden="false" customHeight="false" outlineLevel="0" collapsed="false">
      <c r="A1228" s="2" t="s">
        <v>2166</v>
      </c>
      <c r="B1228" s="2" t="s">
        <v>327</v>
      </c>
      <c r="C1228" s="2" t="s">
        <v>91</v>
      </c>
      <c r="D1228" s="3" t="n">
        <v>45784</v>
      </c>
      <c r="E1228" s="2" t="s">
        <v>1623</v>
      </c>
      <c r="F1228" s="2" t="s">
        <v>32</v>
      </c>
      <c r="G1228" s="2" t="n">
        <v>16943</v>
      </c>
      <c r="H1228" s="2" t="n">
        <v>8</v>
      </c>
      <c r="I1228" s="2" t="n">
        <v>214</v>
      </c>
      <c r="J1228" s="2" t="n">
        <v>1</v>
      </c>
      <c r="K1228" s="2" t="n">
        <v>26276</v>
      </c>
      <c r="L1228" s="2" t="n">
        <v>22897</v>
      </c>
      <c r="M1228" s="2" t="n">
        <v>2333</v>
      </c>
      <c r="N1228" s="2" t="n">
        <v>150</v>
      </c>
      <c r="O1228" s="2" t="n">
        <v>513</v>
      </c>
      <c r="P1228" s="2" t="n">
        <v>514</v>
      </c>
      <c r="Q1228" s="2" t="n">
        <v>277</v>
      </c>
      <c r="R1228" s="2" t="n">
        <v>78</v>
      </c>
      <c r="S1228" s="2" t="n">
        <v>13</v>
      </c>
      <c r="T1228" s="2" t="s">
        <v>66</v>
      </c>
      <c r="U1228" s="4" t="n">
        <f aca="false">(M1228+N1228+O1228+P1228)/L1228</f>
        <v>0.153295191509805</v>
      </c>
      <c r="V1228" s="2" t="str">
        <f aca="false">IF(S1228&lt;=5,"Late night (0-5)",IF(S1228&lt;=11,"Morning (6-11)",IF(S1228&lt;=17,"Afternoon (12-17)","Evening (18-23)")))</f>
        <v>Afternoon (12-17)</v>
      </c>
    </row>
    <row r="1229" customFormat="false" ht="15" hidden="false" customHeight="false" outlineLevel="0" collapsed="false">
      <c r="A1229" s="2" t="s">
        <v>2167</v>
      </c>
      <c r="B1229" s="2" t="s">
        <v>94</v>
      </c>
      <c r="C1229" s="2" t="s">
        <v>30</v>
      </c>
      <c r="D1229" s="3" t="n">
        <v>45985</v>
      </c>
      <c r="E1229" s="2" t="s">
        <v>508</v>
      </c>
      <c r="F1229" s="2" t="s">
        <v>50</v>
      </c>
      <c r="G1229" s="2" t="n">
        <v>58559</v>
      </c>
      <c r="H1229" s="2" t="n">
        <v>16</v>
      </c>
      <c r="I1229" s="2" t="n">
        <v>144</v>
      </c>
      <c r="J1229" s="2" t="n">
        <v>0</v>
      </c>
      <c r="K1229" s="2" t="n">
        <v>21247</v>
      </c>
      <c r="L1229" s="2" t="n">
        <v>12644</v>
      </c>
      <c r="M1229" s="2" t="n">
        <v>588</v>
      </c>
      <c r="N1229" s="2" t="n">
        <v>42</v>
      </c>
      <c r="O1229" s="2" t="n">
        <v>72</v>
      </c>
      <c r="P1229" s="2" t="n">
        <v>51</v>
      </c>
      <c r="Q1229" s="2" t="n">
        <v>296</v>
      </c>
      <c r="R1229" s="2" t="n">
        <v>26</v>
      </c>
      <c r="S1229" s="2" t="n">
        <v>2</v>
      </c>
      <c r="T1229" s="2" t="s">
        <v>33</v>
      </c>
      <c r="U1229" s="4" t="n">
        <f aca="false">(M1229+N1229+O1229+P1229)/L1229</f>
        <v>0.0595539386270168</v>
      </c>
      <c r="V1229" s="2" t="str">
        <f aca="false">IF(S1229&lt;=5,"Late night (0-5)",IF(S1229&lt;=11,"Morning (6-11)",IF(S1229&lt;=17,"Afternoon (12-17)","Evening (18-23)")))</f>
        <v>Late night (0-5)</v>
      </c>
    </row>
    <row r="1230" customFormat="false" ht="15" hidden="false" customHeight="false" outlineLevel="0" collapsed="false">
      <c r="A1230" s="2" t="s">
        <v>2168</v>
      </c>
      <c r="B1230" s="2" t="s">
        <v>94</v>
      </c>
      <c r="C1230" s="2" t="s">
        <v>30</v>
      </c>
      <c r="D1230" s="3" t="n">
        <v>45799</v>
      </c>
      <c r="E1230" s="2" t="s">
        <v>2169</v>
      </c>
      <c r="F1230" s="2" t="s">
        <v>26</v>
      </c>
      <c r="G1230" s="2" t="n">
        <v>58559</v>
      </c>
      <c r="H1230" s="2" t="n">
        <v>17</v>
      </c>
      <c r="I1230" s="2" t="n">
        <v>182</v>
      </c>
      <c r="J1230" s="2" t="n">
        <v>1</v>
      </c>
      <c r="K1230" s="2" t="n">
        <v>60838</v>
      </c>
      <c r="L1230" s="2" t="n">
        <v>34756</v>
      </c>
      <c r="M1230" s="2" t="n">
        <v>1517</v>
      </c>
      <c r="N1230" s="2" t="n">
        <v>76</v>
      </c>
      <c r="O1230" s="2" t="n">
        <v>191</v>
      </c>
      <c r="P1230" s="2" t="n">
        <v>450</v>
      </c>
      <c r="Q1230" s="2" t="n">
        <v>459</v>
      </c>
      <c r="R1230" s="2" t="n">
        <v>34</v>
      </c>
      <c r="S1230" s="2" t="n">
        <v>16</v>
      </c>
      <c r="T1230" s="2" t="s">
        <v>79</v>
      </c>
      <c r="U1230" s="4" t="n">
        <f aca="false">(M1230+N1230+O1230+P1230)/L1230</f>
        <v>0.0642766716538152</v>
      </c>
      <c r="V1230" s="2" t="str">
        <f aca="false">IF(S1230&lt;=5,"Late night (0-5)",IF(S1230&lt;=11,"Morning (6-11)",IF(S1230&lt;=17,"Afternoon (12-17)","Evening (18-23)")))</f>
        <v>Afternoon (12-17)</v>
      </c>
    </row>
    <row r="1231" customFormat="false" ht="15" hidden="false" customHeight="false" outlineLevel="0" collapsed="false">
      <c r="A1231" s="2" t="s">
        <v>2170</v>
      </c>
      <c r="B1231" s="2" t="s">
        <v>462</v>
      </c>
      <c r="C1231" s="2" t="s">
        <v>84</v>
      </c>
      <c r="D1231" s="3" t="n">
        <v>45965</v>
      </c>
      <c r="E1231" s="2" t="s">
        <v>1863</v>
      </c>
      <c r="F1231" s="2" t="s">
        <v>26</v>
      </c>
      <c r="G1231" s="2" t="n">
        <v>43510</v>
      </c>
      <c r="H1231" s="2" t="n">
        <v>6</v>
      </c>
      <c r="I1231" s="2" t="n">
        <v>285</v>
      </c>
      <c r="J1231" s="2" t="n">
        <v>0</v>
      </c>
      <c r="K1231" s="2" t="n">
        <v>98498</v>
      </c>
      <c r="L1231" s="2" t="n">
        <v>63200</v>
      </c>
      <c r="M1231" s="2" t="n">
        <v>2448</v>
      </c>
      <c r="N1231" s="2" t="n">
        <v>194</v>
      </c>
      <c r="O1231" s="2" t="n">
        <v>394</v>
      </c>
      <c r="P1231" s="2" t="n">
        <v>528</v>
      </c>
      <c r="Q1231" s="2" t="n">
        <v>792</v>
      </c>
      <c r="R1231" s="2" t="n">
        <v>116</v>
      </c>
      <c r="S1231" s="2" t="n">
        <v>7</v>
      </c>
      <c r="T1231" s="2" t="s">
        <v>51</v>
      </c>
      <c r="U1231" s="4" t="n">
        <f aca="false">(M1231+N1231+O1231+P1231)/L1231</f>
        <v>0.0563924050632911</v>
      </c>
      <c r="V1231" s="2" t="str">
        <f aca="false">IF(S1231&lt;=5,"Late night (0-5)",IF(S1231&lt;=11,"Morning (6-11)",IF(S1231&lt;=17,"Afternoon (12-17)","Evening (18-23)")))</f>
        <v>Morning (6-11)</v>
      </c>
    </row>
    <row r="1232" customFormat="false" ht="15" hidden="false" customHeight="false" outlineLevel="0" collapsed="false">
      <c r="A1232" s="2" t="s">
        <v>2171</v>
      </c>
      <c r="B1232" s="2" t="s">
        <v>307</v>
      </c>
      <c r="C1232" s="2" t="s">
        <v>48</v>
      </c>
      <c r="D1232" s="3" t="n">
        <v>45680</v>
      </c>
      <c r="E1232" s="2" t="s">
        <v>2172</v>
      </c>
      <c r="F1232" s="2" t="s">
        <v>26</v>
      </c>
      <c r="G1232" s="2" t="n">
        <v>91358</v>
      </c>
      <c r="H1232" s="2" t="n">
        <v>8</v>
      </c>
      <c r="I1232" s="2" t="n">
        <v>259</v>
      </c>
      <c r="J1232" s="2" t="n">
        <v>1</v>
      </c>
      <c r="K1232" s="2" t="n">
        <v>67789</v>
      </c>
      <c r="L1232" s="2" t="n">
        <v>59307</v>
      </c>
      <c r="M1232" s="2" t="n">
        <v>3494</v>
      </c>
      <c r="N1232" s="2" t="n">
        <v>177</v>
      </c>
      <c r="O1232" s="2" t="n">
        <v>222</v>
      </c>
      <c r="P1232" s="2" t="n">
        <v>354</v>
      </c>
      <c r="Q1232" s="2" t="n">
        <v>407</v>
      </c>
      <c r="R1232" s="2" t="n">
        <v>24</v>
      </c>
      <c r="S1232" s="2" t="n">
        <v>3</v>
      </c>
      <c r="T1232" s="2" t="s">
        <v>79</v>
      </c>
      <c r="U1232" s="4" t="n">
        <f aca="false">(M1232+N1232+O1232+P1232)/L1232</f>
        <v>0.0716104338442342</v>
      </c>
      <c r="V1232" s="2" t="str">
        <f aca="false">IF(S1232&lt;=5,"Late night (0-5)",IF(S1232&lt;=11,"Morning (6-11)",IF(S1232&lt;=17,"Afternoon (12-17)","Evening (18-23)")))</f>
        <v>Late night (0-5)</v>
      </c>
    </row>
    <row r="1233" customFormat="false" ht="15" hidden="false" customHeight="false" outlineLevel="0" collapsed="false">
      <c r="A1233" s="2" t="s">
        <v>2173</v>
      </c>
      <c r="B1233" s="2" t="s">
        <v>459</v>
      </c>
      <c r="C1233" s="2" t="s">
        <v>84</v>
      </c>
      <c r="D1233" s="3" t="n">
        <v>45895</v>
      </c>
      <c r="E1233" s="2" t="s">
        <v>1581</v>
      </c>
      <c r="F1233" s="2" t="s">
        <v>38</v>
      </c>
      <c r="G1233" s="2" t="n">
        <v>19744</v>
      </c>
      <c r="H1233" s="2" t="n">
        <v>16</v>
      </c>
      <c r="I1233" s="2" t="n">
        <v>179</v>
      </c>
      <c r="J1233" s="2" t="n">
        <v>1</v>
      </c>
      <c r="K1233" s="2" t="n">
        <v>20965</v>
      </c>
      <c r="L1233" s="2" t="n">
        <v>14924</v>
      </c>
      <c r="M1233" s="2" t="n">
        <v>1292</v>
      </c>
      <c r="N1233" s="2" t="n">
        <v>43</v>
      </c>
      <c r="O1233" s="2" t="n">
        <v>187</v>
      </c>
      <c r="P1233" s="2" t="n">
        <v>80</v>
      </c>
      <c r="Q1233" s="2" t="n">
        <v>342</v>
      </c>
      <c r="R1233" s="2" t="n">
        <v>37</v>
      </c>
      <c r="S1233" s="2" t="n">
        <v>7</v>
      </c>
      <c r="T1233" s="2" t="s">
        <v>51</v>
      </c>
      <c r="U1233" s="4" t="n">
        <f aca="false">(M1233+N1233+O1233+P1233)/L1233</f>
        <v>0.107343875636559</v>
      </c>
      <c r="V1233" s="2" t="str">
        <f aca="false">IF(S1233&lt;=5,"Late night (0-5)",IF(S1233&lt;=11,"Morning (6-11)",IF(S1233&lt;=17,"Afternoon (12-17)","Evening (18-23)")))</f>
        <v>Morning (6-11)</v>
      </c>
    </row>
    <row r="1234" customFormat="false" ht="15" hidden="false" customHeight="false" outlineLevel="0" collapsed="false">
      <c r="A1234" s="2" t="s">
        <v>2174</v>
      </c>
      <c r="B1234" s="2" t="s">
        <v>138</v>
      </c>
      <c r="C1234" s="2" t="s">
        <v>41</v>
      </c>
      <c r="D1234" s="3" t="n">
        <v>45963</v>
      </c>
      <c r="E1234" s="2" t="s">
        <v>893</v>
      </c>
      <c r="F1234" s="2" t="s">
        <v>32</v>
      </c>
      <c r="G1234" s="2" t="n">
        <v>18712</v>
      </c>
      <c r="H1234" s="2" t="n">
        <v>13</v>
      </c>
      <c r="I1234" s="2" t="n">
        <v>242</v>
      </c>
      <c r="J1234" s="2" t="n">
        <v>1</v>
      </c>
      <c r="K1234" s="2" t="n">
        <v>43721</v>
      </c>
      <c r="L1234" s="2" t="n">
        <v>37126</v>
      </c>
      <c r="M1234" s="2" t="n">
        <v>1708</v>
      </c>
      <c r="N1234" s="2" t="n">
        <v>71</v>
      </c>
      <c r="O1234" s="2" t="n">
        <v>341</v>
      </c>
      <c r="P1234" s="2" t="n">
        <v>216</v>
      </c>
      <c r="Q1234" s="2" t="n">
        <v>246</v>
      </c>
      <c r="R1234" s="2" t="n">
        <v>28</v>
      </c>
      <c r="S1234" s="2" t="n">
        <v>11</v>
      </c>
      <c r="T1234" s="2" t="s">
        <v>27</v>
      </c>
      <c r="U1234" s="4" t="n">
        <f aca="false">(M1234+N1234+O1234+P1234)/L1234</f>
        <v>0.0629208640844691</v>
      </c>
      <c r="V1234" s="2" t="str">
        <f aca="false">IF(S1234&lt;=5,"Late night (0-5)",IF(S1234&lt;=11,"Morning (6-11)",IF(S1234&lt;=17,"Afternoon (12-17)","Evening (18-23)")))</f>
        <v>Morning (6-11)</v>
      </c>
    </row>
    <row r="1235" customFormat="false" ht="15" hidden="false" customHeight="false" outlineLevel="0" collapsed="false">
      <c r="A1235" s="2" t="s">
        <v>2175</v>
      </c>
      <c r="B1235" s="2" t="s">
        <v>243</v>
      </c>
      <c r="C1235" s="2" t="s">
        <v>91</v>
      </c>
      <c r="D1235" s="3" t="n">
        <v>45743</v>
      </c>
      <c r="E1235" s="2" t="s">
        <v>1341</v>
      </c>
      <c r="F1235" s="2" t="s">
        <v>26</v>
      </c>
      <c r="G1235" s="2" t="n">
        <v>42046</v>
      </c>
      <c r="H1235" s="2" t="n">
        <v>6</v>
      </c>
      <c r="I1235" s="2" t="n">
        <v>65</v>
      </c>
      <c r="J1235" s="2" t="n">
        <v>0</v>
      </c>
      <c r="K1235" s="2" t="n">
        <v>44175</v>
      </c>
      <c r="L1235" s="2" t="n">
        <v>27339</v>
      </c>
      <c r="M1235" s="2" t="n">
        <v>1644</v>
      </c>
      <c r="N1235" s="2" t="n">
        <v>53</v>
      </c>
      <c r="O1235" s="2" t="n">
        <v>49</v>
      </c>
      <c r="P1235" s="2" t="n">
        <v>521</v>
      </c>
      <c r="Q1235" s="2" t="n">
        <v>589</v>
      </c>
      <c r="R1235" s="2" t="n">
        <v>127</v>
      </c>
      <c r="S1235" s="2" t="n">
        <v>19</v>
      </c>
      <c r="T1235" s="2" t="s">
        <v>79</v>
      </c>
      <c r="U1235" s="4" t="n">
        <f aca="false">(M1235+N1235+O1235+P1235)/L1235</f>
        <v>0.0829218332784667</v>
      </c>
      <c r="V1235" s="2" t="str">
        <f aca="false">IF(S1235&lt;=5,"Late night (0-5)",IF(S1235&lt;=11,"Morning (6-11)",IF(S1235&lt;=17,"Afternoon (12-17)","Evening (18-23)")))</f>
        <v>Evening (18-23)</v>
      </c>
    </row>
    <row r="1236" customFormat="false" ht="15" hidden="false" customHeight="false" outlineLevel="0" collapsed="false">
      <c r="A1236" s="2" t="s">
        <v>2176</v>
      </c>
      <c r="B1236" s="2" t="s">
        <v>151</v>
      </c>
      <c r="C1236" s="2" t="s">
        <v>36</v>
      </c>
      <c r="D1236" s="3" t="n">
        <v>45754</v>
      </c>
      <c r="E1236" s="2" t="s">
        <v>2177</v>
      </c>
      <c r="F1236" s="2" t="s">
        <v>32</v>
      </c>
      <c r="G1236" s="2" t="n">
        <v>19247</v>
      </c>
      <c r="H1236" s="2" t="n">
        <v>21</v>
      </c>
      <c r="I1236" s="2" t="n">
        <v>28</v>
      </c>
      <c r="J1236" s="2" t="n">
        <v>1</v>
      </c>
      <c r="K1236" s="2" t="n">
        <v>44520</v>
      </c>
      <c r="L1236" s="2" t="n">
        <v>33442</v>
      </c>
      <c r="M1236" s="2" t="n">
        <v>2899</v>
      </c>
      <c r="N1236" s="2" t="n">
        <v>124</v>
      </c>
      <c r="O1236" s="2" t="n">
        <v>193</v>
      </c>
      <c r="P1236" s="2" t="n">
        <v>200</v>
      </c>
      <c r="Q1236" s="2" t="n">
        <v>304</v>
      </c>
      <c r="R1236" s="2" t="n">
        <v>86</v>
      </c>
      <c r="S1236" s="2" t="n">
        <v>7</v>
      </c>
      <c r="T1236" s="2" t="s">
        <v>33</v>
      </c>
      <c r="U1236" s="4" t="n">
        <f aca="false">(M1236+N1236+O1236+P1236)/L1236</f>
        <v>0.102147000777465</v>
      </c>
      <c r="V1236" s="2" t="str">
        <f aca="false">IF(S1236&lt;=5,"Late night (0-5)",IF(S1236&lt;=11,"Morning (6-11)",IF(S1236&lt;=17,"Afternoon (12-17)","Evening (18-23)")))</f>
        <v>Morning (6-11)</v>
      </c>
    </row>
    <row r="1237" customFormat="false" ht="15" hidden="false" customHeight="false" outlineLevel="0" collapsed="false">
      <c r="A1237" s="2" t="s">
        <v>2178</v>
      </c>
      <c r="B1237" s="2" t="s">
        <v>227</v>
      </c>
      <c r="C1237" s="2" t="s">
        <v>54</v>
      </c>
      <c r="D1237" s="3" t="n">
        <v>45869</v>
      </c>
      <c r="E1237" s="2" t="s">
        <v>1189</v>
      </c>
      <c r="F1237" s="2" t="s">
        <v>38</v>
      </c>
      <c r="G1237" s="2" t="n">
        <v>11796</v>
      </c>
      <c r="H1237" s="2" t="n">
        <v>11</v>
      </c>
      <c r="I1237" s="2" t="n">
        <v>195</v>
      </c>
      <c r="J1237" s="2" t="n">
        <v>1</v>
      </c>
      <c r="K1237" s="2" t="n">
        <v>4756</v>
      </c>
      <c r="L1237" s="2" t="n">
        <v>3187</v>
      </c>
      <c r="M1237" s="2" t="n">
        <v>192</v>
      </c>
      <c r="N1237" s="2" t="n">
        <v>14</v>
      </c>
      <c r="O1237" s="2" t="n">
        <v>16</v>
      </c>
      <c r="P1237" s="2" t="n">
        <v>52</v>
      </c>
      <c r="Q1237" s="2" t="n">
        <v>73</v>
      </c>
      <c r="R1237" s="2" t="n">
        <v>20</v>
      </c>
      <c r="S1237" s="2" t="n">
        <v>11</v>
      </c>
      <c r="T1237" s="2" t="s">
        <v>79</v>
      </c>
      <c r="U1237" s="4" t="n">
        <f aca="false">(M1237+N1237+O1237+P1237)/L1237</f>
        <v>0.0859742704737998</v>
      </c>
      <c r="V1237" s="2" t="str">
        <f aca="false">IF(S1237&lt;=5,"Late night (0-5)",IF(S1237&lt;=11,"Morning (6-11)",IF(S1237&lt;=17,"Afternoon (12-17)","Evening (18-23)")))</f>
        <v>Morning (6-11)</v>
      </c>
    </row>
    <row r="1238" customFormat="false" ht="15" hidden="false" customHeight="false" outlineLevel="0" collapsed="false">
      <c r="A1238" s="2" t="s">
        <v>2179</v>
      </c>
      <c r="B1238" s="2" t="s">
        <v>141</v>
      </c>
      <c r="C1238" s="2" t="s">
        <v>48</v>
      </c>
      <c r="D1238" s="3" t="n">
        <v>45701</v>
      </c>
      <c r="E1238" s="2" t="s">
        <v>2145</v>
      </c>
      <c r="F1238" s="2" t="s">
        <v>38</v>
      </c>
      <c r="G1238" s="2" t="n">
        <v>16119</v>
      </c>
      <c r="H1238" s="2" t="n">
        <v>11</v>
      </c>
      <c r="I1238" s="2" t="n">
        <v>296</v>
      </c>
      <c r="J1238" s="2" t="n">
        <v>0</v>
      </c>
      <c r="K1238" s="2" t="n">
        <v>6906</v>
      </c>
      <c r="L1238" s="2" t="n">
        <v>6107</v>
      </c>
      <c r="M1238" s="2" t="n">
        <v>330</v>
      </c>
      <c r="N1238" s="2" t="n">
        <v>13</v>
      </c>
      <c r="O1238" s="2" t="n">
        <v>63</v>
      </c>
      <c r="P1238" s="2" t="n">
        <v>64</v>
      </c>
      <c r="Q1238" s="2" t="n">
        <v>153</v>
      </c>
      <c r="R1238" s="2" t="n">
        <v>14</v>
      </c>
      <c r="S1238" s="2" t="n">
        <v>1</v>
      </c>
      <c r="T1238" s="2" t="s">
        <v>79</v>
      </c>
      <c r="U1238" s="4" t="n">
        <f aca="false">(M1238+N1238+O1238+P1238)/L1238</f>
        <v>0.0769608645816276</v>
      </c>
      <c r="V1238" s="2" t="str">
        <f aca="false">IF(S1238&lt;=5,"Late night (0-5)",IF(S1238&lt;=11,"Morning (6-11)",IF(S1238&lt;=17,"Afternoon (12-17)","Evening (18-23)")))</f>
        <v>Late night (0-5)</v>
      </c>
    </row>
    <row r="1239" customFormat="false" ht="15" hidden="false" customHeight="false" outlineLevel="0" collapsed="false">
      <c r="A1239" s="2" t="s">
        <v>2180</v>
      </c>
      <c r="B1239" s="2" t="s">
        <v>206</v>
      </c>
      <c r="C1239" s="2" t="s">
        <v>48</v>
      </c>
      <c r="D1239" s="3" t="n">
        <v>45972</v>
      </c>
      <c r="E1239" s="2" t="s">
        <v>538</v>
      </c>
      <c r="F1239" s="2" t="s">
        <v>38</v>
      </c>
      <c r="G1239" s="2" t="n">
        <v>42937</v>
      </c>
      <c r="H1239" s="2" t="n">
        <v>10</v>
      </c>
      <c r="I1239" s="2" t="n">
        <v>86</v>
      </c>
      <c r="J1239" s="2" t="n">
        <v>1</v>
      </c>
      <c r="K1239" s="2" t="n">
        <v>26824</v>
      </c>
      <c r="L1239" s="2" t="n">
        <v>15060</v>
      </c>
      <c r="M1239" s="2" t="n">
        <v>1285</v>
      </c>
      <c r="N1239" s="2" t="n">
        <v>50</v>
      </c>
      <c r="O1239" s="2" t="n">
        <v>95</v>
      </c>
      <c r="P1239" s="2" t="n">
        <v>204</v>
      </c>
      <c r="Q1239" s="2" t="n">
        <v>335</v>
      </c>
      <c r="R1239" s="2" t="n">
        <v>46</v>
      </c>
      <c r="S1239" s="2" t="n">
        <v>3</v>
      </c>
      <c r="T1239" s="2" t="s">
        <v>51</v>
      </c>
      <c r="U1239" s="4" t="n">
        <f aca="false">(M1239+N1239+O1239+P1239)/L1239</f>
        <v>0.108499335989376</v>
      </c>
      <c r="V1239" s="2" t="str">
        <f aca="false">IF(S1239&lt;=5,"Late night (0-5)",IF(S1239&lt;=11,"Morning (6-11)",IF(S1239&lt;=17,"Afternoon (12-17)","Evening (18-23)")))</f>
        <v>Late night (0-5)</v>
      </c>
    </row>
    <row r="1240" customFormat="false" ht="15" hidden="false" customHeight="false" outlineLevel="0" collapsed="false">
      <c r="A1240" s="2" t="s">
        <v>2181</v>
      </c>
      <c r="B1240" s="2" t="s">
        <v>57</v>
      </c>
      <c r="C1240" s="2" t="s">
        <v>24</v>
      </c>
      <c r="D1240" s="3" t="n">
        <v>45681</v>
      </c>
      <c r="E1240" s="2" t="s">
        <v>1405</v>
      </c>
      <c r="F1240" s="2" t="s">
        <v>38</v>
      </c>
      <c r="G1240" s="2" t="n">
        <v>31021</v>
      </c>
      <c r="H1240" s="2" t="n">
        <v>13</v>
      </c>
      <c r="I1240" s="2" t="n">
        <v>267</v>
      </c>
      <c r="J1240" s="2" t="n">
        <v>1</v>
      </c>
      <c r="K1240" s="2" t="n">
        <v>18118</v>
      </c>
      <c r="L1240" s="2" t="n">
        <v>13052</v>
      </c>
      <c r="M1240" s="2" t="n">
        <v>994</v>
      </c>
      <c r="N1240" s="2" t="n">
        <v>27</v>
      </c>
      <c r="O1240" s="2" t="n">
        <v>131</v>
      </c>
      <c r="P1240" s="2" t="n">
        <v>52</v>
      </c>
      <c r="Q1240" s="2" t="n">
        <v>141</v>
      </c>
      <c r="R1240" s="2" t="n">
        <v>28</v>
      </c>
      <c r="S1240" s="2" t="n">
        <v>9</v>
      </c>
      <c r="T1240" s="2" t="s">
        <v>96</v>
      </c>
      <c r="U1240" s="4" t="n">
        <f aca="false">(M1240+N1240+O1240+P1240)/L1240</f>
        <v>0.0922463990193074</v>
      </c>
      <c r="V1240" s="2" t="str">
        <f aca="false">IF(S1240&lt;=5,"Late night (0-5)",IF(S1240&lt;=11,"Morning (6-11)",IF(S1240&lt;=17,"Afternoon (12-17)","Evening (18-23)")))</f>
        <v>Morning (6-11)</v>
      </c>
    </row>
    <row r="1241" customFormat="false" ht="15" hidden="false" customHeight="false" outlineLevel="0" collapsed="false">
      <c r="A1241" s="2" t="s">
        <v>2182</v>
      </c>
      <c r="B1241" s="2" t="s">
        <v>345</v>
      </c>
      <c r="C1241" s="2" t="s">
        <v>30</v>
      </c>
      <c r="D1241" s="3" t="n">
        <v>46009</v>
      </c>
      <c r="E1241" s="2" t="s">
        <v>1780</v>
      </c>
      <c r="F1241" s="2" t="s">
        <v>38</v>
      </c>
      <c r="G1241" s="2" t="n">
        <v>8662</v>
      </c>
      <c r="H1241" s="2" t="n">
        <v>12</v>
      </c>
      <c r="I1241" s="2" t="n">
        <v>182</v>
      </c>
      <c r="J1241" s="2" t="n">
        <v>1</v>
      </c>
      <c r="K1241" s="2" t="n">
        <v>4876</v>
      </c>
      <c r="L1241" s="2" t="n">
        <v>4183</v>
      </c>
      <c r="M1241" s="2" t="n">
        <v>318</v>
      </c>
      <c r="N1241" s="2" t="n">
        <v>7</v>
      </c>
      <c r="O1241" s="2" t="n">
        <v>41</v>
      </c>
      <c r="P1241" s="2" t="n">
        <v>84</v>
      </c>
      <c r="Q1241" s="2" t="n">
        <v>98</v>
      </c>
      <c r="R1241" s="2" t="n">
        <v>15</v>
      </c>
      <c r="S1241" s="2" t="n">
        <v>14</v>
      </c>
      <c r="T1241" s="2" t="s">
        <v>79</v>
      </c>
      <c r="U1241" s="4" t="n">
        <f aca="false">(M1241+N1241+O1241+P1241)/L1241</f>
        <v>0.107578293091083</v>
      </c>
      <c r="V1241" s="2" t="str">
        <f aca="false">IF(S1241&lt;=5,"Late night (0-5)",IF(S1241&lt;=11,"Morning (6-11)",IF(S1241&lt;=17,"Afternoon (12-17)","Evening (18-23)")))</f>
        <v>Afternoon (12-17)</v>
      </c>
    </row>
    <row r="1242" customFormat="false" ht="15" hidden="false" customHeight="false" outlineLevel="0" collapsed="false">
      <c r="A1242" s="2" t="s">
        <v>2183</v>
      </c>
      <c r="B1242" s="2" t="s">
        <v>29</v>
      </c>
      <c r="C1242" s="2" t="s">
        <v>30</v>
      </c>
      <c r="D1242" s="3" t="n">
        <v>45763</v>
      </c>
      <c r="E1242" s="2" t="s">
        <v>1530</v>
      </c>
      <c r="F1242" s="2" t="s">
        <v>32</v>
      </c>
      <c r="G1242" s="2" t="n">
        <v>11612</v>
      </c>
      <c r="H1242" s="2" t="n">
        <v>9</v>
      </c>
      <c r="I1242" s="2" t="n">
        <v>71</v>
      </c>
      <c r="J1242" s="2" t="n">
        <v>0</v>
      </c>
      <c r="K1242" s="2" t="n">
        <v>5476</v>
      </c>
      <c r="L1242" s="2" t="n">
        <v>3050</v>
      </c>
      <c r="M1242" s="2" t="n">
        <v>135</v>
      </c>
      <c r="N1242" s="2" t="n">
        <v>10</v>
      </c>
      <c r="O1242" s="2" t="n">
        <v>33</v>
      </c>
      <c r="P1242" s="2" t="n">
        <v>35</v>
      </c>
      <c r="Q1242" s="2" t="n">
        <v>75</v>
      </c>
      <c r="R1242" s="2" t="n">
        <v>7</v>
      </c>
      <c r="S1242" s="2" t="n">
        <v>4</v>
      </c>
      <c r="T1242" s="2" t="s">
        <v>66</v>
      </c>
      <c r="U1242" s="4" t="n">
        <f aca="false">(M1242+N1242+O1242+P1242)/L1242</f>
        <v>0.0698360655737705</v>
      </c>
      <c r="V1242" s="2" t="str">
        <f aca="false">IF(S1242&lt;=5,"Late night (0-5)",IF(S1242&lt;=11,"Morning (6-11)",IF(S1242&lt;=17,"Afternoon (12-17)","Evening (18-23)")))</f>
        <v>Late night (0-5)</v>
      </c>
    </row>
    <row r="1243" customFormat="false" ht="15" hidden="false" customHeight="false" outlineLevel="0" collapsed="false">
      <c r="A1243" s="2" t="s">
        <v>2184</v>
      </c>
      <c r="B1243" s="2" t="s">
        <v>426</v>
      </c>
      <c r="C1243" s="2" t="s">
        <v>30</v>
      </c>
      <c r="D1243" s="3" t="n">
        <v>45763</v>
      </c>
      <c r="E1243" s="2" t="s">
        <v>1027</v>
      </c>
      <c r="F1243" s="2" t="s">
        <v>38</v>
      </c>
      <c r="G1243" s="2" t="n">
        <v>40649</v>
      </c>
      <c r="H1243" s="2" t="n">
        <v>10</v>
      </c>
      <c r="I1243" s="2" t="n">
        <v>145</v>
      </c>
      <c r="J1243" s="2" t="n">
        <v>0</v>
      </c>
      <c r="K1243" s="2" t="n">
        <v>16582</v>
      </c>
      <c r="L1243" s="2" t="n">
        <v>10307</v>
      </c>
      <c r="M1243" s="2" t="n">
        <v>733</v>
      </c>
      <c r="N1243" s="2" t="n">
        <v>28</v>
      </c>
      <c r="O1243" s="2" t="n">
        <v>144</v>
      </c>
      <c r="P1243" s="2" t="n">
        <v>155</v>
      </c>
      <c r="Q1243" s="2" t="n">
        <v>207</v>
      </c>
      <c r="R1243" s="2" t="n">
        <v>13</v>
      </c>
      <c r="S1243" s="2" t="n">
        <v>10</v>
      </c>
      <c r="T1243" s="2" t="s">
        <v>66</v>
      </c>
      <c r="U1243" s="4" t="n">
        <f aca="false">(M1243+N1243+O1243+P1243)/L1243</f>
        <v>0.102842728242942</v>
      </c>
      <c r="V1243" s="2" t="str">
        <f aca="false">IF(S1243&lt;=5,"Late night (0-5)",IF(S1243&lt;=11,"Morning (6-11)",IF(S1243&lt;=17,"Afternoon (12-17)","Evening (18-23)")))</f>
        <v>Morning (6-11)</v>
      </c>
    </row>
    <row r="1244" customFormat="false" ht="15" hidden="false" customHeight="false" outlineLevel="0" collapsed="false">
      <c r="A1244" s="2" t="s">
        <v>2185</v>
      </c>
      <c r="B1244" s="2" t="s">
        <v>114</v>
      </c>
      <c r="C1244" s="2" t="s">
        <v>84</v>
      </c>
      <c r="D1244" s="3" t="n">
        <v>45726</v>
      </c>
      <c r="E1244" s="2" t="s">
        <v>510</v>
      </c>
      <c r="F1244" s="2" t="s">
        <v>32</v>
      </c>
      <c r="G1244" s="2" t="n">
        <v>64307</v>
      </c>
      <c r="H1244" s="2" t="n">
        <v>13</v>
      </c>
      <c r="I1244" s="2" t="n">
        <v>178</v>
      </c>
      <c r="J1244" s="2" t="n">
        <v>1</v>
      </c>
      <c r="K1244" s="2" t="n">
        <v>73197</v>
      </c>
      <c r="L1244" s="2" t="n">
        <v>44521</v>
      </c>
      <c r="M1244" s="2" t="n">
        <v>2712</v>
      </c>
      <c r="N1244" s="2" t="n">
        <v>112</v>
      </c>
      <c r="O1244" s="2" t="n">
        <v>446</v>
      </c>
      <c r="P1244" s="2" t="n">
        <v>592</v>
      </c>
      <c r="Q1244" s="2" t="n">
        <v>847</v>
      </c>
      <c r="R1244" s="2" t="n">
        <v>206</v>
      </c>
      <c r="S1244" s="2" t="n">
        <v>11</v>
      </c>
      <c r="T1244" s="2" t="s">
        <v>33</v>
      </c>
      <c r="U1244" s="4" t="n">
        <f aca="false">(M1244+N1244+O1244+P1244)/L1244</f>
        <v>0.0867455807371802</v>
      </c>
      <c r="V1244" s="2" t="str">
        <f aca="false">IF(S1244&lt;=5,"Late night (0-5)",IF(S1244&lt;=11,"Morning (6-11)",IF(S1244&lt;=17,"Afternoon (12-17)","Evening (18-23)")))</f>
        <v>Morning (6-11)</v>
      </c>
    </row>
    <row r="1245" customFormat="false" ht="15" hidden="false" customHeight="false" outlineLevel="0" collapsed="false">
      <c r="A1245" s="2" t="s">
        <v>2186</v>
      </c>
      <c r="B1245" s="2" t="s">
        <v>426</v>
      </c>
      <c r="C1245" s="2" t="s">
        <v>30</v>
      </c>
      <c r="D1245" s="3" t="n">
        <v>45708</v>
      </c>
      <c r="E1245" s="2" t="s">
        <v>228</v>
      </c>
      <c r="F1245" s="2" t="s">
        <v>38</v>
      </c>
      <c r="G1245" s="2" t="n">
        <v>40649</v>
      </c>
      <c r="H1245" s="2" t="n">
        <v>11</v>
      </c>
      <c r="I1245" s="2" t="n">
        <v>236</v>
      </c>
      <c r="J1245" s="2" t="n">
        <v>0</v>
      </c>
      <c r="K1245" s="2" t="n">
        <v>19354</v>
      </c>
      <c r="L1245" s="2" t="n">
        <v>14961</v>
      </c>
      <c r="M1245" s="2" t="n">
        <v>904</v>
      </c>
      <c r="N1245" s="2" t="n">
        <v>33</v>
      </c>
      <c r="O1245" s="2" t="n">
        <v>60</v>
      </c>
      <c r="P1245" s="2" t="n">
        <v>204</v>
      </c>
      <c r="Q1245" s="2" t="n">
        <v>279</v>
      </c>
      <c r="R1245" s="2" t="n">
        <v>72</v>
      </c>
      <c r="S1245" s="2" t="n">
        <v>18</v>
      </c>
      <c r="T1245" s="2" t="s">
        <v>79</v>
      </c>
      <c r="U1245" s="4" t="n">
        <f aca="false">(M1245+N1245+O1245+P1245)/L1245</f>
        <v>0.0802753826615868</v>
      </c>
      <c r="V1245" s="2" t="str">
        <f aca="false">IF(S1245&lt;=5,"Late night (0-5)",IF(S1245&lt;=11,"Morning (6-11)",IF(S1245&lt;=17,"Afternoon (12-17)","Evening (18-23)")))</f>
        <v>Evening (18-23)</v>
      </c>
    </row>
    <row r="1246" customFormat="false" ht="15" hidden="false" customHeight="false" outlineLevel="0" collapsed="false">
      <c r="A1246" s="2" t="s">
        <v>2187</v>
      </c>
      <c r="B1246" s="2" t="s">
        <v>132</v>
      </c>
      <c r="C1246" s="2" t="s">
        <v>36</v>
      </c>
      <c r="D1246" s="3" t="n">
        <v>45842</v>
      </c>
      <c r="E1246" s="2" t="s">
        <v>2188</v>
      </c>
      <c r="F1246" s="2" t="s">
        <v>32</v>
      </c>
      <c r="G1246" s="2" t="n">
        <v>83053</v>
      </c>
      <c r="H1246" s="2" t="n">
        <v>5</v>
      </c>
      <c r="I1246" s="2" t="n">
        <v>281</v>
      </c>
      <c r="J1246" s="2" t="n">
        <v>0</v>
      </c>
      <c r="K1246" s="2" t="n">
        <v>82534</v>
      </c>
      <c r="L1246" s="2" t="n">
        <v>58810</v>
      </c>
      <c r="M1246" s="2" t="n">
        <v>3925</v>
      </c>
      <c r="N1246" s="2" t="n">
        <v>262</v>
      </c>
      <c r="O1246" s="2" t="n">
        <v>477</v>
      </c>
      <c r="P1246" s="2" t="n">
        <v>807</v>
      </c>
      <c r="Q1246" s="2" t="n">
        <v>1606</v>
      </c>
      <c r="R1246" s="2" t="n">
        <v>169</v>
      </c>
      <c r="S1246" s="2" t="n">
        <v>5</v>
      </c>
      <c r="T1246" s="2" t="s">
        <v>96</v>
      </c>
      <c r="U1246" s="4" t="n">
        <f aca="false">(M1246+N1246+O1246+P1246)/L1246</f>
        <v>0.0930283965312022</v>
      </c>
      <c r="V1246" s="2" t="str">
        <f aca="false">IF(S1246&lt;=5,"Late night (0-5)",IF(S1246&lt;=11,"Morning (6-11)",IF(S1246&lt;=17,"Afternoon (12-17)","Evening (18-23)")))</f>
        <v>Late night (0-5)</v>
      </c>
    </row>
    <row r="1247" customFormat="false" ht="15" hidden="false" customHeight="false" outlineLevel="0" collapsed="false">
      <c r="A1247" s="2" t="s">
        <v>2189</v>
      </c>
      <c r="B1247" s="2" t="s">
        <v>307</v>
      </c>
      <c r="C1247" s="2" t="s">
        <v>48</v>
      </c>
      <c r="D1247" s="3" t="n">
        <v>45673</v>
      </c>
      <c r="E1247" s="2" t="s">
        <v>2190</v>
      </c>
      <c r="F1247" s="2" t="s">
        <v>26</v>
      </c>
      <c r="G1247" s="2" t="n">
        <v>91358</v>
      </c>
      <c r="H1247" s="2" t="n">
        <v>21</v>
      </c>
      <c r="I1247" s="2" t="n">
        <v>180</v>
      </c>
      <c r="J1247" s="2" t="n">
        <v>1</v>
      </c>
      <c r="K1247" s="2" t="n">
        <v>111039</v>
      </c>
      <c r="L1247" s="2" t="n">
        <v>65866</v>
      </c>
      <c r="M1247" s="2" t="n">
        <v>2330</v>
      </c>
      <c r="N1247" s="2" t="n">
        <v>62</v>
      </c>
      <c r="O1247" s="2" t="n">
        <v>259</v>
      </c>
      <c r="P1247" s="2" t="n">
        <v>807</v>
      </c>
      <c r="Q1247" s="2" t="n">
        <v>882</v>
      </c>
      <c r="R1247" s="2" t="n">
        <v>59</v>
      </c>
      <c r="S1247" s="2" t="n">
        <v>18</v>
      </c>
      <c r="T1247" s="2" t="s">
        <v>79</v>
      </c>
      <c r="U1247" s="4" t="n">
        <f aca="false">(M1247+N1247+O1247+P1247)/L1247</f>
        <v>0.0525005313818966</v>
      </c>
      <c r="V1247" s="2" t="str">
        <f aca="false">IF(S1247&lt;=5,"Late night (0-5)",IF(S1247&lt;=11,"Morning (6-11)",IF(S1247&lt;=17,"Afternoon (12-17)","Evening (18-23)")))</f>
        <v>Evening (18-23)</v>
      </c>
    </row>
    <row r="1248" customFormat="false" ht="15" hidden="false" customHeight="false" outlineLevel="0" collapsed="false">
      <c r="A1248" s="2" t="s">
        <v>2191</v>
      </c>
      <c r="B1248" s="2" t="s">
        <v>452</v>
      </c>
      <c r="C1248" s="2" t="s">
        <v>91</v>
      </c>
      <c r="D1248" s="3" t="n">
        <v>45669</v>
      </c>
      <c r="E1248" s="2" t="s">
        <v>1939</v>
      </c>
      <c r="F1248" s="2" t="s">
        <v>32</v>
      </c>
      <c r="G1248" s="2" t="n">
        <v>14201</v>
      </c>
      <c r="H1248" s="2" t="n">
        <v>12</v>
      </c>
      <c r="I1248" s="2" t="n">
        <v>230</v>
      </c>
      <c r="J1248" s="2" t="n">
        <v>0</v>
      </c>
      <c r="K1248" s="2" t="n">
        <v>24189</v>
      </c>
      <c r="L1248" s="2" t="n">
        <v>14720</v>
      </c>
      <c r="M1248" s="2" t="n">
        <v>1265</v>
      </c>
      <c r="N1248" s="2" t="n">
        <v>35</v>
      </c>
      <c r="O1248" s="2" t="n">
        <v>253</v>
      </c>
      <c r="P1248" s="2" t="n">
        <v>308</v>
      </c>
      <c r="Q1248" s="2" t="n">
        <v>392</v>
      </c>
      <c r="R1248" s="2" t="n">
        <v>43</v>
      </c>
      <c r="S1248" s="2" t="n">
        <v>19</v>
      </c>
      <c r="T1248" s="2" t="s">
        <v>27</v>
      </c>
      <c r="U1248" s="4" t="n">
        <f aca="false">(M1248+N1248+O1248+P1248)/L1248</f>
        <v>0.126426630434783</v>
      </c>
      <c r="V1248" s="2" t="str">
        <f aca="false">IF(S1248&lt;=5,"Late night (0-5)",IF(S1248&lt;=11,"Morning (6-11)",IF(S1248&lt;=17,"Afternoon (12-17)","Evening (18-23)")))</f>
        <v>Evening (18-23)</v>
      </c>
    </row>
    <row r="1249" customFormat="false" ht="15" hidden="false" customHeight="false" outlineLevel="0" collapsed="false">
      <c r="A1249" s="2" t="s">
        <v>2192</v>
      </c>
      <c r="B1249" s="2" t="s">
        <v>193</v>
      </c>
      <c r="C1249" s="2" t="s">
        <v>36</v>
      </c>
      <c r="D1249" s="3" t="n">
        <v>45999</v>
      </c>
      <c r="E1249" s="2" t="s">
        <v>569</v>
      </c>
      <c r="F1249" s="2" t="s">
        <v>38</v>
      </c>
      <c r="G1249" s="2" t="n">
        <v>26454</v>
      </c>
      <c r="H1249" s="2" t="n">
        <v>2</v>
      </c>
      <c r="I1249" s="2" t="n">
        <v>249</v>
      </c>
      <c r="J1249" s="2" t="n">
        <v>0</v>
      </c>
      <c r="K1249" s="2" t="n">
        <v>6212</v>
      </c>
      <c r="L1249" s="2" t="n">
        <v>5645</v>
      </c>
      <c r="M1249" s="2" t="n">
        <v>372</v>
      </c>
      <c r="N1249" s="2" t="n">
        <v>15</v>
      </c>
      <c r="O1249" s="2" t="n">
        <v>18</v>
      </c>
      <c r="P1249" s="2" t="n">
        <v>35</v>
      </c>
      <c r="Q1249" s="2" t="n">
        <v>75</v>
      </c>
      <c r="R1249" s="2" t="n">
        <v>5</v>
      </c>
      <c r="S1249" s="2" t="n">
        <v>15</v>
      </c>
      <c r="T1249" s="2" t="s">
        <v>33</v>
      </c>
      <c r="U1249" s="4" t="n">
        <f aca="false">(M1249+N1249+O1249+P1249)/L1249</f>
        <v>0.0779450841452613</v>
      </c>
      <c r="V1249" s="2" t="str">
        <f aca="false">IF(S1249&lt;=5,"Late night (0-5)",IF(S1249&lt;=11,"Morning (6-11)",IF(S1249&lt;=17,"Afternoon (12-17)","Evening (18-23)")))</f>
        <v>Afternoon (12-17)</v>
      </c>
    </row>
    <row r="1250" customFormat="false" ht="15" hidden="false" customHeight="false" outlineLevel="0" collapsed="false">
      <c r="A1250" s="2" t="s">
        <v>2193</v>
      </c>
      <c r="B1250" s="2" t="s">
        <v>151</v>
      </c>
      <c r="C1250" s="2" t="s">
        <v>36</v>
      </c>
      <c r="D1250" s="3" t="n">
        <v>45802</v>
      </c>
      <c r="E1250" s="2" t="s">
        <v>1277</v>
      </c>
      <c r="F1250" s="2" t="s">
        <v>32</v>
      </c>
      <c r="G1250" s="2" t="n">
        <v>19247</v>
      </c>
      <c r="H1250" s="2" t="n">
        <v>16</v>
      </c>
      <c r="I1250" s="2" t="n">
        <v>219</v>
      </c>
      <c r="J1250" s="2" t="n">
        <v>1</v>
      </c>
      <c r="K1250" s="2" t="n">
        <v>102650</v>
      </c>
      <c r="L1250" s="2" t="n">
        <v>79461</v>
      </c>
      <c r="M1250" s="2" t="n">
        <v>4437</v>
      </c>
      <c r="N1250" s="2" t="n">
        <v>328</v>
      </c>
      <c r="O1250" s="2" t="n">
        <v>1139</v>
      </c>
      <c r="P1250" s="2" t="n">
        <v>339</v>
      </c>
      <c r="Q1250" s="2" t="n">
        <v>1549</v>
      </c>
      <c r="R1250" s="2" t="n">
        <v>163</v>
      </c>
      <c r="S1250" s="2" t="n">
        <v>21</v>
      </c>
      <c r="T1250" s="2" t="s">
        <v>27</v>
      </c>
      <c r="U1250" s="4" t="n">
        <f aca="false">(M1250+N1250+O1250+P1250)/L1250</f>
        <v>0.078566844112206</v>
      </c>
      <c r="V1250" s="2" t="str">
        <f aca="false">IF(S1250&lt;=5,"Late night (0-5)",IF(S1250&lt;=11,"Morning (6-11)",IF(S1250&lt;=17,"Afternoon (12-17)","Evening (18-23)")))</f>
        <v>Evening (18-23)</v>
      </c>
    </row>
    <row r="1251" customFormat="false" ht="15" hidden="false" customHeight="false" outlineLevel="0" collapsed="false">
      <c r="A1251" s="2" t="s">
        <v>2194</v>
      </c>
      <c r="B1251" s="2" t="s">
        <v>94</v>
      </c>
      <c r="C1251" s="2" t="s">
        <v>30</v>
      </c>
      <c r="D1251" s="3" t="n">
        <v>45841</v>
      </c>
      <c r="E1251" s="2" t="s">
        <v>2195</v>
      </c>
      <c r="F1251" s="2" t="s">
        <v>26</v>
      </c>
      <c r="G1251" s="2" t="n">
        <v>58559</v>
      </c>
      <c r="H1251" s="2" t="n">
        <v>5</v>
      </c>
      <c r="I1251" s="2" t="n">
        <v>216</v>
      </c>
      <c r="J1251" s="2" t="n">
        <v>0</v>
      </c>
      <c r="K1251" s="2" t="n">
        <v>59080</v>
      </c>
      <c r="L1251" s="2" t="n">
        <v>42437</v>
      </c>
      <c r="M1251" s="2" t="n">
        <v>3101</v>
      </c>
      <c r="N1251" s="2" t="n">
        <v>98</v>
      </c>
      <c r="O1251" s="2" t="n">
        <v>374</v>
      </c>
      <c r="P1251" s="2" t="n">
        <v>240</v>
      </c>
      <c r="Q1251" s="2" t="n">
        <v>746</v>
      </c>
      <c r="R1251" s="2" t="n">
        <v>139</v>
      </c>
      <c r="S1251" s="2" t="n">
        <v>16</v>
      </c>
      <c r="T1251" s="2" t="s">
        <v>79</v>
      </c>
      <c r="U1251" s="4" t="n">
        <f aca="false">(M1251+N1251+O1251+P1251)/L1251</f>
        <v>0.0898508377123736</v>
      </c>
      <c r="V1251" s="2" t="str">
        <f aca="false">IF(S1251&lt;=5,"Late night (0-5)",IF(S1251&lt;=11,"Morning (6-11)",IF(S1251&lt;=17,"Afternoon (12-17)","Evening (18-23)")))</f>
        <v>Afternoon (12-17)</v>
      </c>
    </row>
    <row r="1252" customFormat="false" ht="15" hidden="false" customHeight="false" outlineLevel="0" collapsed="false">
      <c r="A1252" s="2" t="s">
        <v>2196</v>
      </c>
      <c r="B1252" s="2" t="s">
        <v>240</v>
      </c>
      <c r="C1252" s="2" t="s">
        <v>41</v>
      </c>
      <c r="D1252" s="3" t="n">
        <v>45755</v>
      </c>
      <c r="E1252" s="2" t="s">
        <v>1998</v>
      </c>
      <c r="F1252" s="2" t="s">
        <v>38</v>
      </c>
      <c r="G1252" s="2" t="n">
        <v>83197</v>
      </c>
      <c r="H1252" s="2" t="n">
        <v>7</v>
      </c>
      <c r="I1252" s="2" t="n">
        <v>47</v>
      </c>
      <c r="J1252" s="2" t="n">
        <v>1</v>
      </c>
      <c r="K1252" s="2" t="n">
        <v>91003</v>
      </c>
      <c r="L1252" s="2" t="n">
        <v>58611</v>
      </c>
      <c r="M1252" s="2" t="n">
        <v>3712</v>
      </c>
      <c r="N1252" s="2" t="n">
        <v>118</v>
      </c>
      <c r="O1252" s="2" t="n">
        <v>436</v>
      </c>
      <c r="P1252" s="2" t="n">
        <v>503</v>
      </c>
      <c r="Q1252" s="2" t="n">
        <v>1282</v>
      </c>
      <c r="R1252" s="2" t="n">
        <v>257</v>
      </c>
      <c r="S1252" s="2" t="n">
        <v>10</v>
      </c>
      <c r="T1252" s="2" t="s">
        <v>51</v>
      </c>
      <c r="U1252" s="4" t="n">
        <f aca="false">(M1252+N1252+O1252+P1252)/L1252</f>
        <v>0.0813669788947467</v>
      </c>
      <c r="V1252" s="2" t="str">
        <f aca="false">IF(S1252&lt;=5,"Late night (0-5)",IF(S1252&lt;=11,"Morning (6-11)",IF(S1252&lt;=17,"Afternoon (12-17)","Evening (18-23)")))</f>
        <v>Morning (6-11)</v>
      </c>
    </row>
    <row r="1253" customFormat="false" ht="15" hidden="false" customHeight="false" outlineLevel="0" collapsed="false">
      <c r="A1253" s="2" t="s">
        <v>2197</v>
      </c>
      <c r="B1253" s="2" t="s">
        <v>154</v>
      </c>
      <c r="C1253" s="2" t="s">
        <v>41</v>
      </c>
      <c r="D1253" s="3" t="n">
        <v>45747</v>
      </c>
      <c r="E1253" s="2" t="s">
        <v>1848</v>
      </c>
      <c r="F1253" s="2" t="s">
        <v>32</v>
      </c>
      <c r="G1253" s="2" t="n">
        <v>33644</v>
      </c>
      <c r="H1253" s="2" t="n">
        <v>8</v>
      </c>
      <c r="I1253" s="2" t="n">
        <v>242</v>
      </c>
      <c r="J1253" s="2" t="n">
        <v>1</v>
      </c>
      <c r="K1253" s="2" t="n">
        <v>44718</v>
      </c>
      <c r="L1253" s="2" t="n">
        <v>31447</v>
      </c>
      <c r="M1253" s="2" t="n">
        <v>1543</v>
      </c>
      <c r="N1253" s="2" t="n">
        <v>79</v>
      </c>
      <c r="O1253" s="2" t="n">
        <v>347</v>
      </c>
      <c r="P1253" s="2" t="n">
        <v>299</v>
      </c>
      <c r="Q1253" s="2" t="n">
        <v>230</v>
      </c>
      <c r="R1253" s="2" t="n">
        <v>60</v>
      </c>
      <c r="S1253" s="2" t="n">
        <v>0</v>
      </c>
      <c r="T1253" s="2" t="s">
        <v>33</v>
      </c>
      <c r="U1253" s="4" t="n">
        <f aca="false">(M1253+N1253+O1253+P1253)/L1253</f>
        <v>0.0721213470283334</v>
      </c>
      <c r="V1253" s="2" t="str">
        <f aca="false">IF(S1253&lt;=5,"Late night (0-5)",IF(S1253&lt;=11,"Morning (6-11)",IF(S1253&lt;=17,"Afternoon (12-17)","Evening (18-23)")))</f>
        <v>Late night (0-5)</v>
      </c>
    </row>
    <row r="1254" customFormat="false" ht="15" hidden="false" customHeight="false" outlineLevel="0" collapsed="false">
      <c r="A1254" s="2" t="s">
        <v>2198</v>
      </c>
      <c r="B1254" s="2" t="s">
        <v>53</v>
      </c>
      <c r="C1254" s="2" t="s">
        <v>54</v>
      </c>
      <c r="D1254" s="3" t="n">
        <v>45809</v>
      </c>
      <c r="E1254" s="2" t="s">
        <v>2199</v>
      </c>
      <c r="F1254" s="2" t="s">
        <v>32</v>
      </c>
      <c r="G1254" s="2" t="n">
        <v>11318</v>
      </c>
      <c r="H1254" s="2" t="n">
        <v>15</v>
      </c>
      <c r="I1254" s="2" t="n">
        <v>279</v>
      </c>
      <c r="J1254" s="2" t="n">
        <v>1</v>
      </c>
      <c r="K1254" s="2" t="n">
        <v>25636</v>
      </c>
      <c r="L1254" s="2" t="n">
        <v>23058</v>
      </c>
      <c r="M1254" s="2" t="n">
        <v>2404</v>
      </c>
      <c r="N1254" s="2" t="n">
        <v>56</v>
      </c>
      <c r="O1254" s="2" t="n">
        <v>274</v>
      </c>
      <c r="P1254" s="2" t="n">
        <v>200</v>
      </c>
      <c r="Q1254" s="2" t="n">
        <v>539</v>
      </c>
      <c r="R1254" s="2" t="n">
        <v>104</v>
      </c>
      <c r="S1254" s="2" t="n">
        <v>9</v>
      </c>
      <c r="T1254" s="2" t="s">
        <v>27</v>
      </c>
      <c r="U1254" s="4" t="n">
        <f aca="false">(M1254+N1254+O1254+P1254)/L1254</f>
        <v>0.127244340359094</v>
      </c>
      <c r="V1254" s="2" t="str">
        <f aca="false">IF(S1254&lt;=5,"Late night (0-5)",IF(S1254&lt;=11,"Morning (6-11)",IF(S1254&lt;=17,"Afternoon (12-17)","Evening (18-23)")))</f>
        <v>Morning (6-11)</v>
      </c>
    </row>
    <row r="1255" customFormat="false" ht="15" hidden="false" customHeight="false" outlineLevel="0" collapsed="false">
      <c r="A1255" s="2" t="s">
        <v>2200</v>
      </c>
      <c r="B1255" s="2" t="s">
        <v>40</v>
      </c>
      <c r="C1255" s="2" t="s">
        <v>41</v>
      </c>
      <c r="D1255" s="3" t="n">
        <v>45827</v>
      </c>
      <c r="E1255" s="2" t="s">
        <v>1039</v>
      </c>
      <c r="F1255" s="2" t="s">
        <v>50</v>
      </c>
      <c r="G1255" s="2" t="n">
        <v>23051</v>
      </c>
      <c r="H1255" s="2" t="n">
        <v>15</v>
      </c>
      <c r="I1255" s="2" t="n">
        <v>207</v>
      </c>
      <c r="J1255" s="2" t="n">
        <v>1</v>
      </c>
      <c r="K1255" s="2" t="n">
        <v>26348</v>
      </c>
      <c r="L1255" s="2" t="n">
        <v>19066</v>
      </c>
      <c r="M1255" s="2" t="n">
        <v>1483</v>
      </c>
      <c r="N1255" s="2" t="n">
        <v>69</v>
      </c>
      <c r="O1255" s="2" t="n">
        <v>256</v>
      </c>
      <c r="P1255" s="2" t="n">
        <v>91</v>
      </c>
      <c r="Q1255" s="2" t="n">
        <v>319</v>
      </c>
      <c r="R1255" s="2" t="n">
        <v>78</v>
      </c>
      <c r="S1255" s="2" t="n">
        <v>17</v>
      </c>
      <c r="T1255" s="2" t="s">
        <v>79</v>
      </c>
      <c r="U1255" s="4" t="n">
        <f aca="false">(M1255+N1255+O1255+P1255)/L1255</f>
        <v>0.0996013846637994</v>
      </c>
      <c r="V1255" s="2" t="str">
        <f aca="false">IF(S1255&lt;=5,"Late night (0-5)",IF(S1255&lt;=11,"Morning (6-11)",IF(S1255&lt;=17,"Afternoon (12-17)","Evening (18-23)")))</f>
        <v>Afternoon (12-17)</v>
      </c>
    </row>
    <row r="1256" customFormat="false" ht="15" hidden="false" customHeight="false" outlineLevel="0" collapsed="false">
      <c r="A1256" s="2" t="s">
        <v>2201</v>
      </c>
      <c r="B1256" s="2" t="s">
        <v>74</v>
      </c>
      <c r="C1256" s="2" t="s">
        <v>30</v>
      </c>
      <c r="D1256" s="3" t="n">
        <v>45779</v>
      </c>
      <c r="E1256" s="2" t="s">
        <v>1481</v>
      </c>
      <c r="F1256" s="2" t="s">
        <v>32</v>
      </c>
      <c r="G1256" s="2" t="n">
        <v>20432</v>
      </c>
      <c r="H1256" s="2" t="n">
        <v>4</v>
      </c>
      <c r="I1256" s="2" t="n">
        <v>10</v>
      </c>
      <c r="J1256" s="2" t="n">
        <v>0</v>
      </c>
      <c r="K1256" s="2" t="n">
        <v>82184</v>
      </c>
      <c r="L1256" s="2" t="n">
        <v>46826</v>
      </c>
      <c r="M1256" s="2" t="n">
        <v>2508</v>
      </c>
      <c r="N1256" s="2" t="n">
        <v>163</v>
      </c>
      <c r="O1256" s="2" t="n">
        <v>182</v>
      </c>
      <c r="P1256" s="2" t="n">
        <v>659</v>
      </c>
      <c r="Q1256" s="2" t="n">
        <v>445</v>
      </c>
      <c r="R1256" s="2" t="n">
        <v>66</v>
      </c>
      <c r="S1256" s="2" t="n">
        <v>13</v>
      </c>
      <c r="T1256" s="2" t="s">
        <v>96</v>
      </c>
      <c r="U1256" s="4" t="n">
        <f aca="false">(M1256+N1256+O1256+P1256)/L1256</f>
        <v>0.0750010677828557</v>
      </c>
      <c r="V1256" s="2" t="str">
        <f aca="false">IF(S1256&lt;=5,"Late night (0-5)",IF(S1256&lt;=11,"Morning (6-11)",IF(S1256&lt;=17,"Afternoon (12-17)","Evening (18-23)")))</f>
        <v>Afternoon (12-17)</v>
      </c>
    </row>
    <row r="1257" customFormat="false" ht="15" hidden="false" customHeight="false" outlineLevel="0" collapsed="false">
      <c r="A1257" s="2" t="s">
        <v>2202</v>
      </c>
      <c r="B1257" s="2" t="s">
        <v>98</v>
      </c>
      <c r="C1257" s="2" t="s">
        <v>54</v>
      </c>
      <c r="D1257" s="3" t="n">
        <v>45914</v>
      </c>
      <c r="E1257" s="2" t="s">
        <v>1823</v>
      </c>
      <c r="F1257" s="2" t="s">
        <v>26</v>
      </c>
      <c r="G1257" s="2" t="n">
        <v>18366</v>
      </c>
      <c r="H1257" s="2" t="n">
        <v>18</v>
      </c>
      <c r="I1257" s="2" t="n">
        <v>147</v>
      </c>
      <c r="J1257" s="2" t="n">
        <v>0</v>
      </c>
      <c r="K1257" s="2" t="n">
        <v>19637</v>
      </c>
      <c r="L1257" s="2" t="n">
        <v>11456</v>
      </c>
      <c r="M1257" s="2" t="n">
        <v>887</v>
      </c>
      <c r="N1257" s="2" t="n">
        <v>60</v>
      </c>
      <c r="O1257" s="2" t="n">
        <v>105</v>
      </c>
      <c r="P1257" s="2" t="n">
        <v>123</v>
      </c>
      <c r="Q1257" s="2" t="n">
        <v>264</v>
      </c>
      <c r="R1257" s="2" t="n">
        <v>17</v>
      </c>
      <c r="S1257" s="2" t="n">
        <v>6</v>
      </c>
      <c r="T1257" s="2" t="s">
        <v>27</v>
      </c>
      <c r="U1257" s="4" t="n">
        <f aca="false">(M1257+N1257+O1257+P1257)/L1257</f>
        <v>0.102566340782123</v>
      </c>
      <c r="V1257" s="2" t="str">
        <f aca="false">IF(S1257&lt;=5,"Late night (0-5)",IF(S1257&lt;=11,"Morning (6-11)",IF(S1257&lt;=17,"Afternoon (12-17)","Evening (18-23)")))</f>
        <v>Morning (6-11)</v>
      </c>
    </row>
    <row r="1258" customFormat="false" ht="15" hidden="false" customHeight="false" outlineLevel="0" collapsed="false">
      <c r="A1258" s="2" t="s">
        <v>2203</v>
      </c>
      <c r="B1258" s="2" t="s">
        <v>77</v>
      </c>
      <c r="C1258" s="2" t="s">
        <v>30</v>
      </c>
      <c r="D1258" s="3" t="n">
        <v>45802</v>
      </c>
      <c r="E1258" s="2" t="s">
        <v>1911</v>
      </c>
      <c r="F1258" s="2" t="s">
        <v>38</v>
      </c>
      <c r="G1258" s="2" t="n">
        <v>17548</v>
      </c>
      <c r="H1258" s="2" t="n">
        <v>14</v>
      </c>
      <c r="I1258" s="2" t="n">
        <v>255</v>
      </c>
      <c r="J1258" s="2" t="n">
        <v>1</v>
      </c>
      <c r="K1258" s="2" t="n">
        <v>4342</v>
      </c>
      <c r="L1258" s="2" t="n">
        <v>3598</v>
      </c>
      <c r="M1258" s="2" t="n">
        <v>321</v>
      </c>
      <c r="N1258" s="2" t="n">
        <v>10</v>
      </c>
      <c r="O1258" s="2" t="n">
        <v>44</v>
      </c>
      <c r="P1258" s="2" t="n">
        <v>19</v>
      </c>
      <c r="Q1258" s="2" t="n">
        <v>23</v>
      </c>
      <c r="R1258" s="2" t="n">
        <v>5</v>
      </c>
      <c r="S1258" s="2" t="n">
        <v>4</v>
      </c>
      <c r="T1258" s="2" t="s">
        <v>27</v>
      </c>
      <c r="U1258" s="4" t="n">
        <f aca="false">(M1258+N1258+O1258+P1258)/L1258</f>
        <v>0.109505280711506</v>
      </c>
      <c r="V1258" s="2" t="str">
        <f aca="false">IF(S1258&lt;=5,"Late night (0-5)",IF(S1258&lt;=11,"Morning (6-11)",IF(S1258&lt;=17,"Afternoon (12-17)","Evening (18-23)")))</f>
        <v>Late night (0-5)</v>
      </c>
    </row>
    <row r="1259" customFormat="false" ht="15" hidden="false" customHeight="false" outlineLevel="0" collapsed="false">
      <c r="A1259" s="2" t="s">
        <v>2204</v>
      </c>
      <c r="B1259" s="2" t="s">
        <v>98</v>
      </c>
      <c r="C1259" s="2" t="s">
        <v>54</v>
      </c>
      <c r="D1259" s="3" t="n">
        <v>45773</v>
      </c>
      <c r="E1259" s="2" t="s">
        <v>1923</v>
      </c>
      <c r="F1259" s="2" t="s">
        <v>50</v>
      </c>
      <c r="G1259" s="2" t="n">
        <v>18366</v>
      </c>
      <c r="H1259" s="2" t="n">
        <v>12</v>
      </c>
      <c r="I1259" s="2" t="n">
        <v>233</v>
      </c>
      <c r="J1259" s="2" t="n">
        <v>1</v>
      </c>
      <c r="K1259" s="2" t="n">
        <v>19219</v>
      </c>
      <c r="L1259" s="2" t="n">
        <v>13988</v>
      </c>
      <c r="M1259" s="2" t="n">
        <v>1115</v>
      </c>
      <c r="N1259" s="2" t="n">
        <v>67</v>
      </c>
      <c r="O1259" s="2" t="n">
        <v>73</v>
      </c>
      <c r="P1259" s="2" t="n">
        <v>205</v>
      </c>
      <c r="Q1259" s="2" t="n">
        <v>345</v>
      </c>
      <c r="R1259" s="2" t="n">
        <v>94</v>
      </c>
      <c r="S1259" s="2" t="n">
        <v>18</v>
      </c>
      <c r="T1259" s="2" t="s">
        <v>62</v>
      </c>
      <c r="U1259" s="4" t="n">
        <f aca="false">(M1259+N1259+O1259+P1259)/L1259</f>
        <v>0.104375178724621</v>
      </c>
      <c r="V1259" s="2" t="str">
        <f aca="false">IF(S1259&lt;=5,"Late night (0-5)",IF(S1259&lt;=11,"Morning (6-11)",IF(S1259&lt;=17,"Afternoon (12-17)","Evening (18-23)")))</f>
        <v>Evening (18-23)</v>
      </c>
    </row>
    <row r="1260" customFormat="false" ht="15" hidden="false" customHeight="false" outlineLevel="0" collapsed="false">
      <c r="A1260" s="2" t="s">
        <v>2205</v>
      </c>
      <c r="B1260" s="2" t="s">
        <v>29</v>
      </c>
      <c r="C1260" s="2" t="s">
        <v>30</v>
      </c>
      <c r="D1260" s="3" t="n">
        <v>45905</v>
      </c>
      <c r="E1260" s="2" t="s">
        <v>2206</v>
      </c>
      <c r="F1260" s="2" t="s">
        <v>38</v>
      </c>
      <c r="G1260" s="2" t="n">
        <v>11612</v>
      </c>
      <c r="H1260" s="2" t="n">
        <v>13</v>
      </c>
      <c r="I1260" s="2" t="n">
        <v>20</v>
      </c>
      <c r="J1260" s="2" t="n">
        <v>0</v>
      </c>
      <c r="K1260" s="2" t="n">
        <v>12045</v>
      </c>
      <c r="L1260" s="2" t="n">
        <v>7128</v>
      </c>
      <c r="M1260" s="2" t="n">
        <v>404</v>
      </c>
      <c r="N1260" s="2" t="n">
        <v>31</v>
      </c>
      <c r="O1260" s="2" t="n">
        <v>56</v>
      </c>
      <c r="P1260" s="2" t="n">
        <v>31</v>
      </c>
      <c r="Q1260" s="2" t="n">
        <v>193</v>
      </c>
      <c r="R1260" s="2" t="n">
        <v>33</v>
      </c>
      <c r="S1260" s="2" t="n">
        <v>8</v>
      </c>
      <c r="T1260" s="2" t="s">
        <v>96</v>
      </c>
      <c r="U1260" s="4" t="n">
        <f aca="false">(M1260+N1260+O1260+P1260)/L1260</f>
        <v>0.0732323232323232</v>
      </c>
      <c r="V1260" s="2" t="str">
        <f aca="false">IF(S1260&lt;=5,"Late night (0-5)",IF(S1260&lt;=11,"Morning (6-11)",IF(S1260&lt;=17,"Afternoon (12-17)","Evening (18-23)")))</f>
        <v>Morning (6-11)</v>
      </c>
    </row>
    <row r="1261" customFormat="false" ht="15" hidden="false" customHeight="false" outlineLevel="0" collapsed="false">
      <c r="A1261" s="2" t="s">
        <v>2207</v>
      </c>
      <c r="B1261" s="2" t="s">
        <v>71</v>
      </c>
      <c r="C1261" s="2" t="s">
        <v>48</v>
      </c>
      <c r="D1261" s="3" t="n">
        <v>45676</v>
      </c>
      <c r="E1261" s="2" t="s">
        <v>2208</v>
      </c>
      <c r="F1261" s="2" t="s">
        <v>32</v>
      </c>
      <c r="G1261" s="2" t="n">
        <v>7316</v>
      </c>
      <c r="H1261" s="2" t="n">
        <v>11</v>
      </c>
      <c r="I1261" s="2" t="n">
        <v>108</v>
      </c>
      <c r="J1261" s="2" t="n">
        <v>0</v>
      </c>
      <c r="K1261" s="2" t="n">
        <v>13568</v>
      </c>
      <c r="L1261" s="2" t="n">
        <v>7607</v>
      </c>
      <c r="M1261" s="2" t="n">
        <v>629</v>
      </c>
      <c r="N1261" s="2" t="n">
        <v>48</v>
      </c>
      <c r="O1261" s="2" t="n">
        <v>40</v>
      </c>
      <c r="P1261" s="2" t="n">
        <v>87</v>
      </c>
      <c r="Q1261" s="2" t="n">
        <v>39</v>
      </c>
      <c r="R1261" s="2" t="n">
        <v>11</v>
      </c>
      <c r="S1261" s="2" t="n">
        <v>7</v>
      </c>
      <c r="T1261" s="2" t="s">
        <v>27</v>
      </c>
      <c r="U1261" s="4" t="n">
        <f aca="false">(M1261+N1261+O1261+P1261)/L1261</f>
        <v>0.105692125673722</v>
      </c>
      <c r="V1261" s="2" t="str">
        <f aca="false">IF(S1261&lt;=5,"Late night (0-5)",IF(S1261&lt;=11,"Morning (6-11)",IF(S1261&lt;=17,"Afternoon (12-17)","Evening (18-23)")))</f>
        <v>Morning (6-11)</v>
      </c>
    </row>
    <row r="1262" customFormat="false" ht="15" hidden="false" customHeight="false" outlineLevel="0" collapsed="false">
      <c r="A1262" s="2" t="s">
        <v>2209</v>
      </c>
      <c r="B1262" s="2" t="s">
        <v>83</v>
      </c>
      <c r="C1262" s="2" t="s">
        <v>84</v>
      </c>
      <c r="D1262" s="3" t="n">
        <v>45783</v>
      </c>
      <c r="E1262" s="2" t="s">
        <v>997</v>
      </c>
      <c r="F1262" s="2" t="s">
        <v>32</v>
      </c>
      <c r="G1262" s="2" t="n">
        <v>17918</v>
      </c>
      <c r="H1262" s="2" t="n">
        <v>25</v>
      </c>
      <c r="I1262" s="2" t="n">
        <v>206</v>
      </c>
      <c r="J1262" s="2" t="n">
        <v>0</v>
      </c>
      <c r="K1262" s="2" t="n">
        <v>20312</v>
      </c>
      <c r="L1262" s="2" t="n">
        <v>11797</v>
      </c>
      <c r="M1262" s="2" t="n">
        <v>1214</v>
      </c>
      <c r="N1262" s="2" t="n">
        <v>31</v>
      </c>
      <c r="O1262" s="2" t="n">
        <v>87</v>
      </c>
      <c r="P1262" s="2" t="n">
        <v>95</v>
      </c>
      <c r="Q1262" s="2" t="n">
        <v>241</v>
      </c>
      <c r="R1262" s="2" t="n">
        <v>19</v>
      </c>
      <c r="S1262" s="2" t="n">
        <v>1</v>
      </c>
      <c r="T1262" s="2" t="s">
        <v>51</v>
      </c>
      <c r="U1262" s="4" t="n">
        <f aca="false">(M1262+N1262+O1262+P1262)/L1262</f>
        <v>0.120962956683903</v>
      </c>
      <c r="V1262" s="2" t="str">
        <f aca="false">IF(S1262&lt;=5,"Late night (0-5)",IF(S1262&lt;=11,"Morning (6-11)",IF(S1262&lt;=17,"Afternoon (12-17)","Evening (18-23)")))</f>
        <v>Late night (0-5)</v>
      </c>
    </row>
    <row r="1263" customFormat="false" ht="15" hidden="false" customHeight="false" outlineLevel="0" collapsed="false">
      <c r="A1263" s="2" t="s">
        <v>2210</v>
      </c>
      <c r="B1263" s="2" t="s">
        <v>40</v>
      </c>
      <c r="C1263" s="2" t="s">
        <v>41</v>
      </c>
      <c r="D1263" s="3" t="n">
        <v>45929</v>
      </c>
      <c r="E1263" s="2" t="s">
        <v>2141</v>
      </c>
      <c r="F1263" s="2" t="s">
        <v>32</v>
      </c>
      <c r="G1263" s="2" t="n">
        <v>23051</v>
      </c>
      <c r="H1263" s="2" t="n">
        <v>10</v>
      </c>
      <c r="I1263" s="2" t="n">
        <v>235</v>
      </c>
      <c r="J1263" s="2" t="n">
        <v>0</v>
      </c>
      <c r="K1263" s="2" t="n">
        <v>67951</v>
      </c>
      <c r="L1263" s="2" t="n">
        <v>42030</v>
      </c>
      <c r="M1263" s="2" t="n">
        <v>2030</v>
      </c>
      <c r="N1263" s="2" t="n">
        <v>162</v>
      </c>
      <c r="O1263" s="2" t="n">
        <v>181</v>
      </c>
      <c r="P1263" s="2" t="n">
        <v>522</v>
      </c>
      <c r="Q1263" s="2" t="n">
        <v>433</v>
      </c>
      <c r="R1263" s="2" t="n">
        <v>106</v>
      </c>
      <c r="S1263" s="2" t="n">
        <v>12</v>
      </c>
      <c r="T1263" s="2" t="s">
        <v>33</v>
      </c>
      <c r="U1263" s="4" t="n">
        <f aca="false">(M1263+N1263+O1263+P1263)/L1263</f>
        <v>0.0688793718772306</v>
      </c>
      <c r="V1263" s="2" t="str">
        <f aca="false">IF(S1263&lt;=5,"Late night (0-5)",IF(S1263&lt;=11,"Morning (6-11)",IF(S1263&lt;=17,"Afternoon (12-17)","Evening (18-23)")))</f>
        <v>Afternoon (12-17)</v>
      </c>
    </row>
    <row r="1264" customFormat="false" ht="15" hidden="false" customHeight="false" outlineLevel="0" collapsed="false">
      <c r="A1264" s="2" t="s">
        <v>2211</v>
      </c>
      <c r="B1264" s="2" t="s">
        <v>141</v>
      </c>
      <c r="C1264" s="2" t="s">
        <v>48</v>
      </c>
      <c r="D1264" s="3" t="n">
        <v>45801</v>
      </c>
      <c r="E1264" s="2" t="s">
        <v>2212</v>
      </c>
      <c r="F1264" s="2" t="s">
        <v>32</v>
      </c>
      <c r="G1264" s="2" t="n">
        <v>16119</v>
      </c>
      <c r="H1264" s="2" t="n">
        <v>10</v>
      </c>
      <c r="I1264" s="2" t="n">
        <v>176</v>
      </c>
      <c r="J1264" s="2" t="n">
        <v>0</v>
      </c>
      <c r="K1264" s="2" t="n">
        <v>27239</v>
      </c>
      <c r="L1264" s="2" t="n">
        <v>20873</v>
      </c>
      <c r="M1264" s="2" t="n">
        <v>2061</v>
      </c>
      <c r="N1264" s="2" t="n">
        <v>122</v>
      </c>
      <c r="O1264" s="2" t="n">
        <v>274</v>
      </c>
      <c r="P1264" s="2" t="n">
        <v>381</v>
      </c>
      <c r="Q1264" s="2" t="n">
        <v>239</v>
      </c>
      <c r="R1264" s="2" t="n">
        <v>70</v>
      </c>
      <c r="S1264" s="2" t="n">
        <v>20</v>
      </c>
      <c r="T1264" s="2" t="s">
        <v>62</v>
      </c>
      <c r="U1264" s="4" t="n">
        <f aca="false">(M1264+N1264+O1264+P1264)/L1264</f>
        <v>0.135965122406937</v>
      </c>
      <c r="V1264" s="2" t="str">
        <f aca="false">IF(S1264&lt;=5,"Late night (0-5)",IF(S1264&lt;=11,"Morning (6-11)",IF(S1264&lt;=17,"Afternoon (12-17)","Evening (18-23)")))</f>
        <v>Evening (18-23)</v>
      </c>
    </row>
    <row r="1265" customFormat="false" ht="15" hidden="false" customHeight="false" outlineLevel="0" collapsed="false">
      <c r="A1265" s="2" t="s">
        <v>2213</v>
      </c>
      <c r="B1265" s="2" t="s">
        <v>129</v>
      </c>
      <c r="C1265" s="2" t="s">
        <v>54</v>
      </c>
      <c r="D1265" s="3" t="n">
        <v>45792</v>
      </c>
      <c r="E1265" s="2" t="s">
        <v>173</v>
      </c>
      <c r="F1265" s="2" t="s">
        <v>50</v>
      </c>
      <c r="G1265" s="2" t="n">
        <v>10312</v>
      </c>
      <c r="H1265" s="2" t="n">
        <v>12</v>
      </c>
      <c r="I1265" s="2" t="n">
        <v>96</v>
      </c>
      <c r="J1265" s="2" t="n">
        <v>0</v>
      </c>
      <c r="K1265" s="2" t="n">
        <v>13452</v>
      </c>
      <c r="L1265" s="2" t="n">
        <v>8098</v>
      </c>
      <c r="M1265" s="2" t="n">
        <v>697</v>
      </c>
      <c r="N1265" s="2" t="n">
        <v>33</v>
      </c>
      <c r="O1265" s="2" t="n">
        <v>96</v>
      </c>
      <c r="P1265" s="2" t="n">
        <v>124</v>
      </c>
      <c r="Q1265" s="2" t="n">
        <v>212</v>
      </c>
      <c r="R1265" s="2" t="n">
        <v>33</v>
      </c>
      <c r="S1265" s="2" t="n">
        <v>0</v>
      </c>
      <c r="T1265" s="2" t="s">
        <v>79</v>
      </c>
      <c r="U1265" s="4" t="n">
        <f aca="false">(M1265+N1265+O1265+P1265)/L1265</f>
        <v>0.117312916769573</v>
      </c>
      <c r="V1265" s="2" t="str">
        <f aca="false">IF(S1265&lt;=5,"Late night (0-5)",IF(S1265&lt;=11,"Morning (6-11)",IF(S1265&lt;=17,"Afternoon (12-17)","Evening (18-23)")))</f>
        <v>Late night (0-5)</v>
      </c>
    </row>
    <row r="1266" customFormat="false" ht="15" hidden="false" customHeight="false" outlineLevel="0" collapsed="false">
      <c r="A1266" s="2" t="s">
        <v>2214</v>
      </c>
      <c r="B1266" s="2" t="s">
        <v>264</v>
      </c>
      <c r="C1266" s="2" t="s">
        <v>36</v>
      </c>
      <c r="D1266" s="3" t="n">
        <v>45851</v>
      </c>
      <c r="E1266" s="2" t="s">
        <v>2215</v>
      </c>
      <c r="F1266" s="2" t="s">
        <v>32</v>
      </c>
      <c r="G1266" s="2" t="n">
        <v>22362</v>
      </c>
      <c r="H1266" s="2" t="n">
        <v>0</v>
      </c>
      <c r="I1266" s="2" t="n">
        <v>245</v>
      </c>
      <c r="J1266" s="2" t="n">
        <v>1</v>
      </c>
      <c r="K1266" s="2" t="n">
        <v>44020</v>
      </c>
      <c r="L1266" s="2" t="n">
        <v>33178</v>
      </c>
      <c r="M1266" s="2" t="n">
        <v>3141</v>
      </c>
      <c r="N1266" s="2" t="n">
        <v>203</v>
      </c>
      <c r="O1266" s="2" t="n">
        <v>676</v>
      </c>
      <c r="P1266" s="2" t="n">
        <v>879</v>
      </c>
      <c r="Q1266" s="2" t="n">
        <v>504</v>
      </c>
      <c r="R1266" s="2" t="n">
        <v>74</v>
      </c>
      <c r="S1266" s="2" t="n">
        <v>17</v>
      </c>
      <c r="T1266" s="2" t="s">
        <v>27</v>
      </c>
      <c r="U1266" s="4" t="n">
        <f aca="false">(M1266+N1266+O1266+P1266)/L1266</f>
        <v>0.147658086683947</v>
      </c>
      <c r="V1266" s="2" t="str">
        <f aca="false">IF(S1266&lt;=5,"Late night (0-5)",IF(S1266&lt;=11,"Morning (6-11)",IF(S1266&lt;=17,"Afternoon (12-17)","Evening (18-23)")))</f>
        <v>Afternoon (12-17)</v>
      </c>
    </row>
    <row r="1267" customFormat="false" ht="15" hidden="false" customHeight="false" outlineLevel="0" collapsed="false">
      <c r="A1267" s="2" t="s">
        <v>2216</v>
      </c>
      <c r="B1267" s="2" t="s">
        <v>68</v>
      </c>
      <c r="C1267" s="2" t="s">
        <v>54</v>
      </c>
      <c r="D1267" s="3" t="n">
        <v>45927</v>
      </c>
      <c r="E1267" s="2" t="s">
        <v>2217</v>
      </c>
      <c r="F1267" s="2" t="s">
        <v>32</v>
      </c>
      <c r="G1267" s="2" t="n">
        <v>35922</v>
      </c>
      <c r="H1267" s="2" t="n">
        <v>6</v>
      </c>
      <c r="I1267" s="2" t="n">
        <v>153</v>
      </c>
      <c r="J1267" s="2" t="n">
        <v>0</v>
      </c>
      <c r="K1267" s="2" t="n">
        <v>43832</v>
      </c>
      <c r="L1267" s="2" t="n">
        <v>32683</v>
      </c>
      <c r="M1267" s="2" t="n">
        <v>3406</v>
      </c>
      <c r="N1267" s="2" t="n">
        <v>116</v>
      </c>
      <c r="O1267" s="2" t="n">
        <v>506</v>
      </c>
      <c r="P1267" s="2" t="n">
        <v>863</v>
      </c>
      <c r="Q1267" s="2" t="n">
        <v>525</v>
      </c>
      <c r="R1267" s="2" t="n">
        <v>57</v>
      </c>
      <c r="S1267" s="2" t="n">
        <v>10</v>
      </c>
      <c r="T1267" s="2" t="s">
        <v>62</v>
      </c>
      <c r="U1267" s="4" t="n">
        <f aca="false">(M1267+N1267+O1267+P1267)/L1267</f>
        <v>0.149649664963437</v>
      </c>
      <c r="V1267" s="2" t="str">
        <f aca="false">IF(S1267&lt;=5,"Late night (0-5)",IF(S1267&lt;=11,"Morning (6-11)",IF(S1267&lt;=17,"Afternoon (12-17)","Evening (18-23)")))</f>
        <v>Morning (6-11)</v>
      </c>
    </row>
    <row r="1268" customFormat="false" ht="15" hidden="false" customHeight="false" outlineLevel="0" collapsed="false">
      <c r="A1268" s="2" t="s">
        <v>2218</v>
      </c>
      <c r="B1268" s="2" t="s">
        <v>227</v>
      </c>
      <c r="C1268" s="2" t="s">
        <v>54</v>
      </c>
      <c r="D1268" s="3" t="n">
        <v>45883</v>
      </c>
      <c r="E1268" s="2" t="s">
        <v>2219</v>
      </c>
      <c r="F1268" s="2" t="s">
        <v>26</v>
      </c>
      <c r="G1268" s="2" t="n">
        <v>11796</v>
      </c>
      <c r="H1268" s="2" t="n">
        <v>3</v>
      </c>
      <c r="I1268" s="2" t="n">
        <v>147</v>
      </c>
      <c r="J1268" s="2" t="n">
        <v>1</v>
      </c>
      <c r="K1268" s="2" t="n">
        <v>7069</v>
      </c>
      <c r="L1268" s="2" t="n">
        <v>6320</v>
      </c>
      <c r="M1268" s="2" t="n">
        <v>242</v>
      </c>
      <c r="N1268" s="2" t="n">
        <v>12</v>
      </c>
      <c r="O1268" s="2" t="n">
        <v>10</v>
      </c>
      <c r="P1268" s="2" t="n">
        <v>22</v>
      </c>
      <c r="Q1268" s="2" t="n">
        <v>50</v>
      </c>
      <c r="R1268" s="2" t="n">
        <v>10</v>
      </c>
      <c r="S1268" s="2" t="n">
        <v>2</v>
      </c>
      <c r="T1268" s="2" t="s">
        <v>79</v>
      </c>
      <c r="U1268" s="4" t="n">
        <f aca="false">(M1268+N1268+O1268+P1268)/L1268</f>
        <v>0.045253164556962</v>
      </c>
      <c r="V1268" s="2" t="str">
        <f aca="false">IF(S1268&lt;=5,"Late night (0-5)",IF(S1268&lt;=11,"Morning (6-11)",IF(S1268&lt;=17,"Afternoon (12-17)","Evening (18-23)")))</f>
        <v>Late night (0-5)</v>
      </c>
    </row>
    <row r="1269" customFormat="false" ht="15" hidden="false" customHeight="false" outlineLevel="0" collapsed="false">
      <c r="A1269" s="2" t="s">
        <v>2220</v>
      </c>
      <c r="B1269" s="2" t="s">
        <v>47</v>
      </c>
      <c r="C1269" s="2" t="s">
        <v>48</v>
      </c>
      <c r="D1269" s="3" t="n">
        <v>45916</v>
      </c>
      <c r="E1269" s="2" t="s">
        <v>2221</v>
      </c>
      <c r="F1269" s="2" t="s">
        <v>38</v>
      </c>
      <c r="G1269" s="2" t="n">
        <v>19609</v>
      </c>
      <c r="H1269" s="2" t="n">
        <v>7</v>
      </c>
      <c r="I1269" s="2" t="n">
        <v>243</v>
      </c>
      <c r="J1269" s="2" t="n">
        <v>0</v>
      </c>
      <c r="K1269" s="2" t="n">
        <v>3709</v>
      </c>
      <c r="L1269" s="2" t="n">
        <v>2143</v>
      </c>
      <c r="M1269" s="2" t="n">
        <v>117</v>
      </c>
      <c r="N1269" s="2" t="n">
        <v>7</v>
      </c>
      <c r="O1269" s="2" t="n">
        <v>21</v>
      </c>
      <c r="P1269" s="2" t="n">
        <v>34</v>
      </c>
      <c r="Q1269" s="2" t="n">
        <v>41</v>
      </c>
      <c r="R1269" s="2" t="n">
        <v>9</v>
      </c>
      <c r="S1269" s="2" t="n">
        <v>10</v>
      </c>
      <c r="T1269" s="2" t="s">
        <v>51</v>
      </c>
      <c r="U1269" s="4" t="n">
        <f aca="false">(M1269+N1269+O1269+P1269)/L1269</f>
        <v>0.083527764815679</v>
      </c>
      <c r="V1269" s="2" t="str">
        <f aca="false">IF(S1269&lt;=5,"Late night (0-5)",IF(S1269&lt;=11,"Morning (6-11)",IF(S1269&lt;=17,"Afternoon (12-17)","Evening (18-23)")))</f>
        <v>Morning (6-11)</v>
      </c>
    </row>
    <row r="1270" customFormat="false" ht="15" hidden="false" customHeight="false" outlineLevel="0" collapsed="false">
      <c r="A1270" s="2" t="s">
        <v>2222</v>
      </c>
      <c r="B1270" s="2" t="s">
        <v>409</v>
      </c>
      <c r="C1270" s="2" t="s">
        <v>48</v>
      </c>
      <c r="D1270" s="3" t="n">
        <v>45715</v>
      </c>
      <c r="E1270" s="2" t="s">
        <v>2223</v>
      </c>
      <c r="F1270" s="2" t="s">
        <v>26</v>
      </c>
      <c r="G1270" s="2" t="n">
        <v>31525</v>
      </c>
      <c r="H1270" s="2" t="n">
        <v>14</v>
      </c>
      <c r="I1270" s="2" t="n">
        <v>27</v>
      </c>
      <c r="J1270" s="2" t="n">
        <v>0</v>
      </c>
      <c r="K1270" s="2" t="n">
        <v>17401</v>
      </c>
      <c r="L1270" s="2" t="n">
        <v>12429</v>
      </c>
      <c r="M1270" s="2" t="n">
        <v>1098</v>
      </c>
      <c r="N1270" s="2" t="n">
        <v>65</v>
      </c>
      <c r="O1270" s="2" t="n">
        <v>146</v>
      </c>
      <c r="P1270" s="2" t="n">
        <v>200</v>
      </c>
      <c r="Q1270" s="2" t="n">
        <v>81</v>
      </c>
      <c r="R1270" s="2" t="n">
        <v>21</v>
      </c>
      <c r="S1270" s="2" t="n">
        <v>12</v>
      </c>
      <c r="T1270" s="2" t="s">
        <v>79</v>
      </c>
      <c r="U1270" s="4" t="n">
        <f aca="false">(M1270+N1270+O1270+P1270)/L1270</f>
        <v>0.121409606565291</v>
      </c>
      <c r="V1270" s="2" t="str">
        <f aca="false">IF(S1270&lt;=5,"Late night (0-5)",IF(S1270&lt;=11,"Morning (6-11)",IF(S1270&lt;=17,"Afternoon (12-17)","Evening (18-23)")))</f>
        <v>Afternoon (12-17)</v>
      </c>
    </row>
    <row r="1271" customFormat="false" ht="15" hidden="false" customHeight="false" outlineLevel="0" collapsed="false">
      <c r="A1271" s="2" t="s">
        <v>2224</v>
      </c>
      <c r="B1271" s="2" t="s">
        <v>29</v>
      </c>
      <c r="C1271" s="2" t="s">
        <v>30</v>
      </c>
      <c r="D1271" s="3" t="n">
        <v>45929</v>
      </c>
      <c r="E1271" s="2" t="s">
        <v>2225</v>
      </c>
      <c r="F1271" s="2" t="s">
        <v>38</v>
      </c>
      <c r="G1271" s="2" t="n">
        <v>11612</v>
      </c>
      <c r="H1271" s="2" t="n">
        <v>15</v>
      </c>
      <c r="I1271" s="2" t="n">
        <v>120</v>
      </c>
      <c r="J1271" s="2" t="n">
        <v>1</v>
      </c>
      <c r="K1271" s="2" t="n">
        <v>8131</v>
      </c>
      <c r="L1271" s="2" t="n">
        <v>7367</v>
      </c>
      <c r="M1271" s="2" t="n">
        <v>397</v>
      </c>
      <c r="N1271" s="2" t="n">
        <v>29</v>
      </c>
      <c r="O1271" s="2" t="n">
        <v>67</v>
      </c>
      <c r="P1271" s="2" t="n">
        <v>110</v>
      </c>
      <c r="Q1271" s="2" t="n">
        <v>135</v>
      </c>
      <c r="R1271" s="2" t="n">
        <v>21</v>
      </c>
      <c r="S1271" s="2" t="n">
        <v>23</v>
      </c>
      <c r="T1271" s="2" t="s">
        <v>33</v>
      </c>
      <c r="U1271" s="4" t="n">
        <f aca="false">(M1271+N1271+O1271+P1271)/L1271</f>
        <v>0.0818514999321298</v>
      </c>
      <c r="V1271" s="2" t="str">
        <f aca="false">IF(S1271&lt;=5,"Late night (0-5)",IF(S1271&lt;=11,"Morning (6-11)",IF(S1271&lt;=17,"Afternoon (12-17)","Evening (18-23)")))</f>
        <v>Evening (18-23)</v>
      </c>
    </row>
    <row r="1272" customFormat="false" ht="15" hidden="false" customHeight="false" outlineLevel="0" collapsed="false">
      <c r="A1272" s="2" t="s">
        <v>2226</v>
      </c>
      <c r="B1272" s="2" t="s">
        <v>141</v>
      </c>
      <c r="C1272" s="2" t="s">
        <v>48</v>
      </c>
      <c r="D1272" s="3" t="n">
        <v>45718</v>
      </c>
      <c r="E1272" s="2" t="s">
        <v>2227</v>
      </c>
      <c r="F1272" s="2" t="s">
        <v>38</v>
      </c>
      <c r="G1272" s="2" t="n">
        <v>16119</v>
      </c>
      <c r="H1272" s="2" t="n">
        <v>0</v>
      </c>
      <c r="I1272" s="2" t="n">
        <v>254</v>
      </c>
      <c r="J1272" s="2" t="n">
        <v>1</v>
      </c>
      <c r="K1272" s="2" t="n">
        <v>6409</v>
      </c>
      <c r="L1272" s="2" t="n">
        <v>4034</v>
      </c>
      <c r="M1272" s="2" t="n">
        <v>190</v>
      </c>
      <c r="N1272" s="2" t="n">
        <v>5</v>
      </c>
      <c r="O1272" s="2" t="n">
        <v>30</v>
      </c>
      <c r="P1272" s="2" t="n">
        <v>36</v>
      </c>
      <c r="Q1272" s="2" t="n">
        <v>117</v>
      </c>
      <c r="R1272" s="2" t="n">
        <v>17</v>
      </c>
      <c r="S1272" s="2" t="n">
        <v>0</v>
      </c>
      <c r="T1272" s="2" t="s">
        <v>27</v>
      </c>
      <c r="U1272" s="4" t="n">
        <f aca="false">(M1272+N1272+O1272+P1272)/L1272</f>
        <v>0.0647000495785821</v>
      </c>
      <c r="V1272" s="2" t="str">
        <f aca="false">IF(S1272&lt;=5,"Late night (0-5)",IF(S1272&lt;=11,"Morning (6-11)",IF(S1272&lt;=17,"Afternoon (12-17)","Evening (18-23)")))</f>
        <v>Late night (0-5)</v>
      </c>
    </row>
    <row r="1273" customFormat="false" ht="15" hidden="false" customHeight="false" outlineLevel="0" collapsed="false">
      <c r="A1273" s="2" t="s">
        <v>2228</v>
      </c>
      <c r="B1273" s="2" t="s">
        <v>220</v>
      </c>
      <c r="C1273" s="2" t="s">
        <v>48</v>
      </c>
      <c r="D1273" s="3" t="n">
        <v>45884</v>
      </c>
      <c r="E1273" s="2" t="s">
        <v>631</v>
      </c>
      <c r="F1273" s="2" t="s">
        <v>32</v>
      </c>
      <c r="G1273" s="2" t="n">
        <v>18917</v>
      </c>
      <c r="H1273" s="2" t="n">
        <v>4</v>
      </c>
      <c r="I1273" s="2" t="n">
        <v>271</v>
      </c>
      <c r="J1273" s="2" t="n">
        <v>1</v>
      </c>
      <c r="K1273" s="2" t="n">
        <v>27687</v>
      </c>
      <c r="L1273" s="2" t="n">
        <v>20491</v>
      </c>
      <c r="M1273" s="2" t="n">
        <v>1365</v>
      </c>
      <c r="N1273" s="2" t="n">
        <v>100</v>
      </c>
      <c r="O1273" s="2" t="n">
        <v>373</v>
      </c>
      <c r="P1273" s="2" t="n">
        <v>247</v>
      </c>
      <c r="Q1273" s="2" t="n">
        <v>244</v>
      </c>
      <c r="R1273" s="2" t="n">
        <v>22</v>
      </c>
      <c r="S1273" s="2" t="n">
        <v>10</v>
      </c>
      <c r="T1273" s="2" t="s">
        <v>96</v>
      </c>
      <c r="U1273" s="4" t="n">
        <f aca="false">(M1273+N1273+O1273+P1273)/L1273</f>
        <v>0.101751988677956</v>
      </c>
      <c r="V1273" s="2" t="str">
        <f aca="false">IF(S1273&lt;=5,"Late night (0-5)",IF(S1273&lt;=11,"Morning (6-11)",IF(S1273&lt;=17,"Afternoon (12-17)","Evening (18-23)")))</f>
        <v>Morning (6-11)</v>
      </c>
    </row>
    <row r="1274" customFormat="false" ht="15" hidden="false" customHeight="false" outlineLevel="0" collapsed="false">
      <c r="A1274" s="2" t="s">
        <v>2229</v>
      </c>
      <c r="B1274" s="2" t="s">
        <v>57</v>
      </c>
      <c r="C1274" s="2" t="s">
        <v>24</v>
      </c>
      <c r="D1274" s="3" t="n">
        <v>45774</v>
      </c>
      <c r="E1274" s="2" t="s">
        <v>2230</v>
      </c>
      <c r="F1274" s="2" t="s">
        <v>26</v>
      </c>
      <c r="G1274" s="2" t="n">
        <v>31021</v>
      </c>
      <c r="H1274" s="2" t="n">
        <v>13</v>
      </c>
      <c r="I1274" s="2" t="n">
        <v>101</v>
      </c>
      <c r="J1274" s="2" t="n">
        <v>1</v>
      </c>
      <c r="K1274" s="2" t="n">
        <v>75555</v>
      </c>
      <c r="L1274" s="2" t="n">
        <v>60373</v>
      </c>
      <c r="M1274" s="2" t="n">
        <v>4814</v>
      </c>
      <c r="N1274" s="2" t="n">
        <v>159</v>
      </c>
      <c r="O1274" s="2" t="n">
        <v>714</v>
      </c>
      <c r="P1274" s="2" t="n">
        <v>1656</v>
      </c>
      <c r="Q1274" s="2" t="n">
        <v>587</v>
      </c>
      <c r="R1274" s="2" t="n">
        <v>64</v>
      </c>
      <c r="S1274" s="2" t="n">
        <v>8</v>
      </c>
      <c r="T1274" s="2" t="s">
        <v>27</v>
      </c>
      <c r="U1274" s="4" t="n">
        <f aca="false">(M1274+N1274+O1274+P1274)/L1274</f>
        <v>0.121627217464761</v>
      </c>
      <c r="V1274" s="2" t="str">
        <f aca="false">IF(S1274&lt;=5,"Late night (0-5)",IF(S1274&lt;=11,"Morning (6-11)",IF(S1274&lt;=17,"Afternoon (12-17)","Evening (18-23)")))</f>
        <v>Morning (6-11)</v>
      </c>
    </row>
    <row r="1275" customFormat="false" ht="15" hidden="false" customHeight="false" outlineLevel="0" collapsed="false">
      <c r="A1275" s="2" t="s">
        <v>2231</v>
      </c>
      <c r="B1275" s="2" t="s">
        <v>459</v>
      </c>
      <c r="C1275" s="2" t="s">
        <v>84</v>
      </c>
      <c r="D1275" s="3" t="n">
        <v>45698</v>
      </c>
      <c r="E1275" s="2" t="s">
        <v>2232</v>
      </c>
      <c r="F1275" s="2" t="s">
        <v>38</v>
      </c>
      <c r="G1275" s="2" t="n">
        <v>19744</v>
      </c>
      <c r="H1275" s="2" t="n">
        <v>2</v>
      </c>
      <c r="I1275" s="2" t="n">
        <v>217</v>
      </c>
      <c r="J1275" s="2" t="n">
        <v>0</v>
      </c>
      <c r="K1275" s="2" t="n">
        <v>18992</v>
      </c>
      <c r="L1275" s="2" t="n">
        <v>10774</v>
      </c>
      <c r="M1275" s="2" t="n">
        <v>452</v>
      </c>
      <c r="N1275" s="2" t="n">
        <v>22</v>
      </c>
      <c r="O1275" s="2" t="n">
        <v>38</v>
      </c>
      <c r="P1275" s="2" t="n">
        <v>115</v>
      </c>
      <c r="Q1275" s="2" t="n">
        <v>76</v>
      </c>
      <c r="R1275" s="2" t="n">
        <v>12</v>
      </c>
      <c r="S1275" s="2" t="n">
        <v>17</v>
      </c>
      <c r="T1275" s="2" t="s">
        <v>33</v>
      </c>
      <c r="U1275" s="4" t="n">
        <f aca="false">(M1275+N1275+O1275+P1275)/L1275</f>
        <v>0.058195656209393</v>
      </c>
      <c r="V1275" s="2" t="str">
        <f aca="false">IF(S1275&lt;=5,"Late night (0-5)",IF(S1275&lt;=11,"Morning (6-11)",IF(S1275&lt;=17,"Afternoon (12-17)","Evening (18-23)")))</f>
        <v>Afternoon (12-17)</v>
      </c>
    </row>
    <row r="1276" customFormat="false" ht="15" hidden="false" customHeight="false" outlineLevel="0" collapsed="false">
      <c r="A1276" s="2" t="s">
        <v>2233</v>
      </c>
      <c r="B1276" s="2" t="s">
        <v>240</v>
      </c>
      <c r="C1276" s="2" t="s">
        <v>41</v>
      </c>
      <c r="D1276" s="3" t="n">
        <v>45901</v>
      </c>
      <c r="E1276" s="2" t="s">
        <v>2234</v>
      </c>
      <c r="F1276" s="2" t="s">
        <v>26</v>
      </c>
      <c r="G1276" s="2" t="n">
        <v>83197</v>
      </c>
      <c r="H1276" s="2" t="n">
        <v>7</v>
      </c>
      <c r="I1276" s="2" t="n">
        <v>360</v>
      </c>
      <c r="J1276" s="2" t="n">
        <v>1</v>
      </c>
      <c r="K1276" s="2" t="n">
        <v>93976</v>
      </c>
      <c r="L1276" s="2" t="n">
        <v>56745</v>
      </c>
      <c r="M1276" s="2" t="n">
        <v>2852</v>
      </c>
      <c r="N1276" s="2" t="n">
        <v>147</v>
      </c>
      <c r="O1276" s="2" t="n">
        <v>389</v>
      </c>
      <c r="P1276" s="2" t="n">
        <v>709</v>
      </c>
      <c r="Q1276" s="2" t="n">
        <v>1701</v>
      </c>
      <c r="R1276" s="2" t="n">
        <v>300</v>
      </c>
      <c r="S1276" s="2" t="n">
        <v>15</v>
      </c>
      <c r="T1276" s="2" t="s">
        <v>33</v>
      </c>
      <c r="U1276" s="4" t="n">
        <f aca="false">(M1276+N1276+O1276+P1276)/L1276</f>
        <v>0.0722001938496784</v>
      </c>
      <c r="V1276" s="2" t="str">
        <f aca="false">IF(S1276&lt;=5,"Late night (0-5)",IF(S1276&lt;=11,"Morning (6-11)",IF(S1276&lt;=17,"Afternoon (12-17)","Evening (18-23)")))</f>
        <v>Afternoon (12-17)</v>
      </c>
    </row>
    <row r="1277" customFormat="false" ht="15" hidden="false" customHeight="false" outlineLevel="0" collapsed="false">
      <c r="A1277" s="2" t="s">
        <v>2235</v>
      </c>
      <c r="B1277" s="2" t="s">
        <v>206</v>
      </c>
      <c r="C1277" s="2" t="s">
        <v>48</v>
      </c>
      <c r="D1277" s="3" t="n">
        <v>45717</v>
      </c>
      <c r="E1277" s="2" t="s">
        <v>802</v>
      </c>
      <c r="F1277" s="2" t="s">
        <v>32</v>
      </c>
      <c r="G1277" s="2" t="n">
        <v>42937</v>
      </c>
      <c r="H1277" s="2" t="n">
        <v>12</v>
      </c>
      <c r="I1277" s="2" t="n">
        <v>224</v>
      </c>
      <c r="J1277" s="2" t="n">
        <v>0</v>
      </c>
      <c r="K1277" s="2" t="n">
        <v>15905</v>
      </c>
      <c r="L1277" s="2" t="n">
        <v>13062</v>
      </c>
      <c r="M1277" s="2" t="n">
        <v>1372</v>
      </c>
      <c r="N1277" s="2" t="n">
        <v>56</v>
      </c>
      <c r="O1277" s="2" t="n">
        <v>96</v>
      </c>
      <c r="P1277" s="2" t="n">
        <v>317</v>
      </c>
      <c r="Q1277" s="2" t="n">
        <v>297</v>
      </c>
      <c r="R1277" s="2" t="n">
        <v>32</v>
      </c>
      <c r="S1277" s="2" t="n">
        <v>16</v>
      </c>
      <c r="T1277" s="2" t="s">
        <v>62</v>
      </c>
      <c r="U1277" s="4" t="n">
        <f aca="false">(M1277+N1277+O1277+P1277)/L1277</f>
        <v>0.140943193997856</v>
      </c>
      <c r="V1277" s="2" t="str">
        <f aca="false">IF(S1277&lt;=5,"Late night (0-5)",IF(S1277&lt;=11,"Morning (6-11)",IF(S1277&lt;=17,"Afternoon (12-17)","Evening (18-23)")))</f>
        <v>Afternoon (12-17)</v>
      </c>
    </row>
    <row r="1278" customFormat="false" ht="15" hidden="false" customHeight="false" outlineLevel="0" collapsed="false">
      <c r="A1278" s="2" t="s">
        <v>2236</v>
      </c>
      <c r="B1278" s="2" t="s">
        <v>307</v>
      </c>
      <c r="C1278" s="2" t="s">
        <v>48</v>
      </c>
      <c r="D1278" s="3" t="n">
        <v>45793</v>
      </c>
      <c r="E1278" s="2" t="s">
        <v>1194</v>
      </c>
      <c r="F1278" s="2" t="s">
        <v>38</v>
      </c>
      <c r="G1278" s="2" t="n">
        <v>91358</v>
      </c>
      <c r="H1278" s="2" t="n">
        <v>14</v>
      </c>
      <c r="I1278" s="2" t="n">
        <v>372</v>
      </c>
      <c r="J1278" s="2" t="n">
        <v>0</v>
      </c>
      <c r="K1278" s="2" t="n">
        <v>79340</v>
      </c>
      <c r="L1278" s="2" t="n">
        <v>49669</v>
      </c>
      <c r="M1278" s="2" t="n">
        <v>2850</v>
      </c>
      <c r="N1278" s="2" t="n">
        <v>69</v>
      </c>
      <c r="O1278" s="2" t="n">
        <v>143</v>
      </c>
      <c r="P1278" s="2" t="n">
        <v>142</v>
      </c>
      <c r="Q1278" s="2" t="n">
        <v>694</v>
      </c>
      <c r="R1278" s="2" t="n">
        <v>38</v>
      </c>
      <c r="S1278" s="2" t="n">
        <v>8</v>
      </c>
      <c r="T1278" s="2" t="s">
        <v>96</v>
      </c>
      <c r="U1278" s="4" t="n">
        <f aca="false">(M1278+N1278+O1278+P1278)/L1278</f>
        <v>0.064507036582174</v>
      </c>
      <c r="V1278" s="2" t="str">
        <f aca="false">IF(S1278&lt;=5,"Late night (0-5)",IF(S1278&lt;=11,"Morning (6-11)",IF(S1278&lt;=17,"Afternoon (12-17)","Evening (18-23)")))</f>
        <v>Morning (6-11)</v>
      </c>
    </row>
    <row r="1279" customFormat="false" ht="15" hidden="false" customHeight="false" outlineLevel="0" collapsed="false">
      <c r="A1279" s="2" t="s">
        <v>2237</v>
      </c>
      <c r="B1279" s="2" t="s">
        <v>98</v>
      </c>
      <c r="C1279" s="2" t="s">
        <v>54</v>
      </c>
      <c r="D1279" s="3" t="n">
        <v>45886</v>
      </c>
      <c r="E1279" s="2" t="s">
        <v>2238</v>
      </c>
      <c r="F1279" s="2" t="s">
        <v>26</v>
      </c>
      <c r="G1279" s="2" t="n">
        <v>18366</v>
      </c>
      <c r="H1279" s="2" t="n">
        <v>5</v>
      </c>
      <c r="I1279" s="2" t="n">
        <v>208</v>
      </c>
      <c r="J1279" s="2" t="n">
        <v>0</v>
      </c>
      <c r="K1279" s="2" t="n">
        <v>20560</v>
      </c>
      <c r="L1279" s="2" t="n">
        <v>13668</v>
      </c>
      <c r="M1279" s="2" t="n">
        <v>623</v>
      </c>
      <c r="N1279" s="2" t="n">
        <v>45</v>
      </c>
      <c r="O1279" s="2" t="n">
        <v>19</v>
      </c>
      <c r="P1279" s="2" t="n">
        <v>93</v>
      </c>
      <c r="Q1279" s="2" t="n">
        <v>206</v>
      </c>
      <c r="R1279" s="2" t="n">
        <v>40</v>
      </c>
      <c r="S1279" s="2" t="n">
        <v>11</v>
      </c>
      <c r="T1279" s="2" t="s">
        <v>27</v>
      </c>
      <c r="U1279" s="4" t="n">
        <f aca="false">(M1279+N1279+O1279+P1279)/L1279</f>
        <v>0.0570676031606673</v>
      </c>
      <c r="V1279" s="2" t="str">
        <f aca="false">IF(S1279&lt;=5,"Late night (0-5)",IF(S1279&lt;=11,"Morning (6-11)",IF(S1279&lt;=17,"Afternoon (12-17)","Evening (18-23)")))</f>
        <v>Morning (6-11)</v>
      </c>
    </row>
    <row r="1280" customFormat="false" ht="15" hidden="false" customHeight="false" outlineLevel="0" collapsed="false">
      <c r="A1280" s="2" t="s">
        <v>2239</v>
      </c>
      <c r="B1280" s="2" t="s">
        <v>459</v>
      </c>
      <c r="C1280" s="2" t="s">
        <v>84</v>
      </c>
      <c r="D1280" s="3" t="n">
        <v>45953</v>
      </c>
      <c r="E1280" s="2" t="s">
        <v>381</v>
      </c>
      <c r="F1280" s="2" t="s">
        <v>32</v>
      </c>
      <c r="G1280" s="2" t="n">
        <v>19744</v>
      </c>
      <c r="H1280" s="2" t="n">
        <v>11</v>
      </c>
      <c r="I1280" s="2" t="n">
        <v>229</v>
      </c>
      <c r="J1280" s="2" t="n">
        <v>1</v>
      </c>
      <c r="K1280" s="2" t="n">
        <v>26200</v>
      </c>
      <c r="L1280" s="2" t="n">
        <v>16144</v>
      </c>
      <c r="M1280" s="2" t="n">
        <v>1013</v>
      </c>
      <c r="N1280" s="2" t="n">
        <v>31</v>
      </c>
      <c r="O1280" s="2" t="n">
        <v>96</v>
      </c>
      <c r="P1280" s="2" t="n">
        <v>154</v>
      </c>
      <c r="Q1280" s="2" t="n">
        <v>274</v>
      </c>
      <c r="R1280" s="2" t="n">
        <v>72</v>
      </c>
      <c r="S1280" s="2" t="n">
        <v>3</v>
      </c>
      <c r="T1280" s="2" t="s">
        <v>79</v>
      </c>
      <c r="U1280" s="4" t="n">
        <f aca="false">(M1280+N1280+O1280+P1280)/L1280</f>
        <v>0.0801536174430129</v>
      </c>
      <c r="V1280" s="2" t="str">
        <f aca="false">IF(S1280&lt;=5,"Late night (0-5)",IF(S1280&lt;=11,"Morning (6-11)",IF(S1280&lt;=17,"Afternoon (12-17)","Evening (18-23)")))</f>
        <v>Late night (0-5)</v>
      </c>
    </row>
    <row r="1281" customFormat="false" ht="15" hidden="false" customHeight="false" outlineLevel="0" collapsed="false">
      <c r="A1281" s="2" t="s">
        <v>2240</v>
      </c>
      <c r="B1281" s="2" t="s">
        <v>23</v>
      </c>
      <c r="C1281" s="2" t="s">
        <v>24</v>
      </c>
      <c r="D1281" s="3" t="n">
        <v>45751</v>
      </c>
      <c r="E1281" s="2" t="s">
        <v>2241</v>
      </c>
      <c r="F1281" s="2" t="s">
        <v>32</v>
      </c>
      <c r="G1281" s="2" t="n">
        <v>63447</v>
      </c>
      <c r="H1281" s="2" t="n">
        <v>0</v>
      </c>
      <c r="I1281" s="2" t="n">
        <v>119</v>
      </c>
      <c r="J1281" s="2" t="n">
        <v>1</v>
      </c>
      <c r="K1281" s="2" t="n">
        <v>77457</v>
      </c>
      <c r="L1281" s="2" t="n">
        <v>46948</v>
      </c>
      <c r="M1281" s="2" t="n">
        <v>4853</v>
      </c>
      <c r="N1281" s="2" t="n">
        <v>207</v>
      </c>
      <c r="O1281" s="2" t="n">
        <v>315</v>
      </c>
      <c r="P1281" s="2" t="n">
        <v>364</v>
      </c>
      <c r="Q1281" s="2" t="n">
        <v>1002</v>
      </c>
      <c r="R1281" s="2" t="n">
        <v>142</v>
      </c>
      <c r="S1281" s="2" t="n">
        <v>7</v>
      </c>
      <c r="T1281" s="2" t="s">
        <v>96</v>
      </c>
      <c r="U1281" s="4" t="n">
        <f aca="false">(M1281+N1281+O1281+P1281)/L1281</f>
        <v>0.122241629036381</v>
      </c>
      <c r="V1281" s="2" t="str">
        <f aca="false">IF(S1281&lt;=5,"Late night (0-5)",IF(S1281&lt;=11,"Morning (6-11)",IF(S1281&lt;=17,"Afternoon (12-17)","Evening (18-23)")))</f>
        <v>Morning (6-11)</v>
      </c>
    </row>
    <row r="1282" customFormat="false" ht="15" hidden="false" customHeight="false" outlineLevel="0" collapsed="false">
      <c r="A1282" s="2" t="s">
        <v>2242</v>
      </c>
      <c r="B1282" s="2" t="s">
        <v>64</v>
      </c>
      <c r="C1282" s="2" t="s">
        <v>36</v>
      </c>
      <c r="D1282" s="3" t="n">
        <v>45710</v>
      </c>
      <c r="E1282" s="2" t="s">
        <v>1888</v>
      </c>
      <c r="F1282" s="2" t="s">
        <v>32</v>
      </c>
      <c r="G1282" s="2" t="n">
        <v>43781</v>
      </c>
      <c r="H1282" s="2" t="n">
        <v>15</v>
      </c>
      <c r="I1282" s="2" t="n">
        <v>161</v>
      </c>
      <c r="J1282" s="2" t="n">
        <v>1</v>
      </c>
      <c r="K1282" s="2" t="n">
        <v>58009</v>
      </c>
      <c r="L1282" s="2" t="n">
        <v>51536</v>
      </c>
      <c r="M1282" s="2" t="n">
        <v>5186</v>
      </c>
      <c r="N1282" s="2" t="n">
        <v>358</v>
      </c>
      <c r="O1282" s="2" t="n">
        <v>926</v>
      </c>
      <c r="P1282" s="2" t="n">
        <v>1174</v>
      </c>
      <c r="Q1282" s="2" t="n">
        <v>391</v>
      </c>
      <c r="R1282" s="2" t="n">
        <v>102</v>
      </c>
      <c r="S1282" s="2" t="n">
        <v>13</v>
      </c>
      <c r="T1282" s="2" t="s">
        <v>62</v>
      </c>
      <c r="U1282" s="4" t="n">
        <f aca="false">(M1282+N1282+O1282+P1282)/L1282</f>
        <v>0.148323502018007</v>
      </c>
      <c r="V1282" s="2" t="str">
        <f aca="false">IF(S1282&lt;=5,"Late night (0-5)",IF(S1282&lt;=11,"Morning (6-11)",IF(S1282&lt;=17,"Afternoon (12-17)","Evening (18-23)")))</f>
        <v>Afternoon (12-17)</v>
      </c>
    </row>
    <row r="1283" customFormat="false" ht="15" hidden="false" customHeight="false" outlineLevel="0" collapsed="false">
      <c r="A1283" s="2" t="s">
        <v>2243</v>
      </c>
      <c r="B1283" s="2" t="s">
        <v>264</v>
      </c>
      <c r="C1283" s="2" t="s">
        <v>36</v>
      </c>
      <c r="D1283" s="3" t="n">
        <v>45676</v>
      </c>
      <c r="E1283" s="2" t="s">
        <v>2123</v>
      </c>
      <c r="F1283" s="2" t="s">
        <v>32</v>
      </c>
      <c r="G1283" s="2" t="n">
        <v>22362</v>
      </c>
      <c r="H1283" s="2" t="n">
        <v>19</v>
      </c>
      <c r="I1283" s="2" t="n">
        <v>79</v>
      </c>
      <c r="J1283" s="2" t="n">
        <v>1</v>
      </c>
      <c r="K1283" s="2" t="n">
        <v>59040</v>
      </c>
      <c r="L1283" s="2" t="n">
        <v>35503</v>
      </c>
      <c r="M1283" s="2" t="n">
        <v>1358</v>
      </c>
      <c r="N1283" s="2" t="n">
        <v>31</v>
      </c>
      <c r="O1283" s="2" t="n">
        <v>332</v>
      </c>
      <c r="P1283" s="2" t="n">
        <v>70</v>
      </c>
      <c r="Q1283" s="2" t="n">
        <v>593</v>
      </c>
      <c r="R1283" s="2" t="n">
        <v>45</v>
      </c>
      <c r="S1283" s="2" t="n">
        <v>22</v>
      </c>
      <c r="T1283" s="2" t="s">
        <v>27</v>
      </c>
      <c r="U1283" s="4" t="n">
        <f aca="false">(M1283+N1283+O1283+P1283)/L1283</f>
        <v>0.0504464411458187</v>
      </c>
      <c r="V1283" s="2" t="str">
        <f aca="false">IF(S1283&lt;=5,"Late night (0-5)",IF(S1283&lt;=11,"Morning (6-11)",IF(S1283&lt;=17,"Afternoon (12-17)","Evening (18-23)")))</f>
        <v>Evening (18-23)</v>
      </c>
    </row>
    <row r="1284" customFormat="false" ht="15" hidden="false" customHeight="false" outlineLevel="0" collapsed="false">
      <c r="A1284" s="2" t="s">
        <v>2244</v>
      </c>
      <c r="B1284" s="2" t="s">
        <v>94</v>
      </c>
      <c r="C1284" s="2" t="s">
        <v>30</v>
      </c>
      <c r="D1284" s="3" t="n">
        <v>45944</v>
      </c>
      <c r="E1284" s="2" t="s">
        <v>477</v>
      </c>
      <c r="F1284" s="2" t="s">
        <v>32</v>
      </c>
      <c r="G1284" s="2" t="n">
        <v>58559</v>
      </c>
      <c r="H1284" s="2" t="n">
        <v>1</v>
      </c>
      <c r="I1284" s="2" t="n">
        <v>304</v>
      </c>
      <c r="J1284" s="2" t="n">
        <v>1</v>
      </c>
      <c r="K1284" s="2" t="n">
        <v>15577</v>
      </c>
      <c r="L1284" s="2" t="n">
        <v>12611</v>
      </c>
      <c r="M1284" s="2" t="n">
        <v>790</v>
      </c>
      <c r="N1284" s="2" t="n">
        <v>57</v>
      </c>
      <c r="O1284" s="2" t="n">
        <v>113</v>
      </c>
      <c r="P1284" s="2" t="n">
        <v>206</v>
      </c>
      <c r="Q1284" s="2" t="n">
        <v>238</v>
      </c>
      <c r="R1284" s="2" t="n">
        <v>12</v>
      </c>
      <c r="S1284" s="2" t="n">
        <v>4</v>
      </c>
      <c r="T1284" s="2" t="s">
        <v>51</v>
      </c>
      <c r="U1284" s="4" t="n">
        <f aca="false">(M1284+N1284+O1284+P1284)/L1284</f>
        <v>0.0924589643961621</v>
      </c>
      <c r="V1284" s="2" t="str">
        <f aca="false">IF(S1284&lt;=5,"Late night (0-5)",IF(S1284&lt;=11,"Morning (6-11)",IF(S1284&lt;=17,"Afternoon (12-17)","Evening (18-23)")))</f>
        <v>Late night (0-5)</v>
      </c>
    </row>
    <row r="1285" customFormat="false" ht="15" hidden="false" customHeight="false" outlineLevel="0" collapsed="false">
      <c r="A1285" s="2" t="s">
        <v>2245</v>
      </c>
      <c r="B1285" s="2" t="s">
        <v>111</v>
      </c>
      <c r="C1285" s="2" t="s">
        <v>48</v>
      </c>
      <c r="D1285" s="3" t="n">
        <v>45845</v>
      </c>
      <c r="E1285" s="2" t="s">
        <v>1403</v>
      </c>
      <c r="F1285" s="2" t="s">
        <v>38</v>
      </c>
      <c r="G1285" s="2" t="n">
        <v>16824</v>
      </c>
      <c r="H1285" s="2" t="n">
        <v>6</v>
      </c>
      <c r="I1285" s="2" t="n">
        <v>129</v>
      </c>
      <c r="J1285" s="2" t="n">
        <v>0</v>
      </c>
      <c r="K1285" s="2" t="n">
        <v>6490</v>
      </c>
      <c r="L1285" s="2" t="n">
        <v>5614</v>
      </c>
      <c r="M1285" s="2" t="n">
        <v>176</v>
      </c>
      <c r="N1285" s="2" t="n">
        <v>4</v>
      </c>
      <c r="O1285" s="2" t="n">
        <v>17</v>
      </c>
      <c r="P1285" s="2" t="n">
        <v>29</v>
      </c>
      <c r="Q1285" s="2" t="n">
        <v>47</v>
      </c>
      <c r="R1285" s="2" t="n">
        <v>7</v>
      </c>
      <c r="S1285" s="2" t="n">
        <v>16</v>
      </c>
      <c r="T1285" s="2" t="s">
        <v>33</v>
      </c>
      <c r="U1285" s="4" t="n">
        <f aca="false">(M1285+N1285+O1285+P1285)/L1285</f>
        <v>0.040256501603135</v>
      </c>
      <c r="V1285" s="2" t="str">
        <f aca="false">IF(S1285&lt;=5,"Late night (0-5)",IF(S1285&lt;=11,"Morning (6-11)",IF(S1285&lt;=17,"Afternoon (12-17)","Evening (18-23)")))</f>
        <v>Afternoon (12-17)</v>
      </c>
    </row>
    <row r="1286" customFormat="false" ht="15" hidden="false" customHeight="false" outlineLevel="0" collapsed="false">
      <c r="A1286" s="2" t="s">
        <v>2246</v>
      </c>
      <c r="B1286" s="2" t="s">
        <v>77</v>
      </c>
      <c r="C1286" s="2" t="s">
        <v>30</v>
      </c>
      <c r="D1286" s="3" t="n">
        <v>45999</v>
      </c>
      <c r="E1286" s="2" t="s">
        <v>256</v>
      </c>
      <c r="F1286" s="2" t="s">
        <v>26</v>
      </c>
      <c r="G1286" s="2" t="n">
        <v>17548</v>
      </c>
      <c r="H1286" s="2" t="n">
        <v>7</v>
      </c>
      <c r="I1286" s="2" t="n">
        <v>112</v>
      </c>
      <c r="J1286" s="2" t="n">
        <v>0</v>
      </c>
      <c r="K1286" s="2" t="n">
        <v>30727</v>
      </c>
      <c r="L1286" s="2" t="n">
        <v>23424</v>
      </c>
      <c r="M1286" s="2" t="n">
        <v>1326</v>
      </c>
      <c r="N1286" s="2" t="n">
        <v>85</v>
      </c>
      <c r="O1286" s="2" t="n">
        <v>57</v>
      </c>
      <c r="P1286" s="2" t="n">
        <v>328</v>
      </c>
      <c r="Q1286" s="2" t="n">
        <v>137</v>
      </c>
      <c r="R1286" s="2" t="n">
        <v>33</v>
      </c>
      <c r="S1286" s="2" t="n">
        <v>16</v>
      </c>
      <c r="T1286" s="2" t="s">
        <v>33</v>
      </c>
      <c r="U1286" s="4" t="n">
        <f aca="false">(M1286+N1286+O1286+P1286)/L1286</f>
        <v>0.0766734972677596</v>
      </c>
      <c r="V1286" s="2" t="str">
        <f aca="false">IF(S1286&lt;=5,"Late night (0-5)",IF(S1286&lt;=11,"Morning (6-11)",IF(S1286&lt;=17,"Afternoon (12-17)","Evening (18-23)")))</f>
        <v>Afternoon (12-17)</v>
      </c>
    </row>
    <row r="1287" customFormat="false" ht="15" hidden="false" customHeight="false" outlineLevel="0" collapsed="false">
      <c r="A1287" s="2" t="s">
        <v>2247</v>
      </c>
      <c r="B1287" s="2" t="s">
        <v>132</v>
      </c>
      <c r="C1287" s="2" t="s">
        <v>36</v>
      </c>
      <c r="D1287" s="3" t="n">
        <v>45763</v>
      </c>
      <c r="E1287" s="2" t="s">
        <v>1553</v>
      </c>
      <c r="F1287" s="2" t="s">
        <v>38</v>
      </c>
      <c r="G1287" s="2" t="n">
        <v>83053</v>
      </c>
      <c r="H1287" s="2" t="n">
        <v>18</v>
      </c>
      <c r="I1287" s="2" t="n">
        <v>161</v>
      </c>
      <c r="J1287" s="2" t="n">
        <v>0</v>
      </c>
      <c r="K1287" s="2" t="n">
        <v>88432</v>
      </c>
      <c r="L1287" s="2" t="n">
        <v>61523</v>
      </c>
      <c r="M1287" s="2" t="n">
        <v>1921</v>
      </c>
      <c r="N1287" s="2" t="n">
        <v>105</v>
      </c>
      <c r="O1287" s="2" t="n">
        <v>160</v>
      </c>
      <c r="P1287" s="2" t="n">
        <v>183</v>
      </c>
      <c r="Q1287" s="2" t="n">
        <v>567</v>
      </c>
      <c r="R1287" s="2" t="n">
        <v>53</v>
      </c>
      <c r="S1287" s="2" t="n">
        <v>20</v>
      </c>
      <c r="T1287" s="2" t="s">
        <v>66</v>
      </c>
      <c r="U1287" s="4" t="n">
        <f aca="false">(M1287+N1287+O1287+P1287)/L1287</f>
        <v>0.0385059246135592</v>
      </c>
      <c r="V1287" s="2" t="str">
        <f aca="false">IF(S1287&lt;=5,"Late night (0-5)",IF(S1287&lt;=11,"Morning (6-11)",IF(S1287&lt;=17,"Afternoon (12-17)","Evening (18-23)")))</f>
        <v>Evening (18-23)</v>
      </c>
    </row>
    <row r="1288" customFormat="false" ht="15" hidden="false" customHeight="false" outlineLevel="0" collapsed="false">
      <c r="A1288" s="2" t="s">
        <v>2248</v>
      </c>
      <c r="B1288" s="2" t="s">
        <v>240</v>
      </c>
      <c r="C1288" s="2" t="s">
        <v>41</v>
      </c>
      <c r="D1288" s="3" t="n">
        <v>45915</v>
      </c>
      <c r="E1288" s="2" t="s">
        <v>769</v>
      </c>
      <c r="F1288" s="2" t="s">
        <v>38</v>
      </c>
      <c r="G1288" s="2" t="n">
        <v>83197</v>
      </c>
      <c r="H1288" s="2" t="n">
        <v>2</v>
      </c>
      <c r="I1288" s="2" t="n">
        <v>52</v>
      </c>
      <c r="J1288" s="2" t="n">
        <v>1</v>
      </c>
      <c r="K1288" s="2" t="n">
        <v>49793</v>
      </c>
      <c r="L1288" s="2" t="n">
        <v>40807</v>
      </c>
      <c r="M1288" s="2" t="n">
        <v>2985</v>
      </c>
      <c r="N1288" s="2" t="n">
        <v>72</v>
      </c>
      <c r="O1288" s="2" t="n">
        <v>130</v>
      </c>
      <c r="P1288" s="2" t="n">
        <v>497</v>
      </c>
      <c r="Q1288" s="2" t="n">
        <v>1218</v>
      </c>
      <c r="R1288" s="2" t="n">
        <v>145</v>
      </c>
      <c r="S1288" s="2" t="n">
        <v>11</v>
      </c>
      <c r="T1288" s="2" t="s">
        <v>33</v>
      </c>
      <c r="U1288" s="4" t="n">
        <f aca="false">(M1288+N1288+O1288+P1288)/L1288</f>
        <v>0.0902786286666503</v>
      </c>
      <c r="V1288" s="2" t="str">
        <f aca="false">IF(S1288&lt;=5,"Late night (0-5)",IF(S1288&lt;=11,"Morning (6-11)",IF(S1288&lt;=17,"Afternoon (12-17)","Evening (18-23)")))</f>
        <v>Morning (6-11)</v>
      </c>
    </row>
    <row r="1289" customFormat="false" ht="15" hidden="false" customHeight="false" outlineLevel="0" collapsed="false">
      <c r="A1289" s="2" t="s">
        <v>2249</v>
      </c>
      <c r="B1289" s="2" t="s">
        <v>103</v>
      </c>
      <c r="C1289" s="2" t="s">
        <v>36</v>
      </c>
      <c r="D1289" s="3" t="n">
        <v>45795</v>
      </c>
      <c r="E1289" s="2" t="s">
        <v>1229</v>
      </c>
      <c r="F1289" s="2" t="s">
        <v>50</v>
      </c>
      <c r="G1289" s="2" t="n">
        <v>56979</v>
      </c>
      <c r="H1289" s="2" t="n">
        <v>13</v>
      </c>
      <c r="I1289" s="2" t="n">
        <v>204</v>
      </c>
      <c r="J1289" s="2" t="n">
        <v>0</v>
      </c>
      <c r="K1289" s="2" t="n">
        <v>56375</v>
      </c>
      <c r="L1289" s="2" t="n">
        <v>38811</v>
      </c>
      <c r="M1289" s="2" t="n">
        <v>2071</v>
      </c>
      <c r="N1289" s="2" t="n">
        <v>103</v>
      </c>
      <c r="O1289" s="2" t="n">
        <v>246</v>
      </c>
      <c r="P1289" s="2" t="n">
        <v>290</v>
      </c>
      <c r="Q1289" s="2" t="n">
        <v>628</v>
      </c>
      <c r="R1289" s="2" t="n">
        <v>157</v>
      </c>
      <c r="S1289" s="2" t="n">
        <v>8</v>
      </c>
      <c r="T1289" s="2" t="s">
        <v>27</v>
      </c>
      <c r="U1289" s="4" t="n">
        <f aca="false">(M1289+N1289+O1289+P1289)/L1289</f>
        <v>0.0698255649171627</v>
      </c>
      <c r="V1289" s="2" t="str">
        <f aca="false">IF(S1289&lt;=5,"Late night (0-5)",IF(S1289&lt;=11,"Morning (6-11)",IF(S1289&lt;=17,"Afternoon (12-17)","Evening (18-23)")))</f>
        <v>Morning (6-11)</v>
      </c>
    </row>
    <row r="1290" customFormat="false" ht="15" hidden="false" customHeight="false" outlineLevel="0" collapsed="false">
      <c r="A1290" s="2" t="s">
        <v>2250</v>
      </c>
      <c r="B1290" s="2" t="s">
        <v>87</v>
      </c>
      <c r="C1290" s="2" t="s">
        <v>36</v>
      </c>
      <c r="D1290" s="3" t="n">
        <v>45753</v>
      </c>
      <c r="E1290" s="2" t="s">
        <v>337</v>
      </c>
      <c r="F1290" s="2" t="s">
        <v>38</v>
      </c>
      <c r="G1290" s="2" t="n">
        <v>25592</v>
      </c>
      <c r="H1290" s="2" t="n">
        <v>0</v>
      </c>
      <c r="I1290" s="2" t="n">
        <v>151</v>
      </c>
      <c r="J1290" s="2" t="n">
        <v>1</v>
      </c>
      <c r="K1290" s="2" t="n">
        <v>6976</v>
      </c>
      <c r="L1290" s="2" t="n">
        <v>5077</v>
      </c>
      <c r="M1290" s="2" t="n">
        <v>179</v>
      </c>
      <c r="N1290" s="2" t="n">
        <v>4</v>
      </c>
      <c r="O1290" s="2" t="n">
        <v>29</v>
      </c>
      <c r="P1290" s="2" t="n">
        <v>28</v>
      </c>
      <c r="Q1290" s="2" t="n">
        <v>143</v>
      </c>
      <c r="R1290" s="2" t="n">
        <v>29</v>
      </c>
      <c r="S1290" s="2" t="n">
        <v>7</v>
      </c>
      <c r="T1290" s="2" t="s">
        <v>27</v>
      </c>
      <c r="U1290" s="4" t="n">
        <f aca="false">(M1290+N1290+O1290+P1290)/L1290</f>
        <v>0.0472720110301359</v>
      </c>
      <c r="V1290" s="2" t="str">
        <f aca="false">IF(S1290&lt;=5,"Late night (0-5)",IF(S1290&lt;=11,"Morning (6-11)",IF(S1290&lt;=17,"Afternoon (12-17)","Evening (18-23)")))</f>
        <v>Morning (6-11)</v>
      </c>
    </row>
    <row r="1291" customFormat="false" ht="15" hidden="false" customHeight="false" outlineLevel="0" collapsed="false">
      <c r="A1291" s="2" t="s">
        <v>2251</v>
      </c>
      <c r="B1291" s="2" t="s">
        <v>71</v>
      </c>
      <c r="C1291" s="2" t="s">
        <v>48</v>
      </c>
      <c r="D1291" s="3" t="n">
        <v>45966</v>
      </c>
      <c r="E1291" s="2" t="s">
        <v>935</v>
      </c>
      <c r="F1291" s="2" t="s">
        <v>38</v>
      </c>
      <c r="G1291" s="2" t="n">
        <v>7316</v>
      </c>
      <c r="H1291" s="2" t="n">
        <v>6</v>
      </c>
      <c r="I1291" s="2" t="n">
        <v>142</v>
      </c>
      <c r="J1291" s="2" t="n">
        <v>0</v>
      </c>
      <c r="K1291" s="2" t="n">
        <v>3990</v>
      </c>
      <c r="L1291" s="2" t="n">
        <v>2384</v>
      </c>
      <c r="M1291" s="2" t="n">
        <v>132</v>
      </c>
      <c r="N1291" s="2" t="n">
        <v>3</v>
      </c>
      <c r="O1291" s="2" t="n">
        <v>24</v>
      </c>
      <c r="P1291" s="2" t="n">
        <v>19</v>
      </c>
      <c r="Q1291" s="2" t="n">
        <v>33</v>
      </c>
      <c r="R1291" s="2" t="n">
        <v>7</v>
      </c>
      <c r="S1291" s="2" t="n">
        <v>20</v>
      </c>
      <c r="T1291" s="2" t="s">
        <v>66</v>
      </c>
      <c r="U1291" s="4" t="n">
        <f aca="false">(M1291+N1291+O1291+P1291)/L1291</f>
        <v>0.0746644295302014</v>
      </c>
      <c r="V1291" s="2" t="str">
        <f aca="false">IF(S1291&lt;=5,"Late night (0-5)",IF(S1291&lt;=11,"Morning (6-11)",IF(S1291&lt;=17,"Afternoon (12-17)","Evening (18-23)")))</f>
        <v>Evening (18-23)</v>
      </c>
    </row>
    <row r="1292" customFormat="false" ht="15" hidden="false" customHeight="false" outlineLevel="0" collapsed="false">
      <c r="A1292" s="2" t="s">
        <v>2252</v>
      </c>
      <c r="B1292" s="2" t="s">
        <v>154</v>
      </c>
      <c r="C1292" s="2" t="s">
        <v>41</v>
      </c>
      <c r="D1292" s="3" t="n">
        <v>45872</v>
      </c>
      <c r="E1292" s="2" t="s">
        <v>986</v>
      </c>
      <c r="F1292" s="2" t="s">
        <v>26</v>
      </c>
      <c r="G1292" s="2" t="n">
        <v>33644</v>
      </c>
      <c r="H1292" s="2" t="n">
        <v>13</v>
      </c>
      <c r="I1292" s="2" t="n">
        <v>78</v>
      </c>
      <c r="J1292" s="2" t="n">
        <v>0</v>
      </c>
      <c r="K1292" s="2" t="n">
        <v>57623</v>
      </c>
      <c r="L1292" s="2" t="n">
        <v>42429</v>
      </c>
      <c r="M1292" s="2" t="n">
        <v>2588</v>
      </c>
      <c r="N1292" s="2" t="n">
        <v>194</v>
      </c>
      <c r="O1292" s="2" t="n">
        <v>436</v>
      </c>
      <c r="P1292" s="2" t="n">
        <v>531</v>
      </c>
      <c r="Q1292" s="2" t="n">
        <v>1152</v>
      </c>
      <c r="R1292" s="2" t="n">
        <v>166</v>
      </c>
      <c r="S1292" s="2" t="n">
        <v>23</v>
      </c>
      <c r="T1292" s="2" t="s">
        <v>27</v>
      </c>
      <c r="U1292" s="4" t="n">
        <f aca="false">(M1292+N1292+O1292+P1292)/L1292</f>
        <v>0.0883593768413114</v>
      </c>
      <c r="V1292" s="2" t="str">
        <f aca="false">IF(S1292&lt;=5,"Late night (0-5)",IF(S1292&lt;=11,"Morning (6-11)",IF(S1292&lt;=17,"Afternoon (12-17)","Evening (18-23)")))</f>
        <v>Evening (18-23)</v>
      </c>
    </row>
    <row r="1293" customFormat="false" ht="15" hidden="false" customHeight="false" outlineLevel="0" collapsed="false">
      <c r="A1293" s="2" t="s">
        <v>2253</v>
      </c>
      <c r="B1293" s="2" t="s">
        <v>132</v>
      </c>
      <c r="C1293" s="2" t="s">
        <v>36</v>
      </c>
      <c r="D1293" s="3" t="n">
        <v>45938</v>
      </c>
      <c r="E1293" s="2" t="s">
        <v>424</v>
      </c>
      <c r="F1293" s="2" t="s">
        <v>38</v>
      </c>
      <c r="G1293" s="2" t="n">
        <v>83053</v>
      </c>
      <c r="H1293" s="2" t="n">
        <v>4</v>
      </c>
      <c r="I1293" s="2" t="n">
        <v>335</v>
      </c>
      <c r="J1293" s="2" t="n">
        <v>0</v>
      </c>
      <c r="K1293" s="2" t="n">
        <v>46977</v>
      </c>
      <c r="L1293" s="2" t="n">
        <v>34868</v>
      </c>
      <c r="M1293" s="2" t="n">
        <v>2467</v>
      </c>
      <c r="N1293" s="2" t="n">
        <v>163</v>
      </c>
      <c r="O1293" s="2" t="n">
        <v>492</v>
      </c>
      <c r="P1293" s="2" t="n">
        <v>427</v>
      </c>
      <c r="Q1293" s="2" t="n">
        <v>227</v>
      </c>
      <c r="R1293" s="2" t="n">
        <v>45</v>
      </c>
      <c r="S1293" s="2" t="n">
        <v>13</v>
      </c>
      <c r="T1293" s="2" t="s">
        <v>66</v>
      </c>
      <c r="U1293" s="4" t="n">
        <f aca="false">(M1293+N1293+O1293+P1293)/L1293</f>
        <v>0.101783870597683</v>
      </c>
      <c r="V1293" s="2" t="str">
        <f aca="false">IF(S1293&lt;=5,"Late night (0-5)",IF(S1293&lt;=11,"Morning (6-11)",IF(S1293&lt;=17,"Afternoon (12-17)","Evening (18-23)")))</f>
        <v>Afternoon (12-17)</v>
      </c>
    </row>
    <row r="1294" customFormat="false" ht="15" hidden="false" customHeight="false" outlineLevel="0" collapsed="false">
      <c r="A1294" s="2" t="s">
        <v>2254</v>
      </c>
      <c r="B1294" s="2" t="s">
        <v>264</v>
      </c>
      <c r="C1294" s="2" t="s">
        <v>36</v>
      </c>
      <c r="D1294" s="3" t="n">
        <v>45920</v>
      </c>
      <c r="E1294" s="2" t="s">
        <v>2255</v>
      </c>
      <c r="F1294" s="2" t="s">
        <v>38</v>
      </c>
      <c r="G1294" s="2" t="n">
        <v>22362</v>
      </c>
      <c r="H1294" s="2" t="n">
        <v>13</v>
      </c>
      <c r="I1294" s="2" t="n">
        <v>256</v>
      </c>
      <c r="J1294" s="2" t="n">
        <v>1</v>
      </c>
      <c r="K1294" s="2" t="n">
        <v>37388</v>
      </c>
      <c r="L1294" s="2" t="n">
        <v>21999</v>
      </c>
      <c r="M1294" s="2" t="n">
        <v>1334</v>
      </c>
      <c r="N1294" s="2" t="n">
        <v>33</v>
      </c>
      <c r="O1294" s="2" t="n">
        <v>202</v>
      </c>
      <c r="P1294" s="2" t="n">
        <v>150</v>
      </c>
      <c r="Q1294" s="2" t="n">
        <v>591</v>
      </c>
      <c r="R1294" s="2" t="n">
        <v>75</v>
      </c>
      <c r="S1294" s="2" t="n">
        <v>18</v>
      </c>
      <c r="T1294" s="2" t="s">
        <v>62</v>
      </c>
      <c r="U1294" s="4" t="n">
        <f aca="false">(M1294+N1294+O1294+P1294)/L1294</f>
        <v>0.0781399154507023</v>
      </c>
      <c r="V1294" s="2" t="str">
        <f aca="false">IF(S1294&lt;=5,"Late night (0-5)",IF(S1294&lt;=11,"Morning (6-11)",IF(S1294&lt;=17,"Afternoon (12-17)","Evening (18-23)")))</f>
        <v>Evening (18-23)</v>
      </c>
    </row>
    <row r="1295" customFormat="false" ht="15" hidden="false" customHeight="false" outlineLevel="0" collapsed="false">
      <c r="A1295" s="2" t="s">
        <v>2256</v>
      </c>
      <c r="B1295" s="2" t="s">
        <v>114</v>
      </c>
      <c r="C1295" s="2" t="s">
        <v>84</v>
      </c>
      <c r="D1295" s="3" t="n">
        <v>45880</v>
      </c>
      <c r="E1295" s="2" t="s">
        <v>1740</v>
      </c>
      <c r="F1295" s="2" t="s">
        <v>32</v>
      </c>
      <c r="G1295" s="2" t="n">
        <v>64307</v>
      </c>
      <c r="H1295" s="2" t="n">
        <v>5</v>
      </c>
      <c r="I1295" s="2" t="n">
        <v>228</v>
      </c>
      <c r="J1295" s="2" t="n">
        <v>1</v>
      </c>
      <c r="K1295" s="2" t="n">
        <v>102030</v>
      </c>
      <c r="L1295" s="2" t="n">
        <v>58943</v>
      </c>
      <c r="M1295" s="2" t="n">
        <v>3052</v>
      </c>
      <c r="N1295" s="2" t="n">
        <v>194</v>
      </c>
      <c r="O1295" s="2" t="n">
        <v>267</v>
      </c>
      <c r="P1295" s="2" t="n">
        <v>620</v>
      </c>
      <c r="Q1295" s="2" t="n">
        <v>1159</v>
      </c>
      <c r="R1295" s="2" t="n">
        <v>238</v>
      </c>
      <c r="S1295" s="2" t="n">
        <v>22</v>
      </c>
      <c r="T1295" s="2" t="s">
        <v>33</v>
      </c>
      <c r="U1295" s="4" t="n">
        <f aca="false">(M1295+N1295+O1295+P1295)/L1295</f>
        <v>0.0701185891454456</v>
      </c>
      <c r="V1295" s="2" t="str">
        <f aca="false">IF(S1295&lt;=5,"Late night (0-5)",IF(S1295&lt;=11,"Morning (6-11)",IF(S1295&lt;=17,"Afternoon (12-17)","Evening (18-23)")))</f>
        <v>Evening (18-23)</v>
      </c>
    </row>
    <row r="1296" customFormat="false" ht="15" hidden="false" customHeight="false" outlineLevel="0" collapsed="false">
      <c r="A1296" s="2" t="s">
        <v>2257</v>
      </c>
      <c r="B1296" s="2" t="s">
        <v>57</v>
      </c>
      <c r="C1296" s="2" t="s">
        <v>24</v>
      </c>
      <c r="D1296" s="3" t="n">
        <v>45886</v>
      </c>
      <c r="E1296" s="2" t="s">
        <v>2258</v>
      </c>
      <c r="F1296" s="2" t="s">
        <v>32</v>
      </c>
      <c r="G1296" s="2" t="n">
        <v>31021</v>
      </c>
      <c r="H1296" s="2" t="n">
        <v>9</v>
      </c>
      <c r="I1296" s="2" t="n">
        <v>312</v>
      </c>
      <c r="J1296" s="2" t="n">
        <v>0</v>
      </c>
      <c r="K1296" s="2" t="n">
        <v>27968</v>
      </c>
      <c r="L1296" s="2" t="n">
        <v>17699</v>
      </c>
      <c r="M1296" s="2" t="n">
        <v>1728</v>
      </c>
      <c r="N1296" s="2" t="n">
        <v>42</v>
      </c>
      <c r="O1296" s="2" t="n">
        <v>414</v>
      </c>
      <c r="P1296" s="2" t="n">
        <v>219</v>
      </c>
      <c r="Q1296" s="2" t="n">
        <v>184</v>
      </c>
      <c r="R1296" s="2" t="n">
        <v>40</v>
      </c>
      <c r="S1296" s="2" t="n">
        <v>23</v>
      </c>
      <c r="T1296" s="2" t="s">
        <v>27</v>
      </c>
      <c r="U1296" s="4" t="n">
        <f aca="false">(M1296+N1296+O1296+P1296)/L1296</f>
        <v>0.135770382507486</v>
      </c>
      <c r="V1296" s="2" t="str">
        <f aca="false">IF(S1296&lt;=5,"Late night (0-5)",IF(S1296&lt;=11,"Morning (6-11)",IF(S1296&lt;=17,"Afternoon (12-17)","Evening (18-23)")))</f>
        <v>Evening (18-23)</v>
      </c>
    </row>
    <row r="1297" customFormat="false" ht="15" hidden="false" customHeight="false" outlineLevel="0" collapsed="false">
      <c r="A1297" s="2" t="s">
        <v>2259</v>
      </c>
      <c r="B1297" s="2" t="s">
        <v>164</v>
      </c>
      <c r="C1297" s="2" t="s">
        <v>36</v>
      </c>
      <c r="D1297" s="3" t="n">
        <v>45853</v>
      </c>
      <c r="E1297" s="2" t="s">
        <v>756</v>
      </c>
      <c r="F1297" s="2" t="s">
        <v>38</v>
      </c>
      <c r="G1297" s="2" t="n">
        <v>44230</v>
      </c>
      <c r="H1297" s="2" t="n">
        <v>9</v>
      </c>
      <c r="I1297" s="2" t="n">
        <v>242</v>
      </c>
      <c r="J1297" s="2" t="n">
        <v>0</v>
      </c>
      <c r="K1297" s="2" t="n">
        <v>13436</v>
      </c>
      <c r="L1297" s="2" t="n">
        <v>11029</v>
      </c>
      <c r="M1297" s="2" t="n">
        <v>503</v>
      </c>
      <c r="N1297" s="2" t="n">
        <v>37</v>
      </c>
      <c r="O1297" s="2" t="n">
        <v>41</v>
      </c>
      <c r="P1297" s="2" t="n">
        <v>147</v>
      </c>
      <c r="Q1297" s="2" t="n">
        <v>121</v>
      </c>
      <c r="R1297" s="2" t="n">
        <v>27</v>
      </c>
      <c r="S1297" s="2" t="n">
        <v>10</v>
      </c>
      <c r="T1297" s="2" t="s">
        <v>51</v>
      </c>
      <c r="U1297" s="4" t="n">
        <f aca="false">(M1297+N1297+O1297+P1297)/L1297</f>
        <v>0.0660077976244446</v>
      </c>
      <c r="V1297" s="2" t="str">
        <f aca="false">IF(S1297&lt;=5,"Late night (0-5)",IF(S1297&lt;=11,"Morning (6-11)",IF(S1297&lt;=17,"Afternoon (12-17)","Evening (18-23)")))</f>
        <v>Morning (6-11)</v>
      </c>
    </row>
    <row r="1298" customFormat="false" ht="15" hidden="false" customHeight="false" outlineLevel="0" collapsed="false">
      <c r="A1298" s="2" t="s">
        <v>2260</v>
      </c>
      <c r="B1298" s="2" t="s">
        <v>135</v>
      </c>
      <c r="C1298" s="2" t="s">
        <v>36</v>
      </c>
      <c r="D1298" s="3" t="n">
        <v>45960</v>
      </c>
      <c r="E1298" s="2" t="s">
        <v>1681</v>
      </c>
      <c r="F1298" s="2" t="s">
        <v>38</v>
      </c>
      <c r="G1298" s="2" t="n">
        <v>45812</v>
      </c>
      <c r="H1298" s="2" t="n">
        <v>7</v>
      </c>
      <c r="I1298" s="2" t="n">
        <v>81</v>
      </c>
      <c r="J1298" s="2" t="n">
        <v>1</v>
      </c>
      <c r="K1298" s="2" t="n">
        <v>33652</v>
      </c>
      <c r="L1298" s="2" t="n">
        <v>20111</v>
      </c>
      <c r="M1298" s="2" t="n">
        <v>1057</v>
      </c>
      <c r="N1298" s="2" t="n">
        <v>27</v>
      </c>
      <c r="O1298" s="2" t="n">
        <v>188</v>
      </c>
      <c r="P1298" s="2" t="n">
        <v>57</v>
      </c>
      <c r="Q1298" s="2" t="n">
        <v>102</v>
      </c>
      <c r="R1298" s="2" t="n">
        <v>17</v>
      </c>
      <c r="S1298" s="2" t="n">
        <v>11</v>
      </c>
      <c r="T1298" s="2" t="s">
        <v>79</v>
      </c>
      <c r="U1298" s="4" t="n">
        <f aca="false">(M1298+N1298+O1298+P1298)/L1298</f>
        <v>0.0660832380289394</v>
      </c>
      <c r="V1298" s="2" t="str">
        <f aca="false">IF(S1298&lt;=5,"Late night (0-5)",IF(S1298&lt;=11,"Morning (6-11)",IF(S1298&lt;=17,"Afternoon (12-17)","Evening (18-23)")))</f>
        <v>Morning (6-11)</v>
      </c>
    </row>
    <row r="1299" customFormat="false" ht="15" hidden="false" customHeight="false" outlineLevel="0" collapsed="false">
      <c r="A1299" s="2" t="s">
        <v>2261</v>
      </c>
      <c r="B1299" s="2" t="s">
        <v>77</v>
      </c>
      <c r="C1299" s="2" t="s">
        <v>30</v>
      </c>
      <c r="D1299" s="3" t="n">
        <v>46022</v>
      </c>
      <c r="E1299" s="2" t="s">
        <v>2262</v>
      </c>
      <c r="F1299" s="2" t="s">
        <v>26</v>
      </c>
      <c r="G1299" s="2" t="n">
        <v>17548</v>
      </c>
      <c r="H1299" s="2" t="n">
        <v>13</v>
      </c>
      <c r="I1299" s="2" t="n">
        <v>236</v>
      </c>
      <c r="J1299" s="2" t="n">
        <v>1</v>
      </c>
      <c r="K1299" s="2" t="n">
        <v>16225</v>
      </c>
      <c r="L1299" s="2" t="n">
        <v>12521</v>
      </c>
      <c r="M1299" s="2" t="n">
        <v>890</v>
      </c>
      <c r="N1299" s="2" t="n">
        <v>62</v>
      </c>
      <c r="O1299" s="2" t="n">
        <v>142</v>
      </c>
      <c r="P1299" s="2" t="n">
        <v>257</v>
      </c>
      <c r="Q1299" s="2" t="n">
        <v>231</v>
      </c>
      <c r="R1299" s="2" t="n">
        <v>13</v>
      </c>
      <c r="S1299" s="2" t="n">
        <v>6</v>
      </c>
      <c r="T1299" s="2" t="s">
        <v>66</v>
      </c>
      <c r="U1299" s="4" t="n">
        <f aca="false">(M1299+N1299+O1299+P1299)/L1299</f>
        <v>0.107898730133376</v>
      </c>
      <c r="V1299" s="2" t="str">
        <f aca="false">IF(S1299&lt;=5,"Late night (0-5)",IF(S1299&lt;=11,"Morning (6-11)",IF(S1299&lt;=17,"Afternoon (12-17)","Evening (18-23)")))</f>
        <v>Morning (6-11)</v>
      </c>
    </row>
    <row r="1300" customFormat="false" ht="15" hidden="false" customHeight="false" outlineLevel="0" collapsed="false">
      <c r="A1300" s="2" t="s">
        <v>2263</v>
      </c>
      <c r="B1300" s="2" t="s">
        <v>164</v>
      </c>
      <c r="C1300" s="2" t="s">
        <v>36</v>
      </c>
      <c r="D1300" s="3" t="n">
        <v>45823</v>
      </c>
      <c r="E1300" s="2" t="s">
        <v>1191</v>
      </c>
      <c r="F1300" s="2" t="s">
        <v>32</v>
      </c>
      <c r="G1300" s="2" t="n">
        <v>44230</v>
      </c>
      <c r="H1300" s="2" t="n">
        <v>4</v>
      </c>
      <c r="I1300" s="2" t="n">
        <v>170</v>
      </c>
      <c r="J1300" s="2" t="n">
        <v>1</v>
      </c>
      <c r="K1300" s="2" t="n">
        <v>57883</v>
      </c>
      <c r="L1300" s="2" t="n">
        <v>49922</v>
      </c>
      <c r="M1300" s="2" t="n">
        <v>2739</v>
      </c>
      <c r="N1300" s="2" t="n">
        <v>80</v>
      </c>
      <c r="O1300" s="2" t="n">
        <v>628</v>
      </c>
      <c r="P1300" s="2" t="n">
        <v>533</v>
      </c>
      <c r="Q1300" s="2" t="n">
        <v>330</v>
      </c>
      <c r="R1300" s="2" t="n">
        <v>54</v>
      </c>
      <c r="S1300" s="2" t="n">
        <v>10</v>
      </c>
      <c r="T1300" s="2" t="s">
        <v>27</v>
      </c>
      <c r="U1300" s="4" t="n">
        <f aca="false">(M1300+N1300+O1300+P1300)/L1300</f>
        <v>0.0797243700172269</v>
      </c>
      <c r="V1300" s="2" t="str">
        <f aca="false">IF(S1300&lt;=5,"Late night (0-5)",IF(S1300&lt;=11,"Morning (6-11)",IF(S1300&lt;=17,"Afternoon (12-17)","Evening (18-23)")))</f>
        <v>Morning (6-11)</v>
      </c>
    </row>
    <row r="1301" customFormat="false" ht="15" hidden="false" customHeight="false" outlineLevel="0" collapsed="false">
      <c r="A1301" s="2" t="s">
        <v>2264</v>
      </c>
      <c r="B1301" s="2" t="s">
        <v>90</v>
      </c>
      <c r="C1301" s="2" t="s">
        <v>91</v>
      </c>
      <c r="D1301" s="3" t="n">
        <v>45776</v>
      </c>
      <c r="E1301" s="2" t="s">
        <v>975</v>
      </c>
      <c r="F1301" s="2" t="s">
        <v>38</v>
      </c>
      <c r="G1301" s="2" t="n">
        <v>54788</v>
      </c>
      <c r="H1301" s="2" t="n">
        <v>13</v>
      </c>
      <c r="I1301" s="2" t="n">
        <v>181</v>
      </c>
      <c r="J1301" s="2" t="n">
        <v>0</v>
      </c>
      <c r="K1301" s="2" t="n">
        <v>49659</v>
      </c>
      <c r="L1301" s="2" t="n">
        <v>29717</v>
      </c>
      <c r="M1301" s="2" t="n">
        <v>1446</v>
      </c>
      <c r="N1301" s="2" t="n">
        <v>37</v>
      </c>
      <c r="O1301" s="2" t="n">
        <v>231</v>
      </c>
      <c r="P1301" s="2" t="n">
        <v>327</v>
      </c>
      <c r="Q1301" s="2" t="n">
        <v>805</v>
      </c>
      <c r="R1301" s="2" t="n">
        <v>219</v>
      </c>
      <c r="S1301" s="2" t="n">
        <v>17</v>
      </c>
      <c r="T1301" s="2" t="s">
        <v>51</v>
      </c>
      <c r="U1301" s="4" t="n">
        <f aca="false">(M1301+N1301+O1301+P1301)/L1301</f>
        <v>0.0686812262341421</v>
      </c>
      <c r="V1301" s="2" t="str">
        <f aca="false">IF(S1301&lt;=5,"Late night (0-5)",IF(S1301&lt;=11,"Morning (6-11)",IF(S1301&lt;=17,"Afternoon (12-17)","Evening (18-23)")))</f>
        <v>Afternoon (12-17)</v>
      </c>
    </row>
    <row r="1302" customFormat="false" ht="15" hidden="false" customHeight="false" outlineLevel="0" collapsed="false">
      <c r="A1302" s="2" t="s">
        <v>2265</v>
      </c>
      <c r="B1302" s="2" t="s">
        <v>371</v>
      </c>
      <c r="C1302" s="2" t="s">
        <v>48</v>
      </c>
      <c r="D1302" s="3" t="n">
        <v>45692</v>
      </c>
      <c r="E1302" s="2" t="s">
        <v>875</v>
      </c>
      <c r="F1302" s="2" t="s">
        <v>38</v>
      </c>
      <c r="G1302" s="2" t="n">
        <v>42479</v>
      </c>
      <c r="H1302" s="2" t="n">
        <v>16</v>
      </c>
      <c r="I1302" s="2" t="n">
        <v>202</v>
      </c>
      <c r="J1302" s="2" t="n">
        <v>0</v>
      </c>
      <c r="K1302" s="2" t="n">
        <v>5394</v>
      </c>
      <c r="L1302" s="2" t="n">
        <v>4622</v>
      </c>
      <c r="M1302" s="2" t="n">
        <v>360</v>
      </c>
      <c r="N1302" s="2" t="n">
        <v>17</v>
      </c>
      <c r="O1302" s="2" t="n">
        <v>25</v>
      </c>
      <c r="P1302" s="2" t="n">
        <v>49</v>
      </c>
      <c r="Q1302" s="2" t="n">
        <v>107</v>
      </c>
      <c r="R1302" s="2" t="n">
        <v>7</v>
      </c>
      <c r="S1302" s="2" t="n">
        <v>1</v>
      </c>
      <c r="T1302" s="2" t="s">
        <v>51</v>
      </c>
      <c r="U1302" s="4" t="n">
        <f aca="false">(M1302+N1302+O1302+P1302)/L1302</f>
        <v>0.0975768065772393</v>
      </c>
      <c r="V1302" s="2" t="str">
        <f aca="false">IF(S1302&lt;=5,"Late night (0-5)",IF(S1302&lt;=11,"Morning (6-11)",IF(S1302&lt;=17,"Afternoon (12-17)","Evening (18-23)")))</f>
        <v>Late night (0-5)</v>
      </c>
    </row>
    <row r="1303" customFormat="false" ht="15" hidden="false" customHeight="false" outlineLevel="0" collapsed="false">
      <c r="A1303" s="2" t="s">
        <v>2266</v>
      </c>
      <c r="B1303" s="2" t="s">
        <v>132</v>
      </c>
      <c r="C1303" s="2" t="s">
        <v>36</v>
      </c>
      <c r="D1303" s="3" t="n">
        <v>45898</v>
      </c>
      <c r="E1303" s="2" t="s">
        <v>937</v>
      </c>
      <c r="F1303" s="2" t="s">
        <v>32</v>
      </c>
      <c r="G1303" s="2" t="n">
        <v>83053</v>
      </c>
      <c r="H1303" s="2" t="n">
        <v>20</v>
      </c>
      <c r="I1303" s="2" t="n">
        <v>156</v>
      </c>
      <c r="J1303" s="2" t="n">
        <v>0</v>
      </c>
      <c r="K1303" s="2" t="n">
        <v>154311</v>
      </c>
      <c r="L1303" s="2" t="n">
        <v>106634</v>
      </c>
      <c r="M1303" s="2" t="n">
        <v>8112</v>
      </c>
      <c r="N1303" s="2" t="n">
        <v>629</v>
      </c>
      <c r="O1303" s="2" t="n">
        <v>861</v>
      </c>
      <c r="P1303" s="2" t="n">
        <v>2035</v>
      </c>
      <c r="Q1303" s="2" t="n">
        <v>2430</v>
      </c>
      <c r="R1303" s="2" t="n">
        <v>206</v>
      </c>
      <c r="S1303" s="2" t="n">
        <v>14</v>
      </c>
      <c r="T1303" s="2" t="s">
        <v>96</v>
      </c>
      <c r="U1303" s="4" t="n">
        <f aca="false">(M1303+N1303+O1303+P1303)/L1303</f>
        <v>0.109130296153197</v>
      </c>
      <c r="V1303" s="2" t="str">
        <f aca="false">IF(S1303&lt;=5,"Late night (0-5)",IF(S1303&lt;=11,"Morning (6-11)",IF(S1303&lt;=17,"Afternoon (12-17)","Evening (18-23)")))</f>
        <v>Afternoon (12-17)</v>
      </c>
    </row>
    <row r="1304" customFormat="false" ht="15" hidden="false" customHeight="false" outlineLevel="0" collapsed="false">
      <c r="A1304" s="2" t="s">
        <v>2267</v>
      </c>
      <c r="B1304" s="2" t="s">
        <v>310</v>
      </c>
      <c r="C1304" s="2" t="s">
        <v>91</v>
      </c>
      <c r="D1304" s="3" t="n">
        <v>45807</v>
      </c>
      <c r="E1304" s="2" t="s">
        <v>1012</v>
      </c>
      <c r="F1304" s="2" t="s">
        <v>38</v>
      </c>
      <c r="G1304" s="2" t="n">
        <v>56571</v>
      </c>
      <c r="H1304" s="2" t="n">
        <v>12</v>
      </c>
      <c r="I1304" s="2" t="n">
        <v>226</v>
      </c>
      <c r="J1304" s="2" t="n">
        <v>1</v>
      </c>
      <c r="K1304" s="2" t="n">
        <v>11520</v>
      </c>
      <c r="L1304" s="2" t="n">
        <v>8930</v>
      </c>
      <c r="M1304" s="2" t="n">
        <v>752</v>
      </c>
      <c r="N1304" s="2" t="n">
        <v>47</v>
      </c>
      <c r="O1304" s="2" t="n">
        <v>40</v>
      </c>
      <c r="P1304" s="2" t="n">
        <v>117</v>
      </c>
      <c r="Q1304" s="2" t="n">
        <v>98</v>
      </c>
      <c r="R1304" s="2" t="n">
        <v>25</v>
      </c>
      <c r="S1304" s="2" t="n">
        <v>16</v>
      </c>
      <c r="T1304" s="2" t="s">
        <v>96</v>
      </c>
      <c r="U1304" s="4" t="n">
        <f aca="false">(M1304+N1304+O1304+P1304)/L1304</f>
        <v>0.107054871220605</v>
      </c>
      <c r="V1304" s="2" t="str">
        <f aca="false">IF(S1304&lt;=5,"Late night (0-5)",IF(S1304&lt;=11,"Morning (6-11)",IF(S1304&lt;=17,"Afternoon (12-17)","Evening (18-23)")))</f>
        <v>Afternoon (12-17)</v>
      </c>
    </row>
    <row r="1305" customFormat="false" ht="15" hidden="false" customHeight="false" outlineLevel="0" collapsed="false">
      <c r="A1305" s="2" t="s">
        <v>2268</v>
      </c>
      <c r="B1305" s="2" t="s">
        <v>409</v>
      </c>
      <c r="C1305" s="2" t="s">
        <v>48</v>
      </c>
      <c r="D1305" s="3" t="n">
        <v>45977</v>
      </c>
      <c r="E1305" s="2" t="s">
        <v>627</v>
      </c>
      <c r="F1305" s="2" t="s">
        <v>38</v>
      </c>
      <c r="G1305" s="2" t="n">
        <v>31525</v>
      </c>
      <c r="H1305" s="2" t="n">
        <v>0</v>
      </c>
      <c r="I1305" s="2" t="n">
        <v>142</v>
      </c>
      <c r="J1305" s="2" t="n">
        <v>0</v>
      </c>
      <c r="K1305" s="2" t="n">
        <v>16786</v>
      </c>
      <c r="L1305" s="2" t="n">
        <v>10049</v>
      </c>
      <c r="M1305" s="2" t="n">
        <v>652</v>
      </c>
      <c r="N1305" s="2" t="n">
        <v>26</v>
      </c>
      <c r="O1305" s="2" t="n">
        <v>105</v>
      </c>
      <c r="P1305" s="2" t="n">
        <v>110</v>
      </c>
      <c r="Q1305" s="2" t="n">
        <v>105</v>
      </c>
      <c r="R1305" s="2" t="n">
        <v>15</v>
      </c>
      <c r="S1305" s="2" t="n">
        <v>23</v>
      </c>
      <c r="T1305" s="2" t="s">
        <v>27</v>
      </c>
      <c r="U1305" s="4" t="n">
        <f aca="false">(M1305+N1305+O1305+P1305)/L1305</f>
        <v>0.088864563638173</v>
      </c>
      <c r="V1305" s="2" t="str">
        <f aca="false">IF(S1305&lt;=5,"Late night (0-5)",IF(S1305&lt;=11,"Morning (6-11)",IF(S1305&lt;=17,"Afternoon (12-17)","Evening (18-23)")))</f>
        <v>Evening (18-23)</v>
      </c>
    </row>
    <row r="1306" customFormat="false" ht="15" hidden="false" customHeight="false" outlineLevel="0" collapsed="false">
      <c r="A1306" s="2" t="s">
        <v>2269</v>
      </c>
      <c r="B1306" s="2" t="s">
        <v>132</v>
      </c>
      <c r="C1306" s="2" t="s">
        <v>36</v>
      </c>
      <c r="D1306" s="3" t="n">
        <v>45973</v>
      </c>
      <c r="E1306" s="2" t="s">
        <v>2270</v>
      </c>
      <c r="F1306" s="2" t="s">
        <v>38</v>
      </c>
      <c r="G1306" s="2" t="n">
        <v>83053</v>
      </c>
      <c r="H1306" s="2" t="n">
        <v>9</v>
      </c>
      <c r="I1306" s="2" t="n">
        <v>292</v>
      </c>
      <c r="J1306" s="2" t="n">
        <v>0</v>
      </c>
      <c r="K1306" s="2" t="n">
        <v>58233</v>
      </c>
      <c r="L1306" s="2" t="n">
        <v>47373</v>
      </c>
      <c r="M1306" s="2" t="n">
        <v>3618</v>
      </c>
      <c r="N1306" s="2" t="n">
        <v>73</v>
      </c>
      <c r="O1306" s="2" t="n">
        <v>495</v>
      </c>
      <c r="P1306" s="2" t="n">
        <v>771</v>
      </c>
      <c r="Q1306" s="2" t="n">
        <v>1129</v>
      </c>
      <c r="R1306" s="2" t="n">
        <v>317</v>
      </c>
      <c r="S1306" s="2" t="n">
        <v>8</v>
      </c>
      <c r="T1306" s="2" t="s">
        <v>66</v>
      </c>
      <c r="U1306" s="4" t="n">
        <f aca="false">(M1306+N1306+O1306+P1306)/L1306</f>
        <v>0.104637662803707</v>
      </c>
      <c r="V1306" s="2" t="str">
        <f aca="false">IF(S1306&lt;=5,"Late night (0-5)",IF(S1306&lt;=11,"Morning (6-11)",IF(S1306&lt;=17,"Afternoon (12-17)","Evening (18-23)")))</f>
        <v>Morning (6-11)</v>
      </c>
    </row>
    <row r="1307" customFormat="false" ht="15" hidden="false" customHeight="false" outlineLevel="0" collapsed="false">
      <c r="A1307" s="2" t="s">
        <v>2271</v>
      </c>
      <c r="B1307" s="2" t="s">
        <v>374</v>
      </c>
      <c r="C1307" s="2" t="s">
        <v>24</v>
      </c>
      <c r="D1307" s="3" t="n">
        <v>45759</v>
      </c>
      <c r="E1307" s="2" t="s">
        <v>2272</v>
      </c>
      <c r="F1307" s="2" t="s">
        <v>26</v>
      </c>
      <c r="G1307" s="2" t="n">
        <v>9509</v>
      </c>
      <c r="H1307" s="2" t="n">
        <v>21</v>
      </c>
      <c r="I1307" s="2" t="n">
        <v>182</v>
      </c>
      <c r="J1307" s="2" t="n">
        <v>0</v>
      </c>
      <c r="K1307" s="2" t="n">
        <v>33595</v>
      </c>
      <c r="L1307" s="2" t="n">
        <v>28992</v>
      </c>
      <c r="M1307" s="2" t="n">
        <v>1937</v>
      </c>
      <c r="N1307" s="2" t="n">
        <v>49</v>
      </c>
      <c r="O1307" s="2" t="n">
        <v>209</v>
      </c>
      <c r="P1307" s="2" t="n">
        <v>395</v>
      </c>
      <c r="Q1307" s="2" t="n">
        <v>638</v>
      </c>
      <c r="R1307" s="2" t="n">
        <v>150</v>
      </c>
      <c r="S1307" s="2" t="n">
        <v>9</v>
      </c>
      <c r="T1307" s="2" t="s">
        <v>62</v>
      </c>
      <c r="U1307" s="4" t="n">
        <f aca="false">(M1307+N1307+O1307+P1307)/L1307</f>
        <v>0.0893349889624724</v>
      </c>
      <c r="V1307" s="2" t="str">
        <f aca="false">IF(S1307&lt;=5,"Late night (0-5)",IF(S1307&lt;=11,"Morning (6-11)",IF(S1307&lt;=17,"Afternoon (12-17)","Evening (18-23)")))</f>
        <v>Morning (6-11)</v>
      </c>
    </row>
    <row r="1308" customFormat="false" ht="15" hidden="false" customHeight="false" outlineLevel="0" collapsed="false">
      <c r="A1308" s="2" t="s">
        <v>2273</v>
      </c>
      <c r="B1308" s="2" t="s">
        <v>181</v>
      </c>
      <c r="C1308" s="2" t="s">
        <v>91</v>
      </c>
      <c r="D1308" s="3" t="n">
        <v>45739</v>
      </c>
      <c r="E1308" s="2" t="s">
        <v>911</v>
      </c>
      <c r="F1308" s="2" t="s">
        <v>32</v>
      </c>
      <c r="G1308" s="2" t="n">
        <v>31658</v>
      </c>
      <c r="H1308" s="2" t="n">
        <v>21</v>
      </c>
      <c r="I1308" s="2" t="n">
        <v>101</v>
      </c>
      <c r="J1308" s="2" t="n">
        <v>0</v>
      </c>
      <c r="K1308" s="2" t="n">
        <v>50986</v>
      </c>
      <c r="L1308" s="2" t="n">
        <v>39081</v>
      </c>
      <c r="M1308" s="2" t="n">
        <v>2872</v>
      </c>
      <c r="N1308" s="2" t="n">
        <v>116</v>
      </c>
      <c r="O1308" s="2" t="n">
        <v>731</v>
      </c>
      <c r="P1308" s="2" t="n">
        <v>256</v>
      </c>
      <c r="Q1308" s="2" t="n">
        <v>296</v>
      </c>
      <c r="R1308" s="2" t="n">
        <v>52</v>
      </c>
      <c r="S1308" s="2" t="n">
        <v>13</v>
      </c>
      <c r="T1308" s="2" t="s">
        <v>27</v>
      </c>
      <c r="U1308" s="4" t="n">
        <f aca="false">(M1308+N1308+O1308+P1308)/L1308</f>
        <v>0.101711829277654</v>
      </c>
      <c r="V1308" s="2" t="str">
        <f aca="false">IF(S1308&lt;=5,"Late night (0-5)",IF(S1308&lt;=11,"Morning (6-11)",IF(S1308&lt;=17,"Afternoon (12-17)","Evening (18-23)")))</f>
        <v>Afternoon (12-17)</v>
      </c>
    </row>
    <row r="1309" customFormat="false" ht="15" hidden="false" customHeight="false" outlineLevel="0" collapsed="false">
      <c r="A1309" s="2" t="s">
        <v>2274</v>
      </c>
      <c r="B1309" s="2" t="s">
        <v>111</v>
      </c>
      <c r="C1309" s="2" t="s">
        <v>48</v>
      </c>
      <c r="D1309" s="3" t="n">
        <v>45799</v>
      </c>
      <c r="E1309" s="2" t="s">
        <v>412</v>
      </c>
      <c r="F1309" s="2" t="s">
        <v>38</v>
      </c>
      <c r="G1309" s="2" t="n">
        <v>16824</v>
      </c>
      <c r="H1309" s="2" t="n">
        <v>21</v>
      </c>
      <c r="I1309" s="2" t="n">
        <v>87</v>
      </c>
      <c r="J1309" s="2" t="n">
        <v>0</v>
      </c>
      <c r="K1309" s="2" t="n">
        <v>9137</v>
      </c>
      <c r="L1309" s="2" t="n">
        <v>7430</v>
      </c>
      <c r="M1309" s="2" t="n">
        <v>355</v>
      </c>
      <c r="N1309" s="2" t="n">
        <v>12</v>
      </c>
      <c r="O1309" s="2" t="n">
        <v>44</v>
      </c>
      <c r="P1309" s="2" t="n">
        <v>45</v>
      </c>
      <c r="Q1309" s="2" t="n">
        <v>172</v>
      </c>
      <c r="R1309" s="2" t="n">
        <v>33</v>
      </c>
      <c r="S1309" s="2" t="n">
        <v>0</v>
      </c>
      <c r="T1309" s="2" t="s">
        <v>79</v>
      </c>
      <c r="U1309" s="4" t="n">
        <f aca="false">(M1309+N1309+O1309+P1309)/L1309</f>
        <v>0.0613728129205922</v>
      </c>
      <c r="V1309" s="2" t="str">
        <f aca="false">IF(S1309&lt;=5,"Late night (0-5)",IF(S1309&lt;=11,"Morning (6-11)",IF(S1309&lt;=17,"Afternoon (12-17)","Evening (18-23)")))</f>
        <v>Late night (0-5)</v>
      </c>
    </row>
    <row r="1310" customFormat="false" ht="15" hidden="false" customHeight="false" outlineLevel="0" collapsed="false">
      <c r="A1310" s="2" t="s">
        <v>2275</v>
      </c>
      <c r="B1310" s="2" t="s">
        <v>35</v>
      </c>
      <c r="C1310" s="2" t="s">
        <v>36</v>
      </c>
      <c r="D1310" s="3" t="n">
        <v>45748</v>
      </c>
      <c r="E1310" s="2" t="s">
        <v>2276</v>
      </c>
      <c r="F1310" s="2" t="s">
        <v>26</v>
      </c>
      <c r="G1310" s="2" t="n">
        <v>33933</v>
      </c>
      <c r="H1310" s="2" t="n">
        <v>9</v>
      </c>
      <c r="I1310" s="2" t="n">
        <v>173</v>
      </c>
      <c r="J1310" s="2" t="n">
        <v>0</v>
      </c>
      <c r="K1310" s="2" t="n">
        <v>23286</v>
      </c>
      <c r="L1310" s="2" t="n">
        <v>13112</v>
      </c>
      <c r="M1310" s="2" t="n">
        <v>764</v>
      </c>
      <c r="N1310" s="2" t="n">
        <v>19</v>
      </c>
      <c r="O1310" s="2" t="n">
        <v>25</v>
      </c>
      <c r="P1310" s="2" t="n">
        <v>247</v>
      </c>
      <c r="Q1310" s="2" t="n">
        <v>121</v>
      </c>
      <c r="R1310" s="2" t="n">
        <v>11</v>
      </c>
      <c r="S1310" s="2" t="n">
        <v>15</v>
      </c>
      <c r="T1310" s="2" t="s">
        <v>51</v>
      </c>
      <c r="U1310" s="4" t="n">
        <f aca="false">(M1310+N1310+O1310+P1310)/L1310</f>
        <v>0.0804606467358145</v>
      </c>
      <c r="V1310" s="2" t="str">
        <f aca="false">IF(S1310&lt;=5,"Late night (0-5)",IF(S1310&lt;=11,"Morning (6-11)",IF(S1310&lt;=17,"Afternoon (12-17)","Evening (18-23)")))</f>
        <v>Afternoon (12-17)</v>
      </c>
    </row>
    <row r="1311" customFormat="false" ht="15" hidden="false" customHeight="false" outlineLevel="0" collapsed="false">
      <c r="A1311" s="2" t="s">
        <v>2277</v>
      </c>
      <c r="B1311" s="2" t="s">
        <v>44</v>
      </c>
      <c r="C1311" s="2" t="s">
        <v>36</v>
      </c>
      <c r="D1311" s="3" t="n">
        <v>45948</v>
      </c>
      <c r="E1311" s="2" t="s">
        <v>346</v>
      </c>
      <c r="F1311" s="2" t="s">
        <v>26</v>
      </c>
      <c r="G1311" s="2" t="n">
        <v>6265</v>
      </c>
      <c r="H1311" s="2" t="n">
        <v>14</v>
      </c>
      <c r="I1311" s="2" t="n">
        <v>102</v>
      </c>
      <c r="J1311" s="2" t="n">
        <v>1</v>
      </c>
      <c r="K1311" s="2" t="n">
        <v>6162</v>
      </c>
      <c r="L1311" s="2" t="n">
        <v>3550</v>
      </c>
      <c r="M1311" s="2" t="n">
        <v>213</v>
      </c>
      <c r="N1311" s="2" t="n">
        <v>15</v>
      </c>
      <c r="O1311" s="2" t="n">
        <v>26</v>
      </c>
      <c r="P1311" s="2" t="n">
        <v>72</v>
      </c>
      <c r="Q1311" s="2" t="n">
        <v>43</v>
      </c>
      <c r="R1311" s="2" t="n">
        <v>10</v>
      </c>
      <c r="S1311" s="2" t="n">
        <v>5</v>
      </c>
      <c r="T1311" s="2" t="s">
        <v>62</v>
      </c>
      <c r="U1311" s="4" t="n">
        <f aca="false">(M1311+N1311+O1311+P1311)/L1311</f>
        <v>0.091830985915493</v>
      </c>
      <c r="V1311" s="2" t="str">
        <f aca="false">IF(S1311&lt;=5,"Late night (0-5)",IF(S1311&lt;=11,"Morning (6-11)",IF(S1311&lt;=17,"Afternoon (12-17)","Evening (18-23)")))</f>
        <v>Late night (0-5)</v>
      </c>
    </row>
    <row r="1312" customFormat="false" ht="15" hidden="false" customHeight="false" outlineLevel="0" collapsed="false">
      <c r="A1312" s="2" t="s">
        <v>2278</v>
      </c>
      <c r="B1312" s="2" t="s">
        <v>53</v>
      </c>
      <c r="C1312" s="2" t="s">
        <v>54</v>
      </c>
      <c r="D1312" s="3" t="n">
        <v>45926</v>
      </c>
      <c r="E1312" s="2" t="s">
        <v>967</v>
      </c>
      <c r="F1312" s="2" t="s">
        <v>26</v>
      </c>
      <c r="G1312" s="2" t="n">
        <v>11318</v>
      </c>
      <c r="H1312" s="2" t="n">
        <v>11</v>
      </c>
      <c r="I1312" s="2" t="n">
        <v>285</v>
      </c>
      <c r="J1312" s="2" t="n">
        <v>1</v>
      </c>
      <c r="K1312" s="2" t="n">
        <v>10051</v>
      </c>
      <c r="L1312" s="2" t="n">
        <v>6826</v>
      </c>
      <c r="M1312" s="2" t="n">
        <v>489</v>
      </c>
      <c r="N1312" s="2" t="n">
        <v>24</v>
      </c>
      <c r="O1312" s="2" t="n">
        <v>44</v>
      </c>
      <c r="P1312" s="2" t="n">
        <v>42</v>
      </c>
      <c r="Q1312" s="2" t="n">
        <v>168</v>
      </c>
      <c r="R1312" s="2" t="n">
        <v>29</v>
      </c>
      <c r="S1312" s="2" t="n">
        <v>3</v>
      </c>
      <c r="T1312" s="2" t="s">
        <v>96</v>
      </c>
      <c r="U1312" s="4" t="n">
        <f aca="false">(M1312+N1312+O1312+P1312)/L1312</f>
        <v>0.087752710225608</v>
      </c>
      <c r="V1312" s="2" t="str">
        <f aca="false">IF(S1312&lt;=5,"Late night (0-5)",IF(S1312&lt;=11,"Morning (6-11)",IF(S1312&lt;=17,"Afternoon (12-17)","Evening (18-23)")))</f>
        <v>Late night (0-5)</v>
      </c>
    </row>
    <row r="1313" customFormat="false" ht="15" hidden="false" customHeight="false" outlineLevel="0" collapsed="false">
      <c r="A1313" s="2" t="s">
        <v>2279</v>
      </c>
      <c r="B1313" s="2" t="s">
        <v>154</v>
      </c>
      <c r="C1313" s="2" t="s">
        <v>41</v>
      </c>
      <c r="D1313" s="3" t="n">
        <v>45826</v>
      </c>
      <c r="E1313" s="2" t="s">
        <v>284</v>
      </c>
      <c r="F1313" s="2" t="s">
        <v>38</v>
      </c>
      <c r="G1313" s="2" t="n">
        <v>33644</v>
      </c>
      <c r="H1313" s="2" t="n">
        <v>8</v>
      </c>
      <c r="I1313" s="2" t="n">
        <v>195</v>
      </c>
      <c r="J1313" s="2" t="n">
        <v>0</v>
      </c>
      <c r="K1313" s="2" t="n">
        <v>15772</v>
      </c>
      <c r="L1313" s="2" t="n">
        <v>10006</v>
      </c>
      <c r="M1313" s="2" t="n">
        <v>532</v>
      </c>
      <c r="N1313" s="2" t="n">
        <v>22</v>
      </c>
      <c r="O1313" s="2" t="n">
        <v>29</v>
      </c>
      <c r="P1313" s="2" t="n">
        <v>105</v>
      </c>
      <c r="Q1313" s="2" t="n">
        <v>200</v>
      </c>
      <c r="R1313" s="2" t="n">
        <v>27</v>
      </c>
      <c r="S1313" s="2" t="n">
        <v>23</v>
      </c>
      <c r="T1313" s="2" t="s">
        <v>66</v>
      </c>
      <c r="U1313" s="4" t="n">
        <f aca="false">(M1313+N1313+O1313+P1313)/L1313</f>
        <v>0.0687587447531481</v>
      </c>
      <c r="V1313" s="2" t="str">
        <f aca="false">IF(S1313&lt;=5,"Late night (0-5)",IF(S1313&lt;=11,"Morning (6-11)",IF(S1313&lt;=17,"Afternoon (12-17)","Evening (18-23)")))</f>
        <v>Evening (18-23)</v>
      </c>
    </row>
    <row r="1314" customFormat="false" ht="15" hidden="false" customHeight="false" outlineLevel="0" collapsed="false">
      <c r="A1314" s="2" t="s">
        <v>2280</v>
      </c>
      <c r="B1314" s="2" t="s">
        <v>374</v>
      </c>
      <c r="C1314" s="2" t="s">
        <v>24</v>
      </c>
      <c r="D1314" s="3" t="n">
        <v>45913</v>
      </c>
      <c r="E1314" s="2" t="s">
        <v>325</v>
      </c>
      <c r="F1314" s="2" t="s">
        <v>38</v>
      </c>
      <c r="G1314" s="2" t="n">
        <v>9509</v>
      </c>
      <c r="H1314" s="2" t="n">
        <v>14</v>
      </c>
      <c r="I1314" s="2" t="n">
        <v>346</v>
      </c>
      <c r="J1314" s="2" t="n">
        <v>0</v>
      </c>
      <c r="K1314" s="2" t="n">
        <v>10478</v>
      </c>
      <c r="L1314" s="2" t="n">
        <v>6922</v>
      </c>
      <c r="M1314" s="2" t="n">
        <v>448</v>
      </c>
      <c r="N1314" s="2" t="n">
        <v>26</v>
      </c>
      <c r="O1314" s="2" t="n">
        <v>85</v>
      </c>
      <c r="P1314" s="2" t="n">
        <v>77</v>
      </c>
      <c r="Q1314" s="2" t="n">
        <v>48</v>
      </c>
      <c r="R1314" s="2" t="n">
        <v>8</v>
      </c>
      <c r="S1314" s="2" t="n">
        <v>7</v>
      </c>
      <c r="T1314" s="2" t="s">
        <v>62</v>
      </c>
      <c r="U1314" s="4" t="n">
        <f aca="false">(M1314+N1314+O1314+P1314)/L1314</f>
        <v>0.0918809592603294</v>
      </c>
      <c r="V1314" s="2" t="str">
        <f aca="false">IF(S1314&lt;=5,"Late night (0-5)",IF(S1314&lt;=11,"Morning (6-11)",IF(S1314&lt;=17,"Afternoon (12-17)","Evening (18-23)")))</f>
        <v>Morning (6-11)</v>
      </c>
    </row>
    <row r="1315" customFormat="false" ht="15" hidden="false" customHeight="false" outlineLevel="0" collapsed="false">
      <c r="A1315" s="2" t="s">
        <v>2281</v>
      </c>
      <c r="B1315" s="2" t="s">
        <v>123</v>
      </c>
      <c r="C1315" s="2" t="s">
        <v>24</v>
      </c>
      <c r="D1315" s="3" t="n">
        <v>45770</v>
      </c>
      <c r="E1315" s="2" t="s">
        <v>2282</v>
      </c>
      <c r="F1315" s="2" t="s">
        <v>32</v>
      </c>
      <c r="G1315" s="2" t="n">
        <v>41391</v>
      </c>
      <c r="H1315" s="2" t="n">
        <v>20</v>
      </c>
      <c r="I1315" s="2" t="n">
        <v>10</v>
      </c>
      <c r="J1315" s="2" t="n">
        <v>1</v>
      </c>
      <c r="K1315" s="2" t="n">
        <v>139610</v>
      </c>
      <c r="L1315" s="2" t="n">
        <v>104816</v>
      </c>
      <c r="M1315" s="2" t="n">
        <v>4982</v>
      </c>
      <c r="N1315" s="2" t="n">
        <v>203</v>
      </c>
      <c r="O1315" s="2" t="n">
        <v>533</v>
      </c>
      <c r="P1315" s="2" t="n">
        <v>325</v>
      </c>
      <c r="Q1315" s="2" t="n">
        <v>2805</v>
      </c>
      <c r="R1315" s="2" t="n">
        <v>354</v>
      </c>
      <c r="S1315" s="2" t="n">
        <v>6</v>
      </c>
      <c r="T1315" s="2" t="s">
        <v>66</v>
      </c>
      <c r="U1315" s="4" t="n">
        <f aca="false">(M1315+N1315+O1315+P1315)/L1315</f>
        <v>0.0576534116928713</v>
      </c>
      <c r="V1315" s="2" t="str">
        <f aca="false">IF(S1315&lt;=5,"Late night (0-5)",IF(S1315&lt;=11,"Morning (6-11)",IF(S1315&lt;=17,"Afternoon (12-17)","Evening (18-23)")))</f>
        <v>Morning (6-11)</v>
      </c>
    </row>
    <row r="1316" customFormat="false" ht="15" hidden="false" customHeight="false" outlineLevel="0" collapsed="false">
      <c r="A1316" s="2" t="s">
        <v>2283</v>
      </c>
      <c r="B1316" s="2" t="s">
        <v>123</v>
      </c>
      <c r="C1316" s="2" t="s">
        <v>24</v>
      </c>
      <c r="D1316" s="3" t="n">
        <v>45896</v>
      </c>
      <c r="E1316" s="2" t="s">
        <v>492</v>
      </c>
      <c r="F1316" s="2" t="s">
        <v>26</v>
      </c>
      <c r="G1316" s="2" t="n">
        <v>41391</v>
      </c>
      <c r="H1316" s="2" t="n">
        <v>12</v>
      </c>
      <c r="I1316" s="2" t="n">
        <v>80</v>
      </c>
      <c r="J1316" s="2" t="n">
        <v>0</v>
      </c>
      <c r="K1316" s="2" t="n">
        <v>35003</v>
      </c>
      <c r="L1316" s="2" t="n">
        <v>28226</v>
      </c>
      <c r="M1316" s="2" t="n">
        <v>1376</v>
      </c>
      <c r="N1316" s="2" t="n">
        <v>100</v>
      </c>
      <c r="O1316" s="2" t="n">
        <v>149</v>
      </c>
      <c r="P1316" s="2" t="n">
        <v>249</v>
      </c>
      <c r="Q1316" s="2" t="n">
        <v>167</v>
      </c>
      <c r="R1316" s="2" t="n">
        <v>25</v>
      </c>
      <c r="S1316" s="2" t="n">
        <v>12</v>
      </c>
      <c r="T1316" s="2" t="s">
        <v>66</v>
      </c>
      <c r="U1316" s="4" t="n">
        <f aca="false">(M1316+N1316+O1316+P1316)/L1316</f>
        <v>0.0663926875929994</v>
      </c>
      <c r="V1316" s="2" t="str">
        <f aca="false">IF(S1316&lt;=5,"Late night (0-5)",IF(S1316&lt;=11,"Morning (6-11)",IF(S1316&lt;=17,"Afternoon (12-17)","Evening (18-23)")))</f>
        <v>Afternoon (12-17)</v>
      </c>
    </row>
    <row r="1317" customFormat="false" ht="15" hidden="false" customHeight="false" outlineLevel="0" collapsed="false">
      <c r="A1317" s="2" t="s">
        <v>2284</v>
      </c>
      <c r="B1317" s="2" t="s">
        <v>106</v>
      </c>
      <c r="C1317" s="2" t="s">
        <v>91</v>
      </c>
      <c r="D1317" s="3" t="n">
        <v>45767</v>
      </c>
      <c r="E1317" s="2" t="s">
        <v>1248</v>
      </c>
      <c r="F1317" s="2" t="s">
        <v>26</v>
      </c>
      <c r="G1317" s="2" t="n">
        <v>59477</v>
      </c>
      <c r="H1317" s="2" t="n">
        <v>15</v>
      </c>
      <c r="I1317" s="2" t="n">
        <v>10</v>
      </c>
      <c r="J1317" s="2" t="n">
        <v>1</v>
      </c>
      <c r="K1317" s="2" t="n">
        <v>50813</v>
      </c>
      <c r="L1317" s="2" t="n">
        <v>28490</v>
      </c>
      <c r="M1317" s="2" t="n">
        <v>1173</v>
      </c>
      <c r="N1317" s="2" t="n">
        <v>44</v>
      </c>
      <c r="O1317" s="2" t="n">
        <v>41</v>
      </c>
      <c r="P1317" s="2" t="n">
        <v>242</v>
      </c>
      <c r="Q1317" s="2" t="n">
        <v>285</v>
      </c>
      <c r="R1317" s="2" t="n">
        <v>62</v>
      </c>
      <c r="S1317" s="2" t="n">
        <v>11</v>
      </c>
      <c r="T1317" s="2" t="s">
        <v>27</v>
      </c>
      <c r="U1317" s="4" t="n">
        <f aca="false">(M1317+N1317+O1317+P1317)/L1317</f>
        <v>0.0526500526500527</v>
      </c>
      <c r="V1317" s="2" t="str">
        <f aca="false">IF(S1317&lt;=5,"Late night (0-5)",IF(S1317&lt;=11,"Morning (6-11)",IF(S1317&lt;=17,"Afternoon (12-17)","Evening (18-23)")))</f>
        <v>Morning (6-11)</v>
      </c>
    </row>
    <row r="1318" customFormat="false" ht="15" hidden="false" customHeight="false" outlineLevel="0" collapsed="false">
      <c r="A1318" s="2" t="s">
        <v>2285</v>
      </c>
      <c r="B1318" s="2" t="s">
        <v>227</v>
      </c>
      <c r="C1318" s="2" t="s">
        <v>54</v>
      </c>
      <c r="D1318" s="3" t="n">
        <v>45667</v>
      </c>
      <c r="E1318" s="2" t="s">
        <v>2286</v>
      </c>
      <c r="F1318" s="2" t="s">
        <v>32</v>
      </c>
      <c r="G1318" s="2" t="n">
        <v>11796</v>
      </c>
      <c r="H1318" s="2" t="n">
        <v>18</v>
      </c>
      <c r="I1318" s="2" t="n">
        <v>349</v>
      </c>
      <c r="J1318" s="2" t="n">
        <v>1</v>
      </c>
      <c r="K1318" s="2" t="n">
        <v>10521</v>
      </c>
      <c r="L1318" s="2" t="n">
        <v>6887</v>
      </c>
      <c r="M1318" s="2" t="n">
        <v>521</v>
      </c>
      <c r="N1318" s="2" t="n">
        <v>34</v>
      </c>
      <c r="O1318" s="2" t="n">
        <v>155</v>
      </c>
      <c r="P1318" s="2" t="n">
        <v>32</v>
      </c>
      <c r="Q1318" s="2" t="n">
        <v>140</v>
      </c>
      <c r="R1318" s="2" t="n">
        <v>32</v>
      </c>
      <c r="S1318" s="2" t="n">
        <v>1</v>
      </c>
      <c r="T1318" s="2" t="s">
        <v>96</v>
      </c>
      <c r="U1318" s="4" t="n">
        <f aca="false">(M1318+N1318+O1318+P1318)/L1318</f>
        <v>0.107739218818063</v>
      </c>
      <c r="V1318" s="2" t="str">
        <f aca="false">IF(S1318&lt;=5,"Late night (0-5)",IF(S1318&lt;=11,"Morning (6-11)",IF(S1318&lt;=17,"Afternoon (12-17)","Evening (18-23)")))</f>
        <v>Late night (0-5)</v>
      </c>
    </row>
    <row r="1319" customFormat="false" ht="15" hidden="false" customHeight="false" outlineLevel="0" collapsed="false">
      <c r="A1319" s="2" t="s">
        <v>2287</v>
      </c>
      <c r="B1319" s="2" t="s">
        <v>53</v>
      </c>
      <c r="C1319" s="2" t="s">
        <v>54</v>
      </c>
      <c r="D1319" s="3" t="n">
        <v>45754</v>
      </c>
      <c r="E1319" s="2" t="s">
        <v>2045</v>
      </c>
      <c r="F1319" s="2" t="s">
        <v>38</v>
      </c>
      <c r="G1319" s="2" t="n">
        <v>11318</v>
      </c>
      <c r="H1319" s="2" t="n">
        <v>22</v>
      </c>
      <c r="I1319" s="2" t="n">
        <v>153</v>
      </c>
      <c r="J1319" s="2" t="n">
        <v>0</v>
      </c>
      <c r="K1319" s="2" t="n">
        <v>6032</v>
      </c>
      <c r="L1319" s="2" t="n">
        <v>5106</v>
      </c>
      <c r="M1319" s="2" t="n">
        <v>306</v>
      </c>
      <c r="N1319" s="2" t="n">
        <v>15</v>
      </c>
      <c r="O1319" s="2" t="n">
        <v>49</v>
      </c>
      <c r="P1319" s="2" t="n">
        <v>36</v>
      </c>
      <c r="Q1319" s="2" t="n">
        <v>39</v>
      </c>
      <c r="R1319" s="2" t="n">
        <v>8</v>
      </c>
      <c r="S1319" s="2" t="n">
        <v>17</v>
      </c>
      <c r="T1319" s="2" t="s">
        <v>33</v>
      </c>
      <c r="U1319" s="4" t="n">
        <f aca="false">(M1319+N1319+O1319+P1319)/L1319</f>
        <v>0.0795142969056013</v>
      </c>
      <c r="V1319" s="2" t="str">
        <f aca="false">IF(S1319&lt;=5,"Late night (0-5)",IF(S1319&lt;=11,"Morning (6-11)",IF(S1319&lt;=17,"Afternoon (12-17)","Evening (18-23)")))</f>
        <v>Afternoon (12-17)</v>
      </c>
    </row>
    <row r="1320" customFormat="false" ht="15" hidden="false" customHeight="false" outlineLevel="0" collapsed="false">
      <c r="A1320" s="2" t="s">
        <v>2288</v>
      </c>
      <c r="B1320" s="2" t="s">
        <v>148</v>
      </c>
      <c r="C1320" s="2" t="s">
        <v>48</v>
      </c>
      <c r="D1320" s="3" t="n">
        <v>45939</v>
      </c>
      <c r="E1320" s="2" t="s">
        <v>179</v>
      </c>
      <c r="F1320" s="2" t="s">
        <v>38</v>
      </c>
      <c r="G1320" s="2" t="n">
        <v>46311</v>
      </c>
      <c r="H1320" s="2" t="n">
        <v>18</v>
      </c>
      <c r="I1320" s="2" t="n">
        <v>163</v>
      </c>
      <c r="J1320" s="2" t="n">
        <v>0</v>
      </c>
      <c r="K1320" s="2" t="n">
        <v>26787</v>
      </c>
      <c r="L1320" s="2" t="n">
        <v>19819</v>
      </c>
      <c r="M1320" s="2" t="n">
        <v>1071</v>
      </c>
      <c r="N1320" s="2" t="n">
        <v>40</v>
      </c>
      <c r="O1320" s="2" t="n">
        <v>32</v>
      </c>
      <c r="P1320" s="2" t="n">
        <v>116</v>
      </c>
      <c r="Q1320" s="2" t="n">
        <v>266</v>
      </c>
      <c r="R1320" s="2" t="n">
        <v>34</v>
      </c>
      <c r="S1320" s="2" t="n">
        <v>3</v>
      </c>
      <c r="T1320" s="2" t="s">
        <v>79</v>
      </c>
      <c r="U1320" s="4" t="n">
        <f aca="false">(M1320+N1320+O1320+P1320)/L1320</f>
        <v>0.0635249003481508</v>
      </c>
      <c r="V1320" s="2" t="str">
        <f aca="false">IF(S1320&lt;=5,"Late night (0-5)",IF(S1320&lt;=11,"Morning (6-11)",IF(S1320&lt;=17,"Afternoon (12-17)","Evening (18-23)")))</f>
        <v>Late night (0-5)</v>
      </c>
    </row>
    <row r="1321" customFormat="false" ht="15" hidden="false" customHeight="false" outlineLevel="0" collapsed="false">
      <c r="A1321" s="2" t="s">
        <v>2289</v>
      </c>
      <c r="B1321" s="2" t="s">
        <v>154</v>
      </c>
      <c r="C1321" s="2" t="s">
        <v>41</v>
      </c>
      <c r="D1321" s="3" t="n">
        <v>45759</v>
      </c>
      <c r="E1321" s="2" t="s">
        <v>2290</v>
      </c>
      <c r="F1321" s="2" t="s">
        <v>38</v>
      </c>
      <c r="G1321" s="2" t="n">
        <v>33644</v>
      </c>
      <c r="H1321" s="2" t="n">
        <v>9</v>
      </c>
      <c r="I1321" s="2" t="n">
        <v>70</v>
      </c>
      <c r="J1321" s="2" t="n">
        <v>1</v>
      </c>
      <c r="K1321" s="2" t="n">
        <v>51884</v>
      </c>
      <c r="L1321" s="2" t="n">
        <v>36995</v>
      </c>
      <c r="M1321" s="2" t="n">
        <v>1428</v>
      </c>
      <c r="N1321" s="2" t="n">
        <v>110</v>
      </c>
      <c r="O1321" s="2" t="n">
        <v>78</v>
      </c>
      <c r="P1321" s="2" t="n">
        <v>257</v>
      </c>
      <c r="Q1321" s="2" t="n">
        <v>367</v>
      </c>
      <c r="R1321" s="2" t="n">
        <v>25</v>
      </c>
      <c r="S1321" s="2" t="n">
        <v>22</v>
      </c>
      <c r="T1321" s="2" t="s">
        <v>62</v>
      </c>
      <c r="U1321" s="4" t="n">
        <f aca="false">(M1321+N1321+O1321+P1321)/L1321</f>
        <v>0.0506284633058521</v>
      </c>
      <c r="V1321" s="2" t="str">
        <f aca="false">IF(S1321&lt;=5,"Late night (0-5)",IF(S1321&lt;=11,"Morning (6-11)",IF(S1321&lt;=17,"Afternoon (12-17)","Evening (18-23)")))</f>
        <v>Evening (18-23)</v>
      </c>
    </row>
    <row r="1322" customFormat="false" ht="15" hidden="false" customHeight="false" outlineLevel="0" collapsed="false">
      <c r="A1322" s="2" t="s">
        <v>2291</v>
      </c>
      <c r="B1322" s="2" t="s">
        <v>181</v>
      </c>
      <c r="C1322" s="2" t="s">
        <v>91</v>
      </c>
      <c r="D1322" s="3" t="n">
        <v>45861</v>
      </c>
      <c r="E1322" s="2" t="s">
        <v>361</v>
      </c>
      <c r="F1322" s="2" t="s">
        <v>32</v>
      </c>
      <c r="G1322" s="2" t="n">
        <v>31658</v>
      </c>
      <c r="H1322" s="2" t="n">
        <v>14</v>
      </c>
      <c r="I1322" s="2" t="n">
        <v>111</v>
      </c>
      <c r="J1322" s="2" t="n">
        <v>0</v>
      </c>
      <c r="K1322" s="2" t="n">
        <v>25823</v>
      </c>
      <c r="L1322" s="2" t="n">
        <v>18451</v>
      </c>
      <c r="M1322" s="2" t="n">
        <v>1821</v>
      </c>
      <c r="N1322" s="2" t="n">
        <v>110</v>
      </c>
      <c r="O1322" s="2" t="n">
        <v>471</v>
      </c>
      <c r="P1322" s="2" t="n">
        <v>417</v>
      </c>
      <c r="Q1322" s="2" t="n">
        <v>160</v>
      </c>
      <c r="R1322" s="2" t="n">
        <v>47</v>
      </c>
      <c r="S1322" s="2" t="n">
        <v>18</v>
      </c>
      <c r="T1322" s="2" t="s">
        <v>66</v>
      </c>
      <c r="U1322" s="4" t="n">
        <f aca="false">(M1322+N1322+O1322+P1322)/L1322</f>
        <v>0.152783046989323</v>
      </c>
      <c r="V1322" s="2" t="str">
        <f aca="false">IF(S1322&lt;=5,"Late night (0-5)",IF(S1322&lt;=11,"Morning (6-11)",IF(S1322&lt;=17,"Afternoon (12-17)","Evening (18-23)")))</f>
        <v>Evening (18-23)</v>
      </c>
    </row>
    <row r="1323" customFormat="false" ht="15" hidden="false" customHeight="false" outlineLevel="0" collapsed="false">
      <c r="A1323" s="2" t="s">
        <v>2292</v>
      </c>
      <c r="B1323" s="2" t="s">
        <v>114</v>
      </c>
      <c r="C1323" s="2" t="s">
        <v>84</v>
      </c>
      <c r="D1323" s="3" t="n">
        <v>45800</v>
      </c>
      <c r="E1323" s="2" t="s">
        <v>590</v>
      </c>
      <c r="F1323" s="2" t="s">
        <v>38</v>
      </c>
      <c r="G1323" s="2" t="n">
        <v>64307</v>
      </c>
      <c r="H1323" s="2" t="n">
        <v>6</v>
      </c>
      <c r="I1323" s="2" t="n">
        <v>242</v>
      </c>
      <c r="J1323" s="2" t="n">
        <v>1</v>
      </c>
      <c r="K1323" s="2" t="n">
        <v>155522</v>
      </c>
      <c r="L1323" s="2" t="n">
        <v>89551</v>
      </c>
      <c r="M1323" s="2" t="n">
        <v>5761</v>
      </c>
      <c r="N1323" s="2" t="n">
        <v>273</v>
      </c>
      <c r="O1323" s="2" t="n">
        <v>905</v>
      </c>
      <c r="P1323" s="2" t="n">
        <v>1587</v>
      </c>
      <c r="Q1323" s="2" t="n">
        <v>1036</v>
      </c>
      <c r="R1323" s="2" t="n">
        <v>285</v>
      </c>
      <c r="S1323" s="2" t="n">
        <v>21</v>
      </c>
      <c r="T1323" s="2" t="s">
        <v>96</v>
      </c>
      <c r="U1323" s="4" t="n">
        <f aca="false">(M1323+N1323+O1323+P1323)/L1323</f>
        <v>0.0952083170483858</v>
      </c>
      <c r="V1323" s="2" t="str">
        <f aca="false">IF(S1323&lt;=5,"Late night (0-5)",IF(S1323&lt;=11,"Morning (6-11)",IF(S1323&lt;=17,"Afternoon (12-17)","Evening (18-23)")))</f>
        <v>Evening (18-23)</v>
      </c>
    </row>
    <row r="1324" customFormat="false" ht="15" hidden="false" customHeight="false" outlineLevel="0" collapsed="false">
      <c r="A1324" s="2" t="s">
        <v>2293</v>
      </c>
      <c r="B1324" s="2" t="s">
        <v>44</v>
      </c>
      <c r="C1324" s="2" t="s">
        <v>36</v>
      </c>
      <c r="D1324" s="3" t="n">
        <v>45963</v>
      </c>
      <c r="E1324" s="2" t="s">
        <v>2294</v>
      </c>
      <c r="F1324" s="2" t="s">
        <v>32</v>
      </c>
      <c r="G1324" s="2" t="n">
        <v>6265</v>
      </c>
      <c r="H1324" s="2" t="n">
        <v>12</v>
      </c>
      <c r="I1324" s="2" t="n">
        <v>214</v>
      </c>
      <c r="J1324" s="2" t="n">
        <v>0</v>
      </c>
      <c r="K1324" s="2" t="n">
        <v>11600</v>
      </c>
      <c r="L1324" s="2" t="n">
        <v>9381</v>
      </c>
      <c r="M1324" s="2" t="n">
        <v>989</v>
      </c>
      <c r="N1324" s="2" t="n">
        <v>21</v>
      </c>
      <c r="O1324" s="2" t="n">
        <v>166</v>
      </c>
      <c r="P1324" s="2" t="n">
        <v>248</v>
      </c>
      <c r="Q1324" s="2" t="n">
        <v>228</v>
      </c>
      <c r="R1324" s="2" t="n">
        <v>22</v>
      </c>
      <c r="S1324" s="2" t="n">
        <v>5</v>
      </c>
      <c r="T1324" s="2" t="s">
        <v>27</v>
      </c>
      <c r="U1324" s="4" t="n">
        <f aca="false">(M1324+N1324+O1324+P1324)/L1324</f>
        <v>0.151796183775717</v>
      </c>
      <c r="V1324" s="2" t="str">
        <f aca="false">IF(S1324&lt;=5,"Late night (0-5)",IF(S1324&lt;=11,"Morning (6-11)",IF(S1324&lt;=17,"Afternoon (12-17)","Evening (18-23)")))</f>
        <v>Late night (0-5)</v>
      </c>
    </row>
    <row r="1325" customFormat="false" ht="15" hidden="false" customHeight="false" outlineLevel="0" collapsed="false">
      <c r="A1325" s="2" t="s">
        <v>2295</v>
      </c>
      <c r="B1325" s="2" t="s">
        <v>129</v>
      </c>
      <c r="C1325" s="2" t="s">
        <v>54</v>
      </c>
      <c r="D1325" s="3" t="n">
        <v>45822</v>
      </c>
      <c r="E1325" s="2" t="s">
        <v>1238</v>
      </c>
      <c r="F1325" s="2" t="s">
        <v>26</v>
      </c>
      <c r="G1325" s="2" t="n">
        <v>10312</v>
      </c>
      <c r="H1325" s="2" t="n">
        <v>17</v>
      </c>
      <c r="I1325" s="2" t="n">
        <v>182</v>
      </c>
      <c r="J1325" s="2" t="n">
        <v>0</v>
      </c>
      <c r="K1325" s="2" t="n">
        <v>8903</v>
      </c>
      <c r="L1325" s="2" t="n">
        <v>7251</v>
      </c>
      <c r="M1325" s="2" t="n">
        <v>357</v>
      </c>
      <c r="N1325" s="2" t="n">
        <v>21</v>
      </c>
      <c r="O1325" s="2" t="n">
        <v>51</v>
      </c>
      <c r="P1325" s="2" t="n">
        <v>79</v>
      </c>
      <c r="Q1325" s="2" t="n">
        <v>77</v>
      </c>
      <c r="R1325" s="2" t="n">
        <v>17</v>
      </c>
      <c r="S1325" s="2" t="n">
        <v>0</v>
      </c>
      <c r="T1325" s="2" t="s">
        <v>62</v>
      </c>
      <c r="U1325" s="4" t="n">
        <f aca="false">(M1325+N1325+O1325+P1325)/L1325</f>
        <v>0.0700593021652186</v>
      </c>
      <c r="V1325" s="2" t="str">
        <f aca="false">IF(S1325&lt;=5,"Late night (0-5)",IF(S1325&lt;=11,"Morning (6-11)",IF(S1325&lt;=17,"Afternoon (12-17)","Evening (18-23)")))</f>
        <v>Late night (0-5)</v>
      </c>
    </row>
    <row r="1326" customFormat="false" ht="15" hidden="false" customHeight="false" outlineLevel="0" collapsed="false">
      <c r="A1326" s="2" t="s">
        <v>2296</v>
      </c>
      <c r="B1326" s="2" t="s">
        <v>40</v>
      </c>
      <c r="C1326" s="2" t="s">
        <v>41</v>
      </c>
      <c r="D1326" s="3" t="n">
        <v>45790</v>
      </c>
      <c r="E1326" s="2" t="s">
        <v>2297</v>
      </c>
      <c r="F1326" s="2" t="s">
        <v>38</v>
      </c>
      <c r="G1326" s="2" t="n">
        <v>23051</v>
      </c>
      <c r="H1326" s="2" t="n">
        <v>2</v>
      </c>
      <c r="I1326" s="2" t="n">
        <v>364</v>
      </c>
      <c r="J1326" s="2" t="n">
        <v>1</v>
      </c>
      <c r="K1326" s="2" t="n">
        <v>45484</v>
      </c>
      <c r="L1326" s="2" t="n">
        <v>33910</v>
      </c>
      <c r="M1326" s="2" t="n">
        <v>1813</v>
      </c>
      <c r="N1326" s="2" t="n">
        <v>96</v>
      </c>
      <c r="O1326" s="2" t="n">
        <v>126</v>
      </c>
      <c r="P1326" s="2" t="n">
        <v>191</v>
      </c>
      <c r="Q1326" s="2" t="n">
        <v>492</v>
      </c>
      <c r="R1326" s="2" t="n">
        <v>107</v>
      </c>
      <c r="S1326" s="2" t="n">
        <v>22</v>
      </c>
      <c r="T1326" s="2" t="s">
        <v>51</v>
      </c>
      <c r="U1326" s="4" t="n">
        <f aca="false">(M1326+N1326+O1326+P1326)/L1326</f>
        <v>0.0656443526983191</v>
      </c>
      <c r="V1326" s="2" t="str">
        <f aca="false">IF(S1326&lt;=5,"Late night (0-5)",IF(S1326&lt;=11,"Morning (6-11)",IF(S1326&lt;=17,"Afternoon (12-17)","Evening (18-23)")))</f>
        <v>Evening (18-23)</v>
      </c>
    </row>
    <row r="1327" customFormat="false" ht="15" hidden="false" customHeight="false" outlineLevel="0" collapsed="false">
      <c r="A1327" s="2" t="s">
        <v>2298</v>
      </c>
      <c r="B1327" s="2" t="s">
        <v>35</v>
      </c>
      <c r="C1327" s="2" t="s">
        <v>36</v>
      </c>
      <c r="D1327" s="3" t="n">
        <v>45663</v>
      </c>
      <c r="E1327" s="2" t="s">
        <v>297</v>
      </c>
      <c r="F1327" s="2" t="s">
        <v>32</v>
      </c>
      <c r="G1327" s="2" t="n">
        <v>33933</v>
      </c>
      <c r="H1327" s="2" t="n">
        <v>20</v>
      </c>
      <c r="I1327" s="2" t="n">
        <v>205</v>
      </c>
      <c r="J1327" s="2" t="n">
        <v>0</v>
      </c>
      <c r="K1327" s="2" t="n">
        <v>29733</v>
      </c>
      <c r="L1327" s="2" t="n">
        <v>17118</v>
      </c>
      <c r="M1327" s="2" t="n">
        <v>1271</v>
      </c>
      <c r="N1327" s="2" t="n">
        <v>70</v>
      </c>
      <c r="O1327" s="2" t="n">
        <v>222</v>
      </c>
      <c r="P1327" s="2" t="n">
        <v>74</v>
      </c>
      <c r="Q1327" s="2" t="n">
        <v>298</v>
      </c>
      <c r="R1327" s="2" t="n">
        <v>34</v>
      </c>
      <c r="S1327" s="2" t="n">
        <v>2</v>
      </c>
      <c r="T1327" s="2" t="s">
        <v>33</v>
      </c>
      <c r="U1327" s="4" t="n">
        <f aca="false">(M1327+N1327+O1327+P1327)/L1327</f>
        <v>0.0956303306461035</v>
      </c>
      <c r="V1327" s="2" t="str">
        <f aca="false">IF(S1327&lt;=5,"Late night (0-5)",IF(S1327&lt;=11,"Morning (6-11)",IF(S1327&lt;=17,"Afternoon (12-17)","Evening (18-23)")))</f>
        <v>Late night (0-5)</v>
      </c>
    </row>
    <row r="1328" customFormat="false" ht="15" hidden="false" customHeight="false" outlineLevel="0" collapsed="false">
      <c r="A1328" s="2" t="s">
        <v>2299</v>
      </c>
      <c r="B1328" s="2" t="s">
        <v>371</v>
      </c>
      <c r="C1328" s="2" t="s">
        <v>48</v>
      </c>
      <c r="D1328" s="3" t="n">
        <v>45716</v>
      </c>
      <c r="E1328" s="2" t="s">
        <v>2005</v>
      </c>
      <c r="F1328" s="2" t="s">
        <v>38</v>
      </c>
      <c r="G1328" s="2" t="n">
        <v>42479</v>
      </c>
      <c r="H1328" s="2" t="n">
        <v>4</v>
      </c>
      <c r="I1328" s="2" t="n">
        <v>145</v>
      </c>
      <c r="J1328" s="2" t="n">
        <v>0</v>
      </c>
      <c r="K1328" s="2" t="n">
        <v>28421</v>
      </c>
      <c r="L1328" s="2" t="n">
        <v>23394</v>
      </c>
      <c r="M1328" s="2" t="n">
        <v>1270</v>
      </c>
      <c r="N1328" s="2" t="n">
        <v>50</v>
      </c>
      <c r="O1328" s="2" t="n">
        <v>201</v>
      </c>
      <c r="P1328" s="2" t="n">
        <v>300</v>
      </c>
      <c r="Q1328" s="2" t="n">
        <v>401</v>
      </c>
      <c r="R1328" s="2" t="n">
        <v>21</v>
      </c>
      <c r="S1328" s="2" t="n">
        <v>9</v>
      </c>
      <c r="T1328" s="2" t="s">
        <v>96</v>
      </c>
      <c r="U1328" s="4" t="n">
        <f aca="false">(M1328+N1328+O1328+P1328)/L1328</f>
        <v>0.0778404719158759</v>
      </c>
      <c r="V1328" s="2" t="str">
        <f aca="false">IF(S1328&lt;=5,"Late night (0-5)",IF(S1328&lt;=11,"Morning (6-11)",IF(S1328&lt;=17,"Afternoon (12-17)","Evening (18-23)")))</f>
        <v>Morning (6-11)</v>
      </c>
    </row>
    <row r="1329" customFormat="false" ht="15" hidden="false" customHeight="false" outlineLevel="0" collapsed="false">
      <c r="A1329" s="2" t="s">
        <v>2300</v>
      </c>
      <c r="B1329" s="2" t="s">
        <v>126</v>
      </c>
      <c r="C1329" s="2" t="s">
        <v>36</v>
      </c>
      <c r="D1329" s="3" t="n">
        <v>45862</v>
      </c>
      <c r="E1329" s="2" t="s">
        <v>2290</v>
      </c>
      <c r="F1329" s="2" t="s">
        <v>26</v>
      </c>
      <c r="G1329" s="2" t="n">
        <v>28784</v>
      </c>
      <c r="H1329" s="2" t="n">
        <v>13</v>
      </c>
      <c r="I1329" s="2" t="n">
        <v>273</v>
      </c>
      <c r="J1329" s="2" t="n">
        <v>0</v>
      </c>
      <c r="K1329" s="2" t="n">
        <v>39393</v>
      </c>
      <c r="L1329" s="2" t="n">
        <v>32419</v>
      </c>
      <c r="M1329" s="2" t="n">
        <v>1769</v>
      </c>
      <c r="N1329" s="2" t="n">
        <v>128</v>
      </c>
      <c r="O1329" s="2" t="n">
        <v>173</v>
      </c>
      <c r="P1329" s="2" t="n">
        <v>190</v>
      </c>
      <c r="Q1329" s="2" t="n">
        <v>960</v>
      </c>
      <c r="R1329" s="2" t="n">
        <v>167</v>
      </c>
      <c r="S1329" s="2" t="n">
        <v>22</v>
      </c>
      <c r="T1329" s="2" t="s">
        <v>79</v>
      </c>
      <c r="U1329" s="4" t="n">
        <f aca="false">(M1329+N1329+O1329+P1329)/L1329</f>
        <v>0.0697122058052377</v>
      </c>
      <c r="V1329" s="2" t="str">
        <f aca="false">IF(S1329&lt;=5,"Late night (0-5)",IF(S1329&lt;=11,"Morning (6-11)",IF(S1329&lt;=17,"Afternoon (12-17)","Evening (18-23)")))</f>
        <v>Evening (18-23)</v>
      </c>
    </row>
    <row r="1330" customFormat="false" ht="15" hidden="false" customHeight="false" outlineLevel="0" collapsed="false">
      <c r="A1330" s="2" t="s">
        <v>2301</v>
      </c>
      <c r="B1330" s="2" t="s">
        <v>132</v>
      </c>
      <c r="C1330" s="2" t="s">
        <v>36</v>
      </c>
      <c r="D1330" s="3" t="n">
        <v>45842</v>
      </c>
      <c r="E1330" s="2" t="s">
        <v>710</v>
      </c>
      <c r="F1330" s="2" t="s">
        <v>26</v>
      </c>
      <c r="G1330" s="2" t="n">
        <v>83053</v>
      </c>
      <c r="H1330" s="2" t="n">
        <v>3</v>
      </c>
      <c r="I1330" s="2" t="n">
        <v>76</v>
      </c>
      <c r="J1330" s="2" t="n">
        <v>1</v>
      </c>
      <c r="K1330" s="2" t="n">
        <v>104900</v>
      </c>
      <c r="L1330" s="2" t="n">
        <v>60982</v>
      </c>
      <c r="M1330" s="2" t="n">
        <v>3870</v>
      </c>
      <c r="N1330" s="2" t="n">
        <v>187</v>
      </c>
      <c r="O1330" s="2" t="n">
        <v>412</v>
      </c>
      <c r="P1330" s="2" t="n">
        <v>350</v>
      </c>
      <c r="Q1330" s="2" t="n">
        <v>1665</v>
      </c>
      <c r="R1330" s="2" t="n">
        <v>423</v>
      </c>
      <c r="S1330" s="2" t="n">
        <v>8</v>
      </c>
      <c r="T1330" s="2" t="s">
        <v>96</v>
      </c>
      <c r="U1330" s="4" t="n">
        <f aca="false">(M1330+N1330+O1330+P1330)/L1330</f>
        <v>0.0790233183562363</v>
      </c>
      <c r="V1330" s="2" t="str">
        <f aca="false">IF(S1330&lt;=5,"Late night (0-5)",IF(S1330&lt;=11,"Morning (6-11)",IF(S1330&lt;=17,"Afternoon (12-17)","Evening (18-23)")))</f>
        <v>Morning (6-11)</v>
      </c>
    </row>
    <row r="1331" customFormat="false" ht="15" hidden="false" customHeight="false" outlineLevel="0" collapsed="false">
      <c r="A1331" s="2" t="s">
        <v>2302</v>
      </c>
      <c r="B1331" s="2" t="s">
        <v>138</v>
      </c>
      <c r="C1331" s="2" t="s">
        <v>41</v>
      </c>
      <c r="D1331" s="3" t="n">
        <v>45686</v>
      </c>
      <c r="E1331" s="2" t="s">
        <v>2057</v>
      </c>
      <c r="F1331" s="2" t="s">
        <v>38</v>
      </c>
      <c r="G1331" s="2" t="n">
        <v>18712</v>
      </c>
      <c r="H1331" s="2" t="n">
        <v>25</v>
      </c>
      <c r="I1331" s="2" t="n">
        <v>188</v>
      </c>
      <c r="J1331" s="2" t="n">
        <v>1</v>
      </c>
      <c r="K1331" s="2" t="n">
        <v>31649</v>
      </c>
      <c r="L1331" s="2" t="n">
        <v>20155</v>
      </c>
      <c r="M1331" s="2" t="n">
        <v>1766</v>
      </c>
      <c r="N1331" s="2" t="n">
        <v>74</v>
      </c>
      <c r="O1331" s="2" t="n">
        <v>180</v>
      </c>
      <c r="P1331" s="2" t="n">
        <v>446</v>
      </c>
      <c r="Q1331" s="2" t="n">
        <v>355</v>
      </c>
      <c r="R1331" s="2" t="n">
        <v>83</v>
      </c>
      <c r="S1331" s="2" t="n">
        <v>22</v>
      </c>
      <c r="T1331" s="2" t="s">
        <v>66</v>
      </c>
      <c r="U1331" s="4" t="n">
        <f aca="false">(M1331+N1331+O1331+P1331)/L1331</f>
        <v>0.122351773753411</v>
      </c>
      <c r="V1331" s="2" t="str">
        <f aca="false">IF(S1331&lt;=5,"Late night (0-5)",IF(S1331&lt;=11,"Morning (6-11)",IF(S1331&lt;=17,"Afternoon (12-17)","Evening (18-23)")))</f>
        <v>Evening (18-23)</v>
      </c>
    </row>
    <row r="1332" customFormat="false" ht="15" hidden="false" customHeight="false" outlineLevel="0" collapsed="false">
      <c r="A1332" s="2" t="s">
        <v>2303</v>
      </c>
      <c r="B1332" s="2" t="s">
        <v>53</v>
      </c>
      <c r="C1332" s="2" t="s">
        <v>54</v>
      </c>
      <c r="D1332" s="3" t="n">
        <v>45845</v>
      </c>
      <c r="E1332" s="2" t="s">
        <v>2304</v>
      </c>
      <c r="F1332" s="2" t="s">
        <v>38</v>
      </c>
      <c r="G1332" s="2" t="n">
        <v>11318</v>
      </c>
      <c r="H1332" s="2" t="n">
        <v>6</v>
      </c>
      <c r="I1332" s="2" t="n">
        <v>359</v>
      </c>
      <c r="J1332" s="2" t="n">
        <v>0</v>
      </c>
      <c r="K1332" s="2" t="n">
        <v>15661</v>
      </c>
      <c r="L1332" s="2" t="n">
        <v>10661</v>
      </c>
      <c r="M1332" s="2" t="n">
        <v>358</v>
      </c>
      <c r="N1332" s="2" t="n">
        <v>13</v>
      </c>
      <c r="O1332" s="2" t="n">
        <v>30</v>
      </c>
      <c r="P1332" s="2" t="n">
        <v>53</v>
      </c>
      <c r="Q1332" s="2" t="n">
        <v>306</v>
      </c>
      <c r="R1332" s="2" t="n">
        <v>31</v>
      </c>
      <c r="S1332" s="2" t="n">
        <v>19</v>
      </c>
      <c r="T1332" s="2" t="s">
        <v>33</v>
      </c>
      <c r="U1332" s="4" t="n">
        <f aca="false">(M1332+N1332+O1332+P1332)/L1332</f>
        <v>0.042585123346778</v>
      </c>
      <c r="V1332" s="2" t="str">
        <f aca="false">IF(S1332&lt;=5,"Late night (0-5)",IF(S1332&lt;=11,"Morning (6-11)",IF(S1332&lt;=17,"Afternoon (12-17)","Evening (18-23)")))</f>
        <v>Evening (18-23)</v>
      </c>
    </row>
    <row r="1333" customFormat="false" ht="15" hidden="false" customHeight="false" outlineLevel="0" collapsed="false">
      <c r="A1333" s="2" t="s">
        <v>2305</v>
      </c>
      <c r="B1333" s="2" t="s">
        <v>44</v>
      </c>
      <c r="C1333" s="2" t="s">
        <v>36</v>
      </c>
      <c r="D1333" s="3" t="n">
        <v>45968</v>
      </c>
      <c r="E1333" s="2" t="s">
        <v>2306</v>
      </c>
      <c r="F1333" s="2" t="s">
        <v>38</v>
      </c>
      <c r="G1333" s="2" t="n">
        <v>6265</v>
      </c>
      <c r="H1333" s="2" t="n">
        <v>4</v>
      </c>
      <c r="I1333" s="2" t="n">
        <v>123</v>
      </c>
      <c r="J1333" s="2" t="n">
        <v>1</v>
      </c>
      <c r="K1333" s="2" t="n">
        <v>2312</v>
      </c>
      <c r="L1333" s="2" t="n">
        <v>1289</v>
      </c>
      <c r="M1333" s="2" t="n">
        <v>50</v>
      </c>
      <c r="N1333" s="2" t="n">
        <v>1</v>
      </c>
      <c r="O1333" s="2" t="n">
        <v>9</v>
      </c>
      <c r="P1333" s="2" t="n">
        <v>14</v>
      </c>
      <c r="Q1333" s="2" t="n">
        <v>13</v>
      </c>
      <c r="R1333" s="2" t="n">
        <v>3</v>
      </c>
      <c r="S1333" s="2" t="n">
        <v>23</v>
      </c>
      <c r="T1333" s="2" t="s">
        <v>96</v>
      </c>
      <c r="U1333" s="4" t="n">
        <f aca="false">(M1333+N1333+O1333+P1333)/L1333</f>
        <v>0.0574088440651668</v>
      </c>
      <c r="V1333" s="2" t="str">
        <f aca="false">IF(S1333&lt;=5,"Late night (0-5)",IF(S1333&lt;=11,"Morning (6-11)",IF(S1333&lt;=17,"Afternoon (12-17)","Evening (18-23)")))</f>
        <v>Evening (18-23)</v>
      </c>
    </row>
    <row r="1334" customFormat="false" ht="15" hidden="false" customHeight="false" outlineLevel="0" collapsed="false">
      <c r="A1334" s="2" t="s">
        <v>2307</v>
      </c>
      <c r="B1334" s="2" t="s">
        <v>148</v>
      </c>
      <c r="C1334" s="2" t="s">
        <v>48</v>
      </c>
      <c r="D1334" s="3" t="n">
        <v>45718</v>
      </c>
      <c r="E1334" s="2" t="s">
        <v>520</v>
      </c>
      <c r="F1334" s="2" t="s">
        <v>32</v>
      </c>
      <c r="G1334" s="2" t="n">
        <v>46311</v>
      </c>
      <c r="H1334" s="2" t="n">
        <v>12</v>
      </c>
      <c r="I1334" s="2" t="n">
        <v>65</v>
      </c>
      <c r="J1334" s="2" t="n">
        <v>0</v>
      </c>
      <c r="K1334" s="2" t="n">
        <v>344172</v>
      </c>
      <c r="L1334" s="2" t="n">
        <v>224329</v>
      </c>
      <c r="M1334" s="2" t="n">
        <v>15316</v>
      </c>
      <c r="N1334" s="2" t="n">
        <v>1175</v>
      </c>
      <c r="O1334" s="2" t="n">
        <v>1086</v>
      </c>
      <c r="P1334" s="2" t="n">
        <v>4135</v>
      </c>
      <c r="Q1334" s="2" t="n">
        <v>5608</v>
      </c>
      <c r="R1334" s="2" t="n">
        <v>868</v>
      </c>
      <c r="S1334" s="2" t="n">
        <v>13</v>
      </c>
      <c r="T1334" s="2" t="s">
        <v>27</v>
      </c>
      <c r="U1334" s="4" t="n">
        <f aca="false">(M1334+N1334+O1334+P1334)/L1334</f>
        <v>0.096786416379514</v>
      </c>
      <c r="V1334" s="2" t="str">
        <f aca="false">IF(S1334&lt;=5,"Late night (0-5)",IF(S1334&lt;=11,"Morning (6-11)",IF(S1334&lt;=17,"Afternoon (12-17)","Evening (18-23)")))</f>
        <v>Afternoon (12-17)</v>
      </c>
    </row>
    <row r="1335" customFormat="false" ht="15" hidden="false" customHeight="false" outlineLevel="0" collapsed="false">
      <c r="A1335" s="2" t="s">
        <v>2308</v>
      </c>
      <c r="B1335" s="2" t="s">
        <v>452</v>
      </c>
      <c r="C1335" s="2" t="s">
        <v>91</v>
      </c>
      <c r="D1335" s="3" t="n">
        <v>46009</v>
      </c>
      <c r="E1335" s="2" t="s">
        <v>463</v>
      </c>
      <c r="F1335" s="2" t="s">
        <v>50</v>
      </c>
      <c r="G1335" s="2" t="n">
        <v>14201</v>
      </c>
      <c r="H1335" s="2" t="n">
        <v>1</v>
      </c>
      <c r="I1335" s="2" t="n">
        <v>307</v>
      </c>
      <c r="J1335" s="2" t="n">
        <v>0</v>
      </c>
      <c r="K1335" s="2" t="n">
        <v>7214</v>
      </c>
      <c r="L1335" s="2" t="n">
        <v>5796</v>
      </c>
      <c r="M1335" s="2" t="n">
        <v>375</v>
      </c>
      <c r="N1335" s="2" t="n">
        <v>21</v>
      </c>
      <c r="O1335" s="2" t="n">
        <v>47</v>
      </c>
      <c r="P1335" s="2" t="n">
        <v>36</v>
      </c>
      <c r="Q1335" s="2" t="n">
        <v>133</v>
      </c>
      <c r="R1335" s="2" t="n">
        <v>9</v>
      </c>
      <c r="S1335" s="2" t="n">
        <v>13</v>
      </c>
      <c r="T1335" s="2" t="s">
        <v>79</v>
      </c>
      <c r="U1335" s="4" t="n">
        <f aca="false">(M1335+N1335+O1335+P1335)/L1335</f>
        <v>0.0826432022084196</v>
      </c>
      <c r="V1335" s="2" t="str">
        <f aca="false">IF(S1335&lt;=5,"Late night (0-5)",IF(S1335&lt;=11,"Morning (6-11)",IF(S1335&lt;=17,"Afternoon (12-17)","Evening (18-23)")))</f>
        <v>Afternoon (12-17)</v>
      </c>
    </row>
    <row r="1336" customFormat="false" ht="15" hidden="false" customHeight="false" outlineLevel="0" collapsed="false">
      <c r="A1336" s="2" t="s">
        <v>2309</v>
      </c>
      <c r="B1336" s="2" t="s">
        <v>390</v>
      </c>
      <c r="C1336" s="2" t="s">
        <v>36</v>
      </c>
      <c r="D1336" s="3" t="n">
        <v>45933</v>
      </c>
      <c r="E1336" s="2" t="s">
        <v>2310</v>
      </c>
      <c r="F1336" s="2" t="s">
        <v>32</v>
      </c>
      <c r="G1336" s="2" t="n">
        <v>30232</v>
      </c>
      <c r="H1336" s="2" t="n">
        <v>10</v>
      </c>
      <c r="I1336" s="2" t="n">
        <v>100</v>
      </c>
      <c r="J1336" s="2" t="n">
        <v>0</v>
      </c>
      <c r="K1336" s="2" t="n">
        <v>31956</v>
      </c>
      <c r="L1336" s="2" t="n">
        <v>18019</v>
      </c>
      <c r="M1336" s="2" t="n">
        <v>799</v>
      </c>
      <c r="N1336" s="2" t="n">
        <v>53</v>
      </c>
      <c r="O1336" s="2" t="n">
        <v>61</v>
      </c>
      <c r="P1336" s="2" t="n">
        <v>186</v>
      </c>
      <c r="Q1336" s="2" t="n">
        <v>334</v>
      </c>
      <c r="R1336" s="2" t="n">
        <v>38</v>
      </c>
      <c r="S1336" s="2" t="n">
        <v>0</v>
      </c>
      <c r="T1336" s="2" t="s">
        <v>96</v>
      </c>
      <c r="U1336" s="4" t="n">
        <f aca="false">(M1336+N1336+O1336+P1336)/L1336</f>
        <v>0.060991175980909</v>
      </c>
      <c r="V1336" s="2" t="str">
        <f aca="false">IF(S1336&lt;=5,"Late night (0-5)",IF(S1336&lt;=11,"Morning (6-11)",IF(S1336&lt;=17,"Afternoon (12-17)","Evening (18-23)")))</f>
        <v>Late night (0-5)</v>
      </c>
    </row>
    <row r="1337" customFormat="false" ht="15" hidden="false" customHeight="false" outlineLevel="0" collapsed="false">
      <c r="A1337" s="2" t="s">
        <v>2311</v>
      </c>
      <c r="B1337" s="2" t="s">
        <v>87</v>
      </c>
      <c r="C1337" s="2" t="s">
        <v>36</v>
      </c>
      <c r="D1337" s="3" t="n">
        <v>45937</v>
      </c>
      <c r="E1337" s="2" t="s">
        <v>1576</v>
      </c>
      <c r="F1337" s="2" t="s">
        <v>38</v>
      </c>
      <c r="G1337" s="2" t="n">
        <v>25592</v>
      </c>
      <c r="H1337" s="2" t="n">
        <v>4</v>
      </c>
      <c r="I1337" s="2" t="n">
        <v>22</v>
      </c>
      <c r="J1337" s="2" t="n">
        <v>1</v>
      </c>
      <c r="K1337" s="2" t="n">
        <v>5917</v>
      </c>
      <c r="L1337" s="2" t="n">
        <v>3615</v>
      </c>
      <c r="M1337" s="2" t="n">
        <v>267</v>
      </c>
      <c r="N1337" s="2" t="n">
        <v>20</v>
      </c>
      <c r="O1337" s="2" t="n">
        <v>29</v>
      </c>
      <c r="P1337" s="2" t="n">
        <v>23</v>
      </c>
      <c r="Q1337" s="2" t="n">
        <v>62</v>
      </c>
      <c r="R1337" s="2" t="n">
        <v>15</v>
      </c>
      <c r="S1337" s="2" t="n">
        <v>3</v>
      </c>
      <c r="T1337" s="2" t="s">
        <v>51</v>
      </c>
      <c r="U1337" s="4" t="n">
        <f aca="false">(M1337+N1337+O1337+P1337)/L1337</f>
        <v>0.0937759336099585</v>
      </c>
      <c r="V1337" s="2" t="str">
        <f aca="false">IF(S1337&lt;=5,"Late night (0-5)",IF(S1337&lt;=11,"Morning (6-11)",IF(S1337&lt;=17,"Afternoon (12-17)","Evening (18-23)")))</f>
        <v>Late night (0-5)</v>
      </c>
    </row>
    <row r="1338" customFormat="false" ht="15" hidden="false" customHeight="false" outlineLevel="0" collapsed="false">
      <c r="A1338" s="2" t="s">
        <v>2312</v>
      </c>
      <c r="B1338" s="2" t="s">
        <v>148</v>
      </c>
      <c r="C1338" s="2" t="s">
        <v>48</v>
      </c>
      <c r="D1338" s="3" t="n">
        <v>45997</v>
      </c>
      <c r="E1338" s="2" t="s">
        <v>2313</v>
      </c>
      <c r="F1338" s="2" t="s">
        <v>38</v>
      </c>
      <c r="G1338" s="2" t="n">
        <v>46311</v>
      </c>
      <c r="H1338" s="2" t="n">
        <v>10</v>
      </c>
      <c r="I1338" s="2" t="n">
        <v>194</v>
      </c>
      <c r="J1338" s="2" t="n">
        <v>0</v>
      </c>
      <c r="K1338" s="2" t="n">
        <v>42111</v>
      </c>
      <c r="L1338" s="2" t="n">
        <v>25211</v>
      </c>
      <c r="M1338" s="2" t="n">
        <v>1383</v>
      </c>
      <c r="N1338" s="2" t="n">
        <v>64</v>
      </c>
      <c r="O1338" s="2" t="n">
        <v>250</v>
      </c>
      <c r="P1338" s="2" t="n">
        <v>81</v>
      </c>
      <c r="Q1338" s="2" t="n">
        <v>140</v>
      </c>
      <c r="R1338" s="2" t="n">
        <v>14</v>
      </c>
      <c r="S1338" s="2" t="n">
        <v>23</v>
      </c>
      <c r="T1338" s="2" t="s">
        <v>62</v>
      </c>
      <c r="U1338" s="4" t="n">
        <f aca="false">(M1338+N1338+O1338+P1338)/L1338</f>
        <v>0.0705247709333228</v>
      </c>
      <c r="V1338" s="2" t="str">
        <f aca="false">IF(S1338&lt;=5,"Late night (0-5)",IF(S1338&lt;=11,"Morning (6-11)",IF(S1338&lt;=17,"Afternoon (12-17)","Evening (18-23)")))</f>
        <v>Evening (18-23)</v>
      </c>
    </row>
    <row r="1339" customFormat="false" ht="15" hidden="false" customHeight="false" outlineLevel="0" collapsed="false">
      <c r="A1339" s="2" t="s">
        <v>2314</v>
      </c>
      <c r="B1339" s="2" t="s">
        <v>371</v>
      </c>
      <c r="C1339" s="2" t="s">
        <v>48</v>
      </c>
      <c r="D1339" s="3" t="n">
        <v>45718</v>
      </c>
      <c r="E1339" s="2" t="s">
        <v>191</v>
      </c>
      <c r="F1339" s="2" t="s">
        <v>32</v>
      </c>
      <c r="G1339" s="2" t="n">
        <v>42479</v>
      </c>
      <c r="H1339" s="2" t="n">
        <v>0</v>
      </c>
      <c r="I1339" s="2" t="n">
        <v>166</v>
      </c>
      <c r="J1339" s="2" t="n">
        <v>1</v>
      </c>
      <c r="K1339" s="2" t="n">
        <v>91523</v>
      </c>
      <c r="L1339" s="2" t="n">
        <v>55541</v>
      </c>
      <c r="M1339" s="2" t="n">
        <v>4313</v>
      </c>
      <c r="N1339" s="2" t="n">
        <v>305</v>
      </c>
      <c r="O1339" s="2" t="n">
        <v>1252</v>
      </c>
      <c r="P1339" s="2" t="n">
        <v>873</v>
      </c>
      <c r="Q1339" s="2" t="n">
        <v>599</v>
      </c>
      <c r="R1339" s="2" t="n">
        <v>43</v>
      </c>
      <c r="S1339" s="2" t="n">
        <v>8</v>
      </c>
      <c r="T1339" s="2" t="s">
        <v>27</v>
      </c>
      <c r="U1339" s="4" t="n">
        <f aca="false">(M1339+N1339+O1339+P1339)/L1339</f>
        <v>0.12140580832178</v>
      </c>
      <c r="V1339" s="2" t="str">
        <f aca="false">IF(S1339&lt;=5,"Late night (0-5)",IF(S1339&lt;=11,"Morning (6-11)",IF(S1339&lt;=17,"Afternoon (12-17)","Evening (18-23)")))</f>
        <v>Morning (6-11)</v>
      </c>
    </row>
    <row r="1340" customFormat="false" ht="15" hidden="false" customHeight="false" outlineLevel="0" collapsed="false">
      <c r="A1340" s="2" t="s">
        <v>2315</v>
      </c>
      <c r="B1340" s="2" t="s">
        <v>459</v>
      </c>
      <c r="C1340" s="2" t="s">
        <v>84</v>
      </c>
      <c r="D1340" s="3" t="n">
        <v>45953</v>
      </c>
      <c r="E1340" s="2" t="s">
        <v>2316</v>
      </c>
      <c r="F1340" s="2" t="s">
        <v>32</v>
      </c>
      <c r="G1340" s="2" t="n">
        <v>19744</v>
      </c>
      <c r="H1340" s="2" t="n">
        <v>16</v>
      </c>
      <c r="I1340" s="2" t="n">
        <v>204</v>
      </c>
      <c r="J1340" s="2" t="n">
        <v>0</v>
      </c>
      <c r="K1340" s="2" t="n">
        <v>29525</v>
      </c>
      <c r="L1340" s="2" t="n">
        <v>23676</v>
      </c>
      <c r="M1340" s="2" t="n">
        <v>2521</v>
      </c>
      <c r="N1340" s="2" t="n">
        <v>65</v>
      </c>
      <c r="O1340" s="2" t="n">
        <v>646</v>
      </c>
      <c r="P1340" s="2" t="n">
        <v>500</v>
      </c>
      <c r="Q1340" s="2" t="n">
        <v>263</v>
      </c>
      <c r="R1340" s="2" t="n">
        <v>62</v>
      </c>
      <c r="S1340" s="2" t="n">
        <v>0</v>
      </c>
      <c r="T1340" s="2" t="s">
        <v>79</v>
      </c>
      <c r="U1340" s="4" t="n">
        <f aca="false">(M1340+N1340+O1340+P1340)/L1340</f>
        <v>0.157627977698936</v>
      </c>
      <c r="V1340" s="2" t="str">
        <f aca="false">IF(S1340&lt;=5,"Late night (0-5)",IF(S1340&lt;=11,"Morning (6-11)",IF(S1340&lt;=17,"Afternoon (12-17)","Evening (18-23)")))</f>
        <v>Late night (0-5)</v>
      </c>
    </row>
    <row r="1341" customFormat="false" ht="15" hidden="false" customHeight="false" outlineLevel="0" collapsed="false">
      <c r="A1341" s="2" t="s">
        <v>2317</v>
      </c>
      <c r="B1341" s="2" t="s">
        <v>307</v>
      </c>
      <c r="C1341" s="2" t="s">
        <v>48</v>
      </c>
      <c r="D1341" s="3" t="n">
        <v>45966</v>
      </c>
      <c r="E1341" s="2" t="s">
        <v>2318</v>
      </c>
      <c r="F1341" s="2" t="s">
        <v>38</v>
      </c>
      <c r="G1341" s="2" t="n">
        <v>91358</v>
      </c>
      <c r="H1341" s="2" t="n">
        <v>9</v>
      </c>
      <c r="I1341" s="2" t="n">
        <v>122</v>
      </c>
      <c r="J1341" s="2" t="n">
        <v>0</v>
      </c>
      <c r="K1341" s="2" t="n">
        <v>33855</v>
      </c>
      <c r="L1341" s="2" t="n">
        <v>25801</v>
      </c>
      <c r="M1341" s="2" t="n">
        <v>1496</v>
      </c>
      <c r="N1341" s="2" t="n">
        <v>50</v>
      </c>
      <c r="O1341" s="2" t="n">
        <v>297</v>
      </c>
      <c r="P1341" s="2" t="n">
        <v>135</v>
      </c>
      <c r="Q1341" s="2" t="n">
        <v>677</v>
      </c>
      <c r="R1341" s="2" t="n">
        <v>113</v>
      </c>
      <c r="S1341" s="2" t="n">
        <v>5</v>
      </c>
      <c r="T1341" s="2" t="s">
        <v>66</v>
      </c>
      <c r="U1341" s="4" t="n">
        <f aca="false">(M1341+N1341+O1341+P1341)/L1341</f>
        <v>0.0766636952056122</v>
      </c>
      <c r="V1341" s="2" t="str">
        <f aca="false">IF(S1341&lt;=5,"Late night (0-5)",IF(S1341&lt;=11,"Morning (6-11)",IF(S1341&lt;=17,"Afternoon (12-17)","Evening (18-23)")))</f>
        <v>Late night (0-5)</v>
      </c>
    </row>
    <row r="1342" customFormat="false" ht="15" hidden="false" customHeight="false" outlineLevel="0" collapsed="false">
      <c r="A1342" s="2" t="s">
        <v>2319</v>
      </c>
      <c r="B1342" s="2" t="s">
        <v>44</v>
      </c>
      <c r="C1342" s="2" t="s">
        <v>36</v>
      </c>
      <c r="D1342" s="3" t="n">
        <v>45816</v>
      </c>
      <c r="E1342" s="2" t="s">
        <v>2139</v>
      </c>
      <c r="F1342" s="2" t="s">
        <v>38</v>
      </c>
      <c r="G1342" s="2" t="n">
        <v>6265</v>
      </c>
      <c r="H1342" s="2" t="n">
        <v>17</v>
      </c>
      <c r="I1342" s="2" t="n">
        <v>175</v>
      </c>
      <c r="J1342" s="2" t="n">
        <v>1</v>
      </c>
      <c r="K1342" s="2" t="n">
        <v>3898</v>
      </c>
      <c r="L1342" s="2" t="n">
        <v>2668</v>
      </c>
      <c r="M1342" s="2" t="n">
        <v>163</v>
      </c>
      <c r="N1342" s="2" t="n">
        <v>12</v>
      </c>
      <c r="O1342" s="2" t="n">
        <v>22</v>
      </c>
      <c r="P1342" s="2" t="n">
        <v>20</v>
      </c>
      <c r="Q1342" s="2" t="n">
        <v>40</v>
      </c>
      <c r="R1342" s="2" t="n">
        <v>3</v>
      </c>
      <c r="S1342" s="2" t="n">
        <v>7</v>
      </c>
      <c r="T1342" s="2" t="s">
        <v>27</v>
      </c>
      <c r="U1342" s="4" t="n">
        <f aca="false">(M1342+N1342+O1342+P1342)/L1342</f>
        <v>0.0813343328335832</v>
      </c>
      <c r="V1342" s="2" t="str">
        <f aca="false">IF(S1342&lt;=5,"Late night (0-5)",IF(S1342&lt;=11,"Morning (6-11)",IF(S1342&lt;=17,"Afternoon (12-17)","Evening (18-23)")))</f>
        <v>Morning (6-11)</v>
      </c>
    </row>
    <row r="1343" customFormat="false" ht="15" hidden="false" customHeight="false" outlineLevel="0" collapsed="false">
      <c r="A1343" s="2" t="s">
        <v>2320</v>
      </c>
      <c r="B1343" s="2" t="s">
        <v>151</v>
      </c>
      <c r="C1343" s="2" t="s">
        <v>36</v>
      </c>
      <c r="D1343" s="3" t="n">
        <v>45943</v>
      </c>
      <c r="E1343" s="2" t="s">
        <v>2321</v>
      </c>
      <c r="F1343" s="2" t="s">
        <v>26</v>
      </c>
      <c r="G1343" s="2" t="n">
        <v>19247</v>
      </c>
      <c r="H1343" s="2" t="n">
        <v>12</v>
      </c>
      <c r="I1343" s="2" t="n">
        <v>202</v>
      </c>
      <c r="J1343" s="2" t="n">
        <v>1</v>
      </c>
      <c r="K1343" s="2" t="n">
        <v>27887</v>
      </c>
      <c r="L1343" s="2" t="n">
        <v>17528</v>
      </c>
      <c r="M1343" s="2" t="n">
        <v>788</v>
      </c>
      <c r="N1343" s="2" t="n">
        <v>49</v>
      </c>
      <c r="O1343" s="2" t="n">
        <v>74</v>
      </c>
      <c r="P1343" s="2" t="n">
        <v>208</v>
      </c>
      <c r="Q1343" s="2" t="n">
        <v>249</v>
      </c>
      <c r="R1343" s="2" t="n">
        <v>44</v>
      </c>
      <c r="S1343" s="2" t="n">
        <v>10</v>
      </c>
      <c r="T1343" s="2" t="s">
        <v>33</v>
      </c>
      <c r="U1343" s="4" t="n">
        <f aca="false">(M1343+N1343+O1343+P1343)/L1343</f>
        <v>0.0638407120036513</v>
      </c>
      <c r="V1343" s="2" t="str">
        <f aca="false">IF(S1343&lt;=5,"Late night (0-5)",IF(S1343&lt;=11,"Morning (6-11)",IF(S1343&lt;=17,"Afternoon (12-17)","Evening (18-23)")))</f>
        <v>Morning (6-11)</v>
      </c>
    </row>
    <row r="1344" customFormat="false" ht="15" hidden="false" customHeight="false" outlineLevel="0" collapsed="false">
      <c r="A1344" s="2" t="s">
        <v>2322</v>
      </c>
      <c r="B1344" s="2" t="s">
        <v>23</v>
      </c>
      <c r="C1344" s="2" t="s">
        <v>24</v>
      </c>
      <c r="D1344" s="3" t="n">
        <v>45677</v>
      </c>
      <c r="E1344" s="2" t="s">
        <v>950</v>
      </c>
      <c r="F1344" s="2" t="s">
        <v>38</v>
      </c>
      <c r="G1344" s="2" t="n">
        <v>63447</v>
      </c>
      <c r="H1344" s="2" t="n">
        <v>20</v>
      </c>
      <c r="I1344" s="2" t="n">
        <v>233</v>
      </c>
      <c r="J1344" s="2" t="n">
        <v>0</v>
      </c>
      <c r="K1344" s="2" t="n">
        <v>67637</v>
      </c>
      <c r="L1344" s="2" t="n">
        <v>52061</v>
      </c>
      <c r="M1344" s="2" t="n">
        <v>2413</v>
      </c>
      <c r="N1344" s="2" t="n">
        <v>159</v>
      </c>
      <c r="O1344" s="2" t="n">
        <v>362</v>
      </c>
      <c r="P1344" s="2" t="n">
        <v>665</v>
      </c>
      <c r="Q1344" s="2" t="n">
        <v>558</v>
      </c>
      <c r="R1344" s="2" t="n">
        <v>137</v>
      </c>
      <c r="S1344" s="2" t="n">
        <v>8</v>
      </c>
      <c r="T1344" s="2" t="s">
        <v>33</v>
      </c>
      <c r="U1344" s="4" t="n">
        <f aca="false">(M1344+N1344+O1344+P1344)/L1344</f>
        <v>0.0691304431340159</v>
      </c>
      <c r="V1344" s="2" t="str">
        <f aca="false">IF(S1344&lt;=5,"Late night (0-5)",IF(S1344&lt;=11,"Morning (6-11)",IF(S1344&lt;=17,"Afternoon (12-17)","Evening (18-23)")))</f>
        <v>Morning (6-11)</v>
      </c>
    </row>
    <row r="1345" customFormat="false" ht="15" hidden="false" customHeight="false" outlineLevel="0" collapsed="false">
      <c r="A1345" s="2" t="s">
        <v>2323</v>
      </c>
      <c r="B1345" s="2" t="s">
        <v>431</v>
      </c>
      <c r="C1345" s="2" t="s">
        <v>36</v>
      </c>
      <c r="D1345" s="3" t="n">
        <v>45828</v>
      </c>
      <c r="E1345" s="2" t="s">
        <v>1799</v>
      </c>
      <c r="F1345" s="2" t="s">
        <v>38</v>
      </c>
      <c r="G1345" s="2" t="n">
        <v>64821</v>
      </c>
      <c r="H1345" s="2" t="n">
        <v>8</v>
      </c>
      <c r="I1345" s="2" t="n">
        <v>302</v>
      </c>
      <c r="J1345" s="2" t="n">
        <v>1</v>
      </c>
      <c r="K1345" s="2" t="n">
        <v>52545</v>
      </c>
      <c r="L1345" s="2" t="n">
        <v>29865</v>
      </c>
      <c r="M1345" s="2" t="n">
        <v>1888</v>
      </c>
      <c r="N1345" s="2" t="n">
        <v>123</v>
      </c>
      <c r="O1345" s="2" t="n">
        <v>248</v>
      </c>
      <c r="P1345" s="2" t="n">
        <v>530</v>
      </c>
      <c r="Q1345" s="2" t="n">
        <v>797</v>
      </c>
      <c r="R1345" s="2" t="n">
        <v>91</v>
      </c>
      <c r="S1345" s="2" t="n">
        <v>16</v>
      </c>
      <c r="T1345" s="2" t="s">
        <v>96</v>
      </c>
      <c r="U1345" s="4" t="n">
        <f aca="false">(M1345+N1345+O1345+P1345)/L1345</f>
        <v>0.0933869077515486</v>
      </c>
      <c r="V1345" s="2" t="str">
        <f aca="false">IF(S1345&lt;=5,"Late night (0-5)",IF(S1345&lt;=11,"Morning (6-11)",IF(S1345&lt;=17,"Afternoon (12-17)","Evening (18-23)")))</f>
        <v>Afternoon (12-17)</v>
      </c>
    </row>
    <row r="1346" customFormat="false" ht="15" hidden="false" customHeight="false" outlineLevel="0" collapsed="false">
      <c r="A1346" s="2" t="s">
        <v>2324</v>
      </c>
      <c r="B1346" s="2" t="s">
        <v>71</v>
      </c>
      <c r="C1346" s="2" t="s">
        <v>48</v>
      </c>
      <c r="D1346" s="3" t="n">
        <v>45685</v>
      </c>
      <c r="E1346" s="2" t="s">
        <v>2325</v>
      </c>
      <c r="F1346" s="2" t="s">
        <v>26</v>
      </c>
      <c r="G1346" s="2" t="n">
        <v>7316</v>
      </c>
      <c r="H1346" s="2" t="n">
        <v>3</v>
      </c>
      <c r="I1346" s="2" t="n">
        <v>233</v>
      </c>
      <c r="J1346" s="2" t="n">
        <v>1</v>
      </c>
      <c r="K1346" s="2" t="n">
        <v>2366</v>
      </c>
      <c r="L1346" s="2" t="n">
        <v>1900</v>
      </c>
      <c r="M1346" s="2" t="n">
        <v>96</v>
      </c>
      <c r="N1346" s="2" t="n">
        <v>7</v>
      </c>
      <c r="O1346" s="2" t="n">
        <v>17</v>
      </c>
      <c r="P1346" s="2" t="n">
        <v>16</v>
      </c>
      <c r="Q1346" s="2" t="n">
        <v>32</v>
      </c>
      <c r="R1346" s="2" t="n">
        <v>8</v>
      </c>
      <c r="S1346" s="2" t="n">
        <v>3</v>
      </c>
      <c r="T1346" s="2" t="s">
        <v>51</v>
      </c>
      <c r="U1346" s="4" t="n">
        <f aca="false">(M1346+N1346+O1346+P1346)/L1346</f>
        <v>0.0715789473684211</v>
      </c>
      <c r="V1346" s="2" t="str">
        <f aca="false">IF(S1346&lt;=5,"Late night (0-5)",IF(S1346&lt;=11,"Morning (6-11)",IF(S1346&lt;=17,"Afternoon (12-17)","Evening (18-23)")))</f>
        <v>Late night (0-5)</v>
      </c>
    </row>
    <row r="1347" customFormat="false" ht="15" hidden="false" customHeight="false" outlineLevel="0" collapsed="false">
      <c r="A1347" s="2" t="s">
        <v>2326</v>
      </c>
      <c r="B1347" s="2" t="s">
        <v>452</v>
      </c>
      <c r="C1347" s="2" t="s">
        <v>91</v>
      </c>
      <c r="D1347" s="3" t="n">
        <v>45817</v>
      </c>
      <c r="E1347" s="2" t="s">
        <v>2327</v>
      </c>
      <c r="F1347" s="2" t="s">
        <v>38</v>
      </c>
      <c r="G1347" s="2" t="n">
        <v>14201</v>
      </c>
      <c r="H1347" s="2" t="n">
        <v>11</v>
      </c>
      <c r="I1347" s="2" t="n">
        <v>220</v>
      </c>
      <c r="J1347" s="2" t="n">
        <v>0</v>
      </c>
      <c r="K1347" s="2" t="n">
        <v>30280</v>
      </c>
      <c r="L1347" s="2" t="n">
        <v>18481</v>
      </c>
      <c r="M1347" s="2" t="n">
        <v>1123</v>
      </c>
      <c r="N1347" s="2" t="n">
        <v>34</v>
      </c>
      <c r="O1347" s="2" t="n">
        <v>44</v>
      </c>
      <c r="P1347" s="2" t="n">
        <v>91</v>
      </c>
      <c r="Q1347" s="2" t="n">
        <v>208</v>
      </c>
      <c r="R1347" s="2" t="n">
        <v>29</v>
      </c>
      <c r="S1347" s="2" t="n">
        <v>9</v>
      </c>
      <c r="T1347" s="2" t="s">
        <v>33</v>
      </c>
      <c r="U1347" s="4" t="n">
        <f aca="false">(M1347+N1347+O1347+P1347)/L1347</f>
        <v>0.0699096369244089</v>
      </c>
      <c r="V1347" s="2" t="str">
        <f aca="false">IF(S1347&lt;=5,"Late night (0-5)",IF(S1347&lt;=11,"Morning (6-11)",IF(S1347&lt;=17,"Afternoon (12-17)","Evening (18-23)")))</f>
        <v>Morning (6-11)</v>
      </c>
    </row>
    <row r="1348" customFormat="false" ht="15" hidden="false" customHeight="false" outlineLevel="0" collapsed="false">
      <c r="A1348" s="2" t="s">
        <v>2328</v>
      </c>
      <c r="B1348" s="2" t="s">
        <v>151</v>
      </c>
      <c r="C1348" s="2" t="s">
        <v>36</v>
      </c>
      <c r="D1348" s="3" t="n">
        <v>46014</v>
      </c>
      <c r="E1348" s="2" t="s">
        <v>2329</v>
      </c>
      <c r="F1348" s="2" t="s">
        <v>32</v>
      </c>
      <c r="G1348" s="2" t="n">
        <v>19247</v>
      </c>
      <c r="H1348" s="2" t="n">
        <v>12</v>
      </c>
      <c r="I1348" s="2" t="n">
        <v>17</v>
      </c>
      <c r="J1348" s="2" t="n">
        <v>1</v>
      </c>
      <c r="K1348" s="2" t="n">
        <v>29107</v>
      </c>
      <c r="L1348" s="2" t="n">
        <v>16756</v>
      </c>
      <c r="M1348" s="2" t="n">
        <v>727</v>
      </c>
      <c r="N1348" s="2" t="n">
        <v>55</v>
      </c>
      <c r="O1348" s="2" t="n">
        <v>123</v>
      </c>
      <c r="P1348" s="2" t="n">
        <v>198</v>
      </c>
      <c r="Q1348" s="2" t="n">
        <v>344</v>
      </c>
      <c r="R1348" s="2" t="n">
        <v>74</v>
      </c>
      <c r="S1348" s="2" t="n">
        <v>22</v>
      </c>
      <c r="T1348" s="2" t="s">
        <v>51</v>
      </c>
      <c r="U1348" s="4" t="n">
        <f aca="false">(M1348+N1348+O1348+P1348)/L1348</f>
        <v>0.0658271663881595</v>
      </c>
      <c r="V1348" s="2" t="str">
        <f aca="false">IF(S1348&lt;=5,"Late night (0-5)",IF(S1348&lt;=11,"Morning (6-11)",IF(S1348&lt;=17,"Afternoon (12-17)","Evening (18-23)")))</f>
        <v>Evening (18-23)</v>
      </c>
    </row>
    <row r="1349" customFormat="false" ht="15" hidden="false" customHeight="false" outlineLevel="0" collapsed="false">
      <c r="A1349" s="2" t="s">
        <v>2330</v>
      </c>
      <c r="B1349" s="2" t="s">
        <v>206</v>
      </c>
      <c r="C1349" s="2" t="s">
        <v>48</v>
      </c>
      <c r="D1349" s="3" t="n">
        <v>45838</v>
      </c>
      <c r="E1349" s="2" t="s">
        <v>2206</v>
      </c>
      <c r="F1349" s="2" t="s">
        <v>32</v>
      </c>
      <c r="G1349" s="2" t="n">
        <v>42937</v>
      </c>
      <c r="H1349" s="2" t="n">
        <v>14</v>
      </c>
      <c r="I1349" s="2" t="n">
        <v>225</v>
      </c>
      <c r="J1349" s="2" t="n">
        <v>0</v>
      </c>
      <c r="K1349" s="2" t="n">
        <v>77028</v>
      </c>
      <c r="L1349" s="2" t="n">
        <v>57772</v>
      </c>
      <c r="M1349" s="2" t="n">
        <v>3671</v>
      </c>
      <c r="N1349" s="2" t="n">
        <v>264</v>
      </c>
      <c r="O1349" s="2" t="n">
        <v>1075</v>
      </c>
      <c r="P1349" s="2" t="n">
        <v>896</v>
      </c>
      <c r="Q1349" s="2" t="n">
        <v>602</v>
      </c>
      <c r="R1349" s="2" t="n">
        <v>47</v>
      </c>
      <c r="S1349" s="2" t="n">
        <v>8</v>
      </c>
      <c r="T1349" s="2" t="s">
        <v>33</v>
      </c>
      <c r="U1349" s="4" t="n">
        <f aca="false">(M1349+N1349+O1349+P1349)/L1349</f>
        <v>0.102229453714602</v>
      </c>
      <c r="V1349" s="2" t="str">
        <f aca="false">IF(S1349&lt;=5,"Late night (0-5)",IF(S1349&lt;=11,"Morning (6-11)",IF(S1349&lt;=17,"Afternoon (12-17)","Evening (18-23)")))</f>
        <v>Morning (6-11)</v>
      </c>
    </row>
    <row r="1350" customFormat="false" ht="15" hidden="false" customHeight="false" outlineLevel="0" collapsed="false">
      <c r="A1350" s="2" t="s">
        <v>2331</v>
      </c>
      <c r="B1350" s="2" t="s">
        <v>23</v>
      </c>
      <c r="C1350" s="2" t="s">
        <v>24</v>
      </c>
      <c r="D1350" s="3" t="n">
        <v>45829</v>
      </c>
      <c r="E1350" s="2" t="s">
        <v>1479</v>
      </c>
      <c r="F1350" s="2" t="s">
        <v>26</v>
      </c>
      <c r="G1350" s="2" t="n">
        <v>63447</v>
      </c>
      <c r="H1350" s="2" t="n">
        <v>14</v>
      </c>
      <c r="I1350" s="2" t="n">
        <v>317</v>
      </c>
      <c r="J1350" s="2" t="n">
        <v>0</v>
      </c>
      <c r="K1350" s="2" t="n">
        <v>79426</v>
      </c>
      <c r="L1350" s="2" t="n">
        <v>66149</v>
      </c>
      <c r="M1350" s="2" t="n">
        <v>3936</v>
      </c>
      <c r="N1350" s="2" t="n">
        <v>290</v>
      </c>
      <c r="O1350" s="2" t="n">
        <v>569</v>
      </c>
      <c r="P1350" s="2" t="n">
        <v>874</v>
      </c>
      <c r="Q1350" s="2" t="n">
        <v>1185</v>
      </c>
      <c r="R1350" s="2" t="n">
        <v>70</v>
      </c>
      <c r="S1350" s="2" t="n">
        <v>15</v>
      </c>
      <c r="T1350" s="2" t="s">
        <v>62</v>
      </c>
      <c r="U1350" s="4" t="n">
        <f aca="false">(M1350+N1350+O1350+P1350)/L1350</f>
        <v>0.0857004641037657</v>
      </c>
      <c r="V1350" s="2" t="str">
        <f aca="false">IF(S1350&lt;=5,"Late night (0-5)",IF(S1350&lt;=11,"Morning (6-11)",IF(S1350&lt;=17,"Afternoon (12-17)","Evening (18-23)")))</f>
        <v>Afternoon (12-17)</v>
      </c>
    </row>
    <row r="1351" customFormat="false" ht="15" hidden="false" customHeight="false" outlineLevel="0" collapsed="false">
      <c r="A1351" s="2" t="s">
        <v>2332</v>
      </c>
      <c r="B1351" s="2" t="s">
        <v>77</v>
      </c>
      <c r="C1351" s="2" t="s">
        <v>30</v>
      </c>
      <c r="D1351" s="3" t="n">
        <v>45941</v>
      </c>
      <c r="E1351" s="2" t="s">
        <v>2333</v>
      </c>
      <c r="F1351" s="2" t="s">
        <v>32</v>
      </c>
      <c r="G1351" s="2" t="n">
        <v>17548</v>
      </c>
      <c r="H1351" s="2" t="n">
        <v>19</v>
      </c>
      <c r="I1351" s="2" t="n">
        <v>216</v>
      </c>
      <c r="J1351" s="2" t="n">
        <v>0</v>
      </c>
      <c r="K1351" s="2" t="n">
        <v>23201</v>
      </c>
      <c r="L1351" s="2" t="n">
        <v>13834</v>
      </c>
      <c r="M1351" s="2" t="n">
        <v>1481</v>
      </c>
      <c r="N1351" s="2" t="n">
        <v>87</v>
      </c>
      <c r="O1351" s="2" t="n">
        <v>161</v>
      </c>
      <c r="P1351" s="2" t="n">
        <v>111</v>
      </c>
      <c r="Q1351" s="2" t="n">
        <v>273</v>
      </c>
      <c r="R1351" s="2" t="n">
        <v>66</v>
      </c>
      <c r="S1351" s="2" t="n">
        <v>9</v>
      </c>
      <c r="T1351" s="2" t="s">
        <v>62</v>
      </c>
      <c r="U1351" s="4" t="n">
        <f aca="false">(M1351+N1351+O1351+P1351)/L1351</f>
        <v>0.133005638282492</v>
      </c>
      <c r="V1351" s="2" t="str">
        <f aca="false">IF(S1351&lt;=5,"Late night (0-5)",IF(S1351&lt;=11,"Morning (6-11)",IF(S1351&lt;=17,"Afternoon (12-17)","Evening (18-23)")))</f>
        <v>Morning (6-11)</v>
      </c>
    </row>
    <row r="1352" customFormat="false" ht="15" hidden="false" customHeight="false" outlineLevel="0" collapsed="false">
      <c r="A1352" s="2" t="s">
        <v>2334</v>
      </c>
      <c r="B1352" s="2" t="s">
        <v>324</v>
      </c>
      <c r="C1352" s="2" t="s">
        <v>24</v>
      </c>
      <c r="D1352" s="3" t="n">
        <v>45818</v>
      </c>
      <c r="E1352" s="2" t="s">
        <v>2335</v>
      </c>
      <c r="F1352" s="2" t="s">
        <v>32</v>
      </c>
      <c r="G1352" s="2" t="n">
        <v>3823</v>
      </c>
      <c r="H1352" s="2" t="n">
        <v>4</v>
      </c>
      <c r="I1352" s="2" t="n">
        <v>61</v>
      </c>
      <c r="J1352" s="2" t="n">
        <v>1</v>
      </c>
      <c r="K1352" s="2" t="n">
        <v>1889</v>
      </c>
      <c r="L1352" s="2" t="n">
        <v>1273</v>
      </c>
      <c r="M1352" s="2" t="n">
        <v>65</v>
      </c>
      <c r="N1352" s="2" t="n">
        <v>1</v>
      </c>
      <c r="O1352" s="2" t="n">
        <v>12</v>
      </c>
      <c r="P1352" s="2" t="n">
        <v>9</v>
      </c>
      <c r="Q1352" s="2" t="n">
        <v>26</v>
      </c>
      <c r="R1352" s="2" t="n">
        <v>7</v>
      </c>
      <c r="S1352" s="2" t="n">
        <v>4</v>
      </c>
      <c r="T1352" s="2" t="s">
        <v>51</v>
      </c>
      <c r="U1352" s="4" t="n">
        <f aca="false">(M1352+N1352+O1352+P1352)/L1352</f>
        <v>0.0683424980361351</v>
      </c>
      <c r="V1352" s="2" t="str">
        <f aca="false">IF(S1352&lt;=5,"Late night (0-5)",IF(S1352&lt;=11,"Morning (6-11)",IF(S1352&lt;=17,"Afternoon (12-17)","Evening (18-23)")))</f>
        <v>Late night (0-5)</v>
      </c>
    </row>
    <row r="1353" customFormat="false" ht="15" hidden="false" customHeight="false" outlineLevel="0" collapsed="false">
      <c r="A1353" s="2" t="s">
        <v>2336</v>
      </c>
      <c r="B1353" s="2" t="s">
        <v>135</v>
      </c>
      <c r="C1353" s="2" t="s">
        <v>36</v>
      </c>
      <c r="D1353" s="3" t="n">
        <v>45665</v>
      </c>
      <c r="E1353" s="2" t="s">
        <v>2337</v>
      </c>
      <c r="F1353" s="2" t="s">
        <v>26</v>
      </c>
      <c r="G1353" s="2" t="n">
        <v>45812</v>
      </c>
      <c r="H1353" s="2" t="n">
        <v>2</v>
      </c>
      <c r="I1353" s="2" t="n">
        <v>214</v>
      </c>
      <c r="J1353" s="2" t="n">
        <v>0</v>
      </c>
      <c r="K1353" s="2" t="n">
        <v>29704</v>
      </c>
      <c r="L1353" s="2" t="n">
        <v>17047</v>
      </c>
      <c r="M1353" s="2" t="n">
        <v>1518</v>
      </c>
      <c r="N1353" s="2" t="n">
        <v>62</v>
      </c>
      <c r="O1353" s="2" t="n">
        <v>210</v>
      </c>
      <c r="P1353" s="2" t="n">
        <v>358</v>
      </c>
      <c r="Q1353" s="2" t="n">
        <v>505</v>
      </c>
      <c r="R1353" s="2" t="n">
        <v>37</v>
      </c>
      <c r="S1353" s="2" t="n">
        <v>3</v>
      </c>
      <c r="T1353" s="2" t="s">
        <v>66</v>
      </c>
      <c r="U1353" s="4" t="n">
        <f aca="false">(M1353+N1353+O1353+P1353)/L1353</f>
        <v>0.126004575585147</v>
      </c>
      <c r="V1353" s="2" t="str">
        <f aca="false">IF(S1353&lt;=5,"Late night (0-5)",IF(S1353&lt;=11,"Morning (6-11)",IF(S1353&lt;=17,"Afternoon (12-17)","Evening (18-23)")))</f>
        <v>Late night (0-5)</v>
      </c>
    </row>
    <row r="1354" customFormat="false" ht="15" hidden="false" customHeight="false" outlineLevel="0" collapsed="false">
      <c r="A1354" s="2" t="s">
        <v>2338</v>
      </c>
      <c r="B1354" s="2" t="s">
        <v>126</v>
      </c>
      <c r="C1354" s="2" t="s">
        <v>36</v>
      </c>
      <c r="D1354" s="3" t="n">
        <v>45828</v>
      </c>
      <c r="E1354" s="2" t="s">
        <v>2339</v>
      </c>
      <c r="F1354" s="2" t="s">
        <v>50</v>
      </c>
      <c r="G1354" s="2" t="n">
        <v>28784</v>
      </c>
      <c r="H1354" s="2" t="n">
        <v>28</v>
      </c>
      <c r="I1354" s="2" t="n">
        <v>233</v>
      </c>
      <c r="J1354" s="2" t="n">
        <v>1</v>
      </c>
      <c r="K1354" s="2" t="n">
        <v>21603</v>
      </c>
      <c r="L1354" s="2" t="n">
        <v>13966</v>
      </c>
      <c r="M1354" s="2" t="n">
        <v>594</v>
      </c>
      <c r="N1354" s="2" t="n">
        <v>19</v>
      </c>
      <c r="O1354" s="2" t="n">
        <v>96</v>
      </c>
      <c r="P1354" s="2" t="n">
        <v>72</v>
      </c>
      <c r="Q1354" s="2" t="n">
        <v>94</v>
      </c>
      <c r="R1354" s="2" t="n">
        <v>5</v>
      </c>
      <c r="S1354" s="2" t="n">
        <v>14</v>
      </c>
      <c r="T1354" s="2" t="s">
        <v>96</v>
      </c>
      <c r="U1354" s="4" t="n">
        <f aca="false">(M1354+N1354+O1354+P1354)/L1354</f>
        <v>0.0559215237004153</v>
      </c>
      <c r="V1354" s="2" t="str">
        <f aca="false">IF(S1354&lt;=5,"Late night (0-5)",IF(S1354&lt;=11,"Morning (6-11)",IF(S1354&lt;=17,"Afternoon (12-17)","Evening (18-23)")))</f>
        <v>Afternoon (12-17)</v>
      </c>
    </row>
    <row r="1355" customFormat="false" ht="15" hidden="false" customHeight="false" outlineLevel="0" collapsed="false">
      <c r="A1355" s="2" t="s">
        <v>2340</v>
      </c>
      <c r="B1355" s="2" t="s">
        <v>247</v>
      </c>
      <c r="C1355" s="2" t="s">
        <v>24</v>
      </c>
      <c r="D1355" s="3" t="n">
        <v>45797</v>
      </c>
      <c r="E1355" s="2" t="s">
        <v>1474</v>
      </c>
      <c r="F1355" s="2" t="s">
        <v>32</v>
      </c>
      <c r="G1355" s="2" t="n">
        <v>70847</v>
      </c>
      <c r="H1355" s="2" t="n">
        <v>13</v>
      </c>
      <c r="I1355" s="2" t="n">
        <v>126</v>
      </c>
      <c r="J1355" s="2" t="n">
        <v>0</v>
      </c>
      <c r="K1355" s="2" t="n">
        <v>126051</v>
      </c>
      <c r="L1355" s="2" t="n">
        <v>76593</v>
      </c>
      <c r="M1355" s="2" t="n">
        <v>3923</v>
      </c>
      <c r="N1355" s="2" t="n">
        <v>211</v>
      </c>
      <c r="O1355" s="2" t="n">
        <v>1093</v>
      </c>
      <c r="P1355" s="2" t="n">
        <v>832</v>
      </c>
      <c r="Q1355" s="2" t="n">
        <v>724</v>
      </c>
      <c r="R1355" s="2" t="n">
        <v>180</v>
      </c>
      <c r="S1355" s="2" t="n">
        <v>8</v>
      </c>
      <c r="T1355" s="2" t="s">
        <v>51</v>
      </c>
      <c r="U1355" s="4" t="n">
        <f aca="false">(M1355+N1355+O1355+P1355)/L1355</f>
        <v>0.0791064457587508</v>
      </c>
      <c r="V1355" s="2" t="str">
        <f aca="false">IF(S1355&lt;=5,"Late night (0-5)",IF(S1355&lt;=11,"Morning (6-11)",IF(S1355&lt;=17,"Afternoon (12-17)","Evening (18-23)")))</f>
        <v>Morning (6-11)</v>
      </c>
    </row>
    <row r="1356" customFormat="false" ht="15" hidden="false" customHeight="false" outlineLevel="0" collapsed="false">
      <c r="A1356" s="2" t="s">
        <v>2341</v>
      </c>
      <c r="B1356" s="2" t="s">
        <v>123</v>
      </c>
      <c r="C1356" s="2" t="s">
        <v>24</v>
      </c>
      <c r="D1356" s="3" t="n">
        <v>45987</v>
      </c>
      <c r="E1356" s="2" t="s">
        <v>2342</v>
      </c>
      <c r="F1356" s="2" t="s">
        <v>38</v>
      </c>
      <c r="G1356" s="2" t="n">
        <v>41391</v>
      </c>
      <c r="H1356" s="2" t="n">
        <v>0</v>
      </c>
      <c r="I1356" s="2" t="n">
        <v>34</v>
      </c>
      <c r="J1356" s="2" t="n">
        <v>1</v>
      </c>
      <c r="K1356" s="2" t="n">
        <v>16718</v>
      </c>
      <c r="L1356" s="2" t="n">
        <v>10108</v>
      </c>
      <c r="M1356" s="2" t="n">
        <v>793</v>
      </c>
      <c r="N1356" s="2" t="n">
        <v>16</v>
      </c>
      <c r="O1356" s="2" t="n">
        <v>151</v>
      </c>
      <c r="P1356" s="2" t="n">
        <v>128</v>
      </c>
      <c r="Q1356" s="2" t="n">
        <v>279</v>
      </c>
      <c r="R1356" s="2" t="n">
        <v>68</v>
      </c>
      <c r="S1356" s="2" t="n">
        <v>17</v>
      </c>
      <c r="T1356" s="2" t="s">
        <v>66</v>
      </c>
      <c r="U1356" s="4" t="n">
        <f aca="false">(M1356+N1356+O1356+P1356)/L1356</f>
        <v>0.107637514839731</v>
      </c>
      <c r="V1356" s="2" t="str">
        <f aca="false">IF(S1356&lt;=5,"Late night (0-5)",IF(S1356&lt;=11,"Morning (6-11)",IF(S1356&lt;=17,"Afternoon (12-17)","Evening (18-23)")))</f>
        <v>Afternoon (12-17)</v>
      </c>
    </row>
    <row r="1357" customFormat="false" ht="15" hidden="false" customHeight="false" outlineLevel="0" collapsed="false">
      <c r="A1357" s="2" t="s">
        <v>2343</v>
      </c>
      <c r="B1357" s="2" t="s">
        <v>360</v>
      </c>
      <c r="C1357" s="2" t="s">
        <v>48</v>
      </c>
      <c r="D1357" s="3" t="n">
        <v>45930</v>
      </c>
      <c r="E1357" s="2" t="s">
        <v>1118</v>
      </c>
      <c r="F1357" s="2" t="s">
        <v>50</v>
      </c>
      <c r="G1357" s="2" t="n">
        <v>19542</v>
      </c>
      <c r="H1357" s="2" t="n">
        <v>20</v>
      </c>
      <c r="I1357" s="2" t="n">
        <v>186</v>
      </c>
      <c r="J1357" s="2" t="n">
        <v>1</v>
      </c>
      <c r="K1357" s="2" t="n">
        <v>6871</v>
      </c>
      <c r="L1357" s="2" t="n">
        <v>5900</v>
      </c>
      <c r="M1357" s="2" t="n">
        <v>369</v>
      </c>
      <c r="N1357" s="2" t="n">
        <v>24</v>
      </c>
      <c r="O1357" s="2" t="n">
        <v>37</v>
      </c>
      <c r="P1357" s="2" t="n">
        <v>46</v>
      </c>
      <c r="Q1357" s="2" t="n">
        <v>36</v>
      </c>
      <c r="R1357" s="2" t="n">
        <v>2</v>
      </c>
      <c r="S1357" s="2" t="n">
        <v>13</v>
      </c>
      <c r="T1357" s="2" t="s">
        <v>51</v>
      </c>
      <c r="U1357" s="4" t="n">
        <f aca="false">(M1357+N1357+O1357+P1357)/L1357</f>
        <v>0.0806779661016949</v>
      </c>
      <c r="V1357" s="2" t="str">
        <f aca="false">IF(S1357&lt;=5,"Late night (0-5)",IF(S1357&lt;=11,"Morning (6-11)",IF(S1357&lt;=17,"Afternoon (12-17)","Evening (18-23)")))</f>
        <v>Afternoon (12-17)</v>
      </c>
    </row>
    <row r="1358" customFormat="false" ht="15" hidden="false" customHeight="false" outlineLevel="0" collapsed="false">
      <c r="A1358" s="2" t="s">
        <v>2344</v>
      </c>
      <c r="B1358" s="2" t="s">
        <v>319</v>
      </c>
      <c r="C1358" s="2" t="s">
        <v>84</v>
      </c>
      <c r="D1358" s="3" t="n">
        <v>45919</v>
      </c>
      <c r="E1358" s="2" t="s">
        <v>2345</v>
      </c>
      <c r="F1358" s="2" t="s">
        <v>26</v>
      </c>
      <c r="G1358" s="2" t="n">
        <v>49810</v>
      </c>
      <c r="H1358" s="2" t="n">
        <v>14</v>
      </c>
      <c r="I1358" s="2" t="n">
        <v>192</v>
      </c>
      <c r="J1358" s="2" t="n">
        <v>1</v>
      </c>
      <c r="K1358" s="2" t="n">
        <v>160512</v>
      </c>
      <c r="L1358" s="2" t="n">
        <v>91157</v>
      </c>
      <c r="M1358" s="2" t="n">
        <v>3257</v>
      </c>
      <c r="N1358" s="2" t="n">
        <v>250</v>
      </c>
      <c r="O1358" s="2" t="n">
        <v>527</v>
      </c>
      <c r="P1358" s="2" t="n">
        <v>349</v>
      </c>
      <c r="Q1358" s="2" t="n">
        <v>1639</v>
      </c>
      <c r="R1358" s="2" t="n">
        <v>96</v>
      </c>
      <c r="S1358" s="2" t="n">
        <v>22</v>
      </c>
      <c r="T1358" s="2" t="s">
        <v>96</v>
      </c>
      <c r="U1358" s="4" t="n">
        <f aca="false">(M1358+N1358+O1358+P1358)/L1358</f>
        <v>0.0480818807113003</v>
      </c>
      <c r="V1358" s="2" t="str">
        <f aca="false">IF(S1358&lt;=5,"Late night (0-5)",IF(S1358&lt;=11,"Morning (6-11)",IF(S1358&lt;=17,"Afternoon (12-17)","Evening (18-23)")))</f>
        <v>Evening (18-23)</v>
      </c>
    </row>
    <row r="1359" customFormat="false" ht="15" hidden="false" customHeight="false" outlineLevel="0" collapsed="false">
      <c r="A1359" s="2" t="s">
        <v>2346</v>
      </c>
      <c r="B1359" s="2" t="s">
        <v>138</v>
      </c>
      <c r="C1359" s="2" t="s">
        <v>41</v>
      </c>
      <c r="D1359" s="3" t="n">
        <v>45968</v>
      </c>
      <c r="E1359" s="2" t="s">
        <v>1678</v>
      </c>
      <c r="F1359" s="2" t="s">
        <v>32</v>
      </c>
      <c r="G1359" s="2" t="n">
        <v>18712</v>
      </c>
      <c r="H1359" s="2" t="n">
        <v>18</v>
      </c>
      <c r="I1359" s="2" t="n">
        <v>143</v>
      </c>
      <c r="J1359" s="2" t="n">
        <v>1</v>
      </c>
      <c r="K1359" s="2" t="n">
        <v>57304</v>
      </c>
      <c r="L1359" s="2" t="n">
        <v>47360</v>
      </c>
      <c r="M1359" s="2" t="n">
        <v>4596</v>
      </c>
      <c r="N1359" s="2" t="n">
        <v>320</v>
      </c>
      <c r="O1359" s="2" t="n">
        <v>1124</v>
      </c>
      <c r="P1359" s="2" t="n">
        <v>936</v>
      </c>
      <c r="Q1359" s="2" t="n">
        <v>1093</v>
      </c>
      <c r="R1359" s="2" t="n">
        <v>256</v>
      </c>
      <c r="S1359" s="2" t="n">
        <v>8</v>
      </c>
      <c r="T1359" s="2" t="s">
        <v>96</v>
      </c>
      <c r="U1359" s="4" t="n">
        <f aca="false">(M1359+N1359+O1359+P1359)/L1359</f>
        <v>0.147297297297297</v>
      </c>
      <c r="V1359" s="2" t="str">
        <f aca="false">IF(S1359&lt;=5,"Late night (0-5)",IF(S1359&lt;=11,"Morning (6-11)",IF(S1359&lt;=17,"Afternoon (12-17)","Evening (18-23)")))</f>
        <v>Morning (6-11)</v>
      </c>
    </row>
    <row r="1360" customFormat="false" ht="15" hidden="false" customHeight="false" outlineLevel="0" collapsed="false">
      <c r="A1360" s="2" t="s">
        <v>2347</v>
      </c>
      <c r="B1360" s="2" t="s">
        <v>181</v>
      </c>
      <c r="C1360" s="2" t="s">
        <v>91</v>
      </c>
      <c r="D1360" s="3" t="n">
        <v>45998</v>
      </c>
      <c r="E1360" s="2" t="s">
        <v>1183</v>
      </c>
      <c r="F1360" s="2" t="s">
        <v>38</v>
      </c>
      <c r="G1360" s="2" t="n">
        <v>31658</v>
      </c>
      <c r="H1360" s="2" t="n">
        <v>6</v>
      </c>
      <c r="I1360" s="2" t="n">
        <v>206</v>
      </c>
      <c r="J1360" s="2" t="n">
        <v>0</v>
      </c>
      <c r="K1360" s="2" t="n">
        <v>15764</v>
      </c>
      <c r="L1360" s="2" t="n">
        <v>10881</v>
      </c>
      <c r="M1360" s="2" t="n">
        <v>690</v>
      </c>
      <c r="N1360" s="2" t="n">
        <v>45</v>
      </c>
      <c r="O1360" s="2" t="n">
        <v>112</v>
      </c>
      <c r="P1360" s="2" t="n">
        <v>187</v>
      </c>
      <c r="Q1360" s="2" t="n">
        <v>283</v>
      </c>
      <c r="R1360" s="2" t="n">
        <v>43</v>
      </c>
      <c r="S1360" s="2" t="n">
        <v>0</v>
      </c>
      <c r="T1360" s="2" t="s">
        <v>27</v>
      </c>
      <c r="U1360" s="4" t="n">
        <f aca="false">(M1360+N1360+O1360+P1360)/L1360</f>
        <v>0.0950280305119015</v>
      </c>
      <c r="V1360" s="2" t="str">
        <f aca="false">IF(S1360&lt;=5,"Late night (0-5)",IF(S1360&lt;=11,"Morning (6-11)",IF(S1360&lt;=17,"Afternoon (12-17)","Evening (18-23)")))</f>
        <v>Late night (0-5)</v>
      </c>
    </row>
    <row r="1361" customFormat="false" ht="15" hidden="false" customHeight="false" outlineLevel="0" collapsed="false">
      <c r="A1361" s="2" t="s">
        <v>2348</v>
      </c>
      <c r="B1361" s="2" t="s">
        <v>227</v>
      </c>
      <c r="C1361" s="2" t="s">
        <v>54</v>
      </c>
      <c r="D1361" s="3" t="n">
        <v>45863</v>
      </c>
      <c r="E1361" s="2" t="s">
        <v>1311</v>
      </c>
      <c r="F1361" s="2" t="s">
        <v>50</v>
      </c>
      <c r="G1361" s="2" t="n">
        <v>11796</v>
      </c>
      <c r="H1361" s="2" t="n">
        <v>22</v>
      </c>
      <c r="I1361" s="2" t="n">
        <v>158</v>
      </c>
      <c r="J1361" s="2" t="n">
        <v>1</v>
      </c>
      <c r="K1361" s="2" t="n">
        <v>5188</v>
      </c>
      <c r="L1361" s="2" t="n">
        <v>2956</v>
      </c>
      <c r="M1361" s="2" t="n">
        <v>238</v>
      </c>
      <c r="N1361" s="2" t="n">
        <v>12</v>
      </c>
      <c r="O1361" s="2" t="n">
        <v>44</v>
      </c>
      <c r="P1361" s="2" t="n">
        <v>50</v>
      </c>
      <c r="Q1361" s="2" t="n">
        <v>79</v>
      </c>
      <c r="R1361" s="2" t="n">
        <v>7</v>
      </c>
      <c r="S1361" s="2" t="n">
        <v>4</v>
      </c>
      <c r="T1361" s="2" t="s">
        <v>96</v>
      </c>
      <c r="U1361" s="4" t="n">
        <f aca="false">(M1361+N1361+O1361+P1361)/L1361</f>
        <v>0.11637347767253</v>
      </c>
      <c r="V1361" s="2" t="str">
        <f aca="false">IF(S1361&lt;=5,"Late night (0-5)",IF(S1361&lt;=11,"Morning (6-11)",IF(S1361&lt;=17,"Afternoon (12-17)","Evening (18-23)")))</f>
        <v>Late night (0-5)</v>
      </c>
    </row>
    <row r="1362" customFormat="false" ht="15" hidden="false" customHeight="false" outlineLevel="0" collapsed="false">
      <c r="A1362" s="2" t="s">
        <v>2349</v>
      </c>
      <c r="B1362" s="2" t="s">
        <v>310</v>
      </c>
      <c r="C1362" s="2" t="s">
        <v>91</v>
      </c>
      <c r="D1362" s="3" t="n">
        <v>45981</v>
      </c>
      <c r="E1362" s="2" t="s">
        <v>590</v>
      </c>
      <c r="F1362" s="2" t="s">
        <v>38</v>
      </c>
      <c r="G1362" s="2" t="n">
        <v>56571</v>
      </c>
      <c r="H1362" s="2" t="n">
        <v>8</v>
      </c>
      <c r="I1362" s="2" t="n">
        <v>108</v>
      </c>
      <c r="J1362" s="2" t="n">
        <v>1</v>
      </c>
      <c r="K1362" s="2" t="n">
        <v>39467</v>
      </c>
      <c r="L1362" s="2" t="n">
        <v>27831</v>
      </c>
      <c r="M1362" s="2" t="n">
        <v>1369</v>
      </c>
      <c r="N1362" s="2" t="n">
        <v>82</v>
      </c>
      <c r="O1362" s="2" t="n">
        <v>154</v>
      </c>
      <c r="P1362" s="2" t="n">
        <v>93</v>
      </c>
      <c r="Q1362" s="2" t="n">
        <v>381</v>
      </c>
      <c r="R1362" s="2" t="n">
        <v>28</v>
      </c>
      <c r="S1362" s="2" t="n">
        <v>21</v>
      </c>
      <c r="T1362" s="2" t="s">
        <v>79</v>
      </c>
      <c r="U1362" s="4" t="n">
        <f aca="false">(M1362+N1362+O1362+P1362)/L1362</f>
        <v>0.0610111027271747</v>
      </c>
      <c r="V1362" s="2" t="str">
        <f aca="false">IF(S1362&lt;=5,"Late night (0-5)",IF(S1362&lt;=11,"Morning (6-11)",IF(S1362&lt;=17,"Afternoon (12-17)","Evening (18-23)")))</f>
        <v>Evening (18-23)</v>
      </c>
    </row>
    <row r="1363" customFormat="false" ht="15" hidden="false" customHeight="false" outlineLevel="0" collapsed="false">
      <c r="A1363" s="2" t="s">
        <v>2350</v>
      </c>
      <c r="B1363" s="2" t="s">
        <v>193</v>
      </c>
      <c r="C1363" s="2" t="s">
        <v>36</v>
      </c>
      <c r="D1363" s="3" t="n">
        <v>45673</v>
      </c>
      <c r="E1363" s="2" t="s">
        <v>267</v>
      </c>
      <c r="F1363" s="2" t="s">
        <v>50</v>
      </c>
      <c r="G1363" s="2" t="n">
        <v>26454</v>
      </c>
      <c r="H1363" s="2" t="n">
        <v>15</v>
      </c>
      <c r="I1363" s="2" t="n">
        <v>10</v>
      </c>
      <c r="J1363" s="2" t="n">
        <v>0</v>
      </c>
      <c r="K1363" s="2" t="n">
        <v>22129</v>
      </c>
      <c r="L1363" s="2" t="n">
        <v>13406</v>
      </c>
      <c r="M1363" s="2" t="n">
        <v>1074</v>
      </c>
      <c r="N1363" s="2" t="n">
        <v>81</v>
      </c>
      <c r="O1363" s="2" t="n">
        <v>148</v>
      </c>
      <c r="P1363" s="2" t="n">
        <v>320</v>
      </c>
      <c r="Q1363" s="2" t="n">
        <v>78</v>
      </c>
      <c r="R1363" s="2" t="n">
        <v>20</v>
      </c>
      <c r="S1363" s="2" t="n">
        <v>18</v>
      </c>
      <c r="T1363" s="2" t="s">
        <v>79</v>
      </c>
      <c r="U1363" s="4" t="n">
        <f aca="false">(M1363+N1363+O1363+P1363)/L1363</f>
        <v>0.121065194688945</v>
      </c>
      <c r="V1363" s="2" t="str">
        <f aca="false">IF(S1363&lt;=5,"Late night (0-5)",IF(S1363&lt;=11,"Morning (6-11)",IF(S1363&lt;=17,"Afternoon (12-17)","Evening (18-23)")))</f>
        <v>Evening (18-23)</v>
      </c>
    </row>
    <row r="1364" customFormat="false" ht="15" hidden="false" customHeight="false" outlineLevel="0" collapsed="false">
      <c r="A1364" s="2" t="s">
        <v>2351</v>
      </c>
      <c r="B1364" s="2" t="s">
        <v>83</v>
      </c>
      <c r="C1364" s="2" t="s">
        <v>84</v>
      </c>
      <c r="D1364" s="3" t="n">
        <v>45808</v>
      </c>
      <c r="E1364" s="2" t="s">
        <v>2352</v>
      </c>
      <c r="F1364" s="2" t="s">
        <v>26</v>
      </c>
      <c r="G1364" s="2" t="n">
        <v>17918</v>
      </c>
      <c r="H1364" s="2" t="n">
        <v>14</v>
      </c>
      <c r="I1364" s="2" t="n">
        <v>234</v>
      </c>
      <c r="J1364" s="2" t="n">
        <v>0</v>
      </c>
      <c r="K1364" s="2" t="n">
        <v>19698</v>
      </c>
      <c r="L1364" s="2" t="n">
        <v>11405</v>
      </c>
      <c r="M1364" s="2" t="n">
        <v>528</v>
      </c>
      <c r="N1364" s="2" t="n">
        <v>30</v>
      </c>
      <c r="O1364" s="2" t="n">
        <v>77</v>
      </c>
      <c r="P1364" s="2" t="n">
        <v>161</v>
      </c>
      <c r="Q1364" s="2" t="n">
        <v>197</v>
      </c>
      <c r="R1364" s="2" t="n">
        <v>29</v>
      </c>
      <c r="S1364" s="2" t="n">
        <v>7</v>
      </c>
      <c r="T1364" s="2" t="s">
        <v>62</v>
      </c>
      <c r="U1364" s="4" t="n">
        <f aca="false">(M1364+N1364+O1364+P1364)/L1364</f>
        <v>0.0697939500219202</v>
      </c>
      <c r="V1364" s="2" t="str">
        <f aca="false">IF(S1364&lt;=5,"Late night (0-5)",IF(S1364&lt;=11,"Morning (6-11)",IF(S1364&lt;=17,"Afternoon (12-17)","Evening (18-23)")))</f>
        <v>Morning (6-11)</v>
      </c>
    </row>
    <row r="1365" customFormat="false" ht="15" hidden="false" customHeight="false" outlineLevel="0" collapsed="false">
      <c r="A1365" s="2" t="s">
        <v>2353</v>
      </c>
      <c r="B1365" s="2" t="s">
        <v>459</v>
      </c>
      <c r="C1365" s="2" t="s">
        <v>84</v>
      </c>
      <c r="D1365" s="3" t="n">
        <v>45849</v>
      </c>
      <c r="E1365" s="2" t="s">
        <v>2354</v>
      </c>
      <c r="F1365" s="2" t="s">
        <v>32</v>
      </c>
      <c r="G1365" s="2" t="n">
        <v>19744</v>
      </c>
      <c r="H1365" s="2" t="n">
        <v>12</v>
      </c>
      <c r="I1365" s="2" t="n">
        <v>68</v>
      </c>
      <c r="J1365" s="2" t="n">
        <v>0</v>
      </c>
      <c r="K1365" s="2" t="n">
        <v>50820</v>
      </c>
      <c r="L1365" s="2" t="n">
        <v>28910</v>
      </c>
      <c r="M1365" s="2" t="n">
        <v>1746</v>
      </c>
      <c r="N1365" s="2" t="n">
        <v>107</v>
      </c>
      <c r="O1365" s="2" t="n">
        <v>397</v>
      </c>
      <c r="P1365" s="2" t="n">
        <v>183</v>
      </c>
      <c r="Q1365" s="2" t="n">
        <v>599</v>
      </c>
      <c r="R1365" s="2" t="n">
        <v>128</v>
      </c>
      <c r="S1365" s="2" t="n">
        <v>15</v>
      </c>
      <c r="T1365" s="2" t="s">
        <v>96</v>
      </c>
      <c r="U1365" s="4" t="n">
        <f aca="false">(M1365+N1365+O1365+P1365)/L1365</f>
        <v>0.0841577308889658</v>
      </c>
      <c r="V1365" s="2" t="str">
        <f aca="false">IF(S1365&lt;=5,"Late night (0-5)",IF(S1365&lt;=11,"Morning (6-11)",IF(S1365&lt;=17,"Afternoon (12-17)","Evening (18-23)")))</f>
        <v>Afternoon (12-17)</v>
      </c>
    </row>
    <row r="1366" customFormat="false" ht="15" hidden="false" customHeight="false" outlineLevel="0" collapsed="false">
      <c r="A1366" s="2" t="s">
        <v>2355</v>
      </c>
      <c r="B1366" s="2" t="s">
        <v>87</v>
      </c>
      <c r="C1366" s="2" t="s">
        <v>36</v>
      </c>
      <c r="D1366" s="3" t="n">
        <v>45925</v>
      </c>
      <c r="E1366" s="2" t="s">
        <v>397</v>
      </c>
      <c r="F1366" s="2" t="s">
        <v>38</v>
      </c>
      <c r="G1366" s="2" t="n">
        <v>25592</v>
      </c>
      <c r="H1366" s="2" t="n">
        <v>17</v>
      </c>
      <c r="I1366" s="2" t="n">
        <v>250</v>
      </c>
      <c r="J1366" s="2" t="n">
        <v>0</v>
      </c>
      <c r="K1366" s="2" t="n">
        <v>26799</v>
      </c>
      <c r="L1366" s="2" t="n">
        <v>15888</v>
      </c>
      <c r="M1366" s="2" t="n">
        <v>1073</v>
      </c>
      <c r="N1366" s="2" t="n">
        <v>36</v>
      </c>
      <c r="O1366" s="2" t="n">
        <v>89</v>
      </c>
      <c r="P1366" s="2" t="n">
        <v>256</v>
      </c>
      <c r="Q1366" s="2" t="n">
        <v>242</v>
      </c>
      <c r="R1366" s="2" t="n">
        <v>56</v>
      </c>
      <c r="S1366" s="2" t="n">
        <v>23</v>
      </c>
      <c r="T1366" s="2" t="s">
        <v>79</v>
      </c>
      <c r="U1366" s="4" t="n">
        <f aca="false">(M1366+N1366+O1366+P1366)/L1366</f>
        <v>0.091515609264854</v>
      </c>
      <c r="V1366" s="2" t="str">
        <f aca="false">IF(S1366&lt;=5,"Late night (0-5)",IF(S1366&lt;=11,"Morning (6-11)",IF(S1366&lt;=17,"Afternoon (12-17)","Evening (18-23)")))</f>
        <v>Evening (18-23)</v>
      </c>
    </row>
    <row r="1367" customFormat="false" ht="15" hidden="false" customHeight="false" outlineLevel="0" collapsed="false">
      <c r="A1367" s="2" t="s">
        <v>2356</v>
      </c>
      <c r="B1367" s="2" t="s">
        <v>264</v>
      </c>
      <c r="C1367" s="2" t="s">
        <v>36</v>
      </c>
      <c r="D1367" s="3" t="n">
        <v>45860</v>
      </c>
      <c r="E1367" s="2" t="s">
        <v>2357</v>
      </c>
      <c r="F1367" s="2" t="s">
        <v>26</v>
      </c>
      <c r="G1367" s="2" t="n">
        <v>22362</v>
      </c>
      <c r="H1367" s="2" t="n">
        <v>13</v>
      </c>
      <c r="I1367" s="2" t="n">
        <v>216</v>
      </c>
      <c r="J1367" s="2" t="n">
        <v>0</v>
      </c>
      <c r="K1367" s="2" t="n">
        <v>23249</v>
      </c>
      <c r="L1367" s="2" t="n">
        <v>15086</v>
      </c>
      <c r="M1367" s="2" t="n">
        <v>1326</v>
      </c>
      <c r="N1367" s="2" t="n">
        <v>99</v>
      </c>
      <c r="O1367" s="2" t="n">
        <v>40</v>
      </c>
      <c r="P1367" s="2" t="n">
        <v>388</v>
      </c>
      <c r="Q1367" s="2" t="n">
        <v>142</v>
      </c>
      <c r="R1367" s="2" t="n">
        <v>17</v>
      </c>
      <c r="S1367" s="2" t="n">
        <v>22</v>
      </c>
      <c r="T1367" s="2" t="s">
        <v>51</v>
      </c>
      <c r="U1367" s="4" t="n">
        <f aca="false">(M1367+N1367+O1367+P1367)/L1367</f>
        <v>0.122829113084979</v>
      </c>
      <c r="V1367" s="2" t="str">
        <f aca="false">IF(S1367&lt;=5,"Late night (0-5)",IF(S1367&lt;=11,"Morning (6-11)",IF(S1367&lt;=17,"Afternoon (12-17)","Evening (18-23)")))</f>
        <v>Evening (18-23)</v>
      </c>
    </row>
    <row r="1368" customFormat="false" ht="15" hidden="false" customHeight="false" outlineLevel="0" collapsed="false">
      <c r="A1368" s="2" t="s">
        <v>2358</v>
      </c>
      <c r="B1368" s="2" t="s">
        <v>29</v>
      </c>
      <c r="C1368" s="2" t="s">
        <v>30</v>
      </c>
      <c r="D1368" s="3" t="n">
        <v>45798</v>
      </c>
      <c r="E1368" s="2" t="s">
        <v>2359</v>
      </c>
      <c r="F1368" s="2" t="s">
        <v>26</v>
      </c>
      <c r="G1368" s="2" t="n">
        <v>11612</v>
      </c>
      <c r="H1368" s="2" t="n">
        <v>3</v>
      </c>
      <c r="I1368" s="2" t="n">
        <v>281</v>
      </c>
      <c r="J1368" s="2" t="n">
        <v>0</v>
      </c>
      <c r="K1368" s="2" t="n">
        <v>11118</v>
      </c>
      <c r="L1368" s="2" t="n">
        <v>6607</v>
      </c>
      <c r="M1368" s="2" t="n">
        <v>591</v>
      </c>
      <c r="N1368" s="2" t="n">
        <v>23</v>
      </c>
      <c r="O1368" s="2" t="n">
        <v>108</v>
      </c>
      <c r="P1368" s="2" t="n">
        <v>208</v>
      </c>
      <c r="Q1368" s="2" t="n">
        <v>44</v>
      </c>
      <c r="R1368" s="2" t="n">
        <v>5</v>
      </c>
      <c r="S1368" s="2" t="n">
        <v>3</v>
      </c>
      <c r="T1368" s="2" t="s">
        <v>66</v>
      </c>
      <c r="U1368" s="4" t="n">
        <f aca="false">(M1368+N1368+O1368+P1368)/L1368</f>
        <v>0.140759800211896</v>
      </c>
      <c r="V1368" s="2" t="str">
        <f aca="false">IF(S1368&lt;=5,"Late night (0-5)",IF(S1368&lt;=11,"Morning (6-11)",IF(S1368&lt;=17,"Afternoon (12-17)","Evening (18-23)")))</f>
        <v>Late night (0-5)</v>
      </c>
    </row>
    <row r="1369" customFormat="false" ht="15" hidden="false" customHeight="false" outlineLevel="0" collapsed="false">
      <c r="A1369" s="2" t="s">
        <v>2360</v>
      </c>
      <c r="B1369" s="2" t="s">
        <v>371</v>
      </c>
      <c r="C1369" s="2" t="s">
        <v>48</v>
      </c>
      <c r="D1369" s="3" t="n">
        <v>45945</v>
      </c>
      <c r="E1369" s="2" t="s">
        <v>1361</v>
      </c>
      <c r="F1369" s="2" t="s">
        <v>26</v>
      </c>
      <c r="G1369" s="2" t="n">
        <v>42479</v>
      </c>
      <c r="H1369" s="2" t="n">
        <v>12</v>
      </c>
      <c r="I1369" s="2" t="n">
        <v>146</v>
      </c>
      <c r="J1369" s="2" t="n">
        <v>0</v>
      </c>
      <c r="K1369" s="2" t="n">
        <v>119112</v>
      </c>
      <c r="L1369" s="2" t="n">
        <v>69009</v>
      </c>
      <c r="M1369" s="2" t="n">
        <v>5213</v>
      </c>
      <c r="N1369" s="2" t="n">
        <v>204</v>
      </c>
      <c r="O1369" s="2" t="n">
        <v>190</v>
      </c>
      <c r="P1369" s="2" t="n">
        <v>2053</v>
      </c>
      <c r="Q1369" s="2" t="n">
        <v>2056</v>
      </c>
      <c r="R1369" s="2" t="n">
        <v>168</v>
      </c>
      <c r="S1369" s="2" t="n">
        <v>11</v>
      </c>
      <c r="T1369" s="2" t="s">
        <v>66</v>
      </c>
      <c r="U1369" s="4" t="n">
        <f aca="false">(M1369+N1369+O1369+P1369)/L1369</f>
        <v>0.111000014490864</v>
      </c>
      <c r="V1369" s="2" t="str">
        <f aca="false">IF(S1369&lt;=5,"Late night (0-5)",IF(S1369&lt;=11,"Morning (6-11)",IF(S1369&lt;=17,"Afternoon (12-17)","Evening (18-23)")))</f>
        <v>Morning (6-11)</v>
      </c>
    </row>
    <row r="1370" customFormat="false" ht="15" hidden="false" customHeight="false" outlineLevel="0" collapsed="false">
      <c r="A1370" s="2" t="s">
        <v>2361</v>
      </c>
      <c r="B1370" s="2" t="s">
        <v>29</v>
      </c>
      <c r="C1370" s="2" t="s">
        <v>30</v>
      </c>
      <c r="D1370" s="3" t="n">
        <v>45963</v>
      </c>
      <c r="E1370" s="2" t="s">
        <v>2362</v>
      </c>
      <c r="F1370" s="2" t="s">
        <v>38</v>
      </c>
      <c r="G1370" s="2" t="n">
        <v>11612</v>
      </c>
      <c r="H1370" s="2" t="n">
        <v>23</v>
      </c>
      <c r="I1370" s="2" t="n">
        <v>163</v>
      </c>
      <c r="J1370" s="2" t="n">
        <v>0</v>
      </c>
      <c r="K1370" s="2" t="n">
        <v>9664</v>
      </c>
      <c r="L1370" s="2" t="n">
        <v>5984</v>
      </c>
      <c r="M1370" s="2" t="n">
        <v>200</v>
      </c>
      <c r="N1370" s="2" t="n">
        <v>10</v>
      </c>
      <c r="O1370" s="2" t="n">
        <v>19</v>
      </c>
      <c r="P1370" s="2" t="n">
        <v>33</v>
      </c>
      <c r="Q1370" s="2" t="n">
        <v>93</v>
      </c>
      <c r="R1370" s="2" t="n">
        <v>8</v>
      </c>
      <c r="S1370" s="2" t="n">
        <v>20</v>
      </c>
      <c r="T1370" s="2" t="s">
        <v>27</v>
      </c>
      <c r="U1370" s="4" t="n">
        <f aca="false">(M1370+N1370+O1370+P1370)/L1370</f>
        <v>0.0437834224598931</v>
      </c>
      <c r="V1370" s="2" t="str">
        <f aca="false">IF(S1370&lt;=5,"Late night (0-5)",IF(S1370&lt;=11,"Morning (6-11)",IF(S1370&lt;=17,"Afternoon (12-17)","Evening (18-23)")))</f>
        <v>Evening (18-23)</v>
      </c>
    </row>
    <row r="1371" customFormat="false" ht="15" hidden="false" customHeight="false" outlineLevel="0" collapsed="false">
      <c r="A1371" s="2" t="s">
        <v>2363</v>
      </c>
      <c r="B1371" s="2" t="s">
        <v>148</v>
      </c>
      <c r="C1371" s="2" t="s">
        <v>48</v>
      </c>
      <c r="D1371" s="3" t="n">
        <v>45816</v>
      </c>
      <c r="E1371" s="2" t="s">
        <v>2321</v>
      </c>
      <c r="F1371" s="2" t="s">
        <v>32</v>
      </c>
      <c r="G1371" s="2" t="n">
        <v>46311</v>
      </c>
      <c r="H1371" s="2" t="n">
        <v>9</v>
      </c>
      <c r="I1371" s="2" t="n">
        <v>309</v>
      </c>
      <c r="J1371" s="2" t="n">
        <v>1</v>
      </c>
      <c r="K1371" s="2" t="n">
        <v>26810</v>
      </c>
      <c r="L1371" s="2" t="n">
        <v>21729</v>
      </c>
      <c r="M1371" s="2" t="n">
        <v>1795</v>
      </c>
      <c r="N1371" s="2" t="n">
        <v>142</v>
      </c>
      <c r="O1371" s="2" t="n">
        <v>450</v>
      </c>
      <c r="P1371" s="2" t="n">
        <v>192</v>
      </c>
      <c r="Q1371" s="2" t="n">
        <v>248</v>
      </c>
      <c r="R1371" s="2" t="n">
        <v>28</v>
      </c>
      <c r="S1371" s="2" t="n">
        <v>10</v>
      </c>
      <c r="T1371" s="2" t="s">
        <v>27</v>
      </c>
      <c r="U1371" s="4" t="n">
        <f aca="false">(M1371+N1371+O1371+P1371)/L1371</f>
        <v>0.118689309218096</v>
      </c>
      <c r="V1371" s="2" t="str">
        <f aca="false">IF(S1371&lt;=5,"Late night (0-5)",IF(S1371&lt;=11,"Morning (6-11)",IF(S1371&lt;=17,"Afternoon (12-17)","Evening (18-23)")))</f>
        <v>Morning (6-11)</v>
      </c>
    </row>
    <row r="1372" customFormat="false" ht="15" hidden="false" customHeight="false" outlineLevel="0" collapsed="false">
      <c r="A1372" s="2" t="s">
        <v>2364</v>
      </c>
      <c r="B1372" s="2" t="s">
        <v>123</v>
      </c>
      <c r="C1372" s="2" t="s">
        <v>24</v>
      </c>
      <c r="D1372" s="3" t="n">
        <v>45680</v>
      </c>
      <c r="E1372" s="2" t="s">
        <v>1217</v>
      </c>
      <c r="F1372" s="2" t="s">
        <v>32</v>
      </c>
      <c r="G1372" s="2" t="n">
        <v>41391</v>
      </c>
      <c r="H1372" s="2" t="n">
        <v>17</v>
      </c>
      <c r="I1372" s="2" t="n">
        <v>97</v>
      </c>
      <c r="J1372" s="2" t="n">
        <v>1</v>
      </c>
      <c r="K1372" s="2" t="n">
        <v>95596</v>
      </c>
      <c r="L1372" s="2" t="n">
        <v>63529</v>
      </c>
      <c r="M1372" s="2" t="n">
        <v>5669</v>
      </c>
      <c r="N1372" s="2" t="n">
        <v>303</v>
      </c>
      <c r="O1372" s="2" t="n">
        <v>260</v>
      </c>
      <c r="P1372" s="2" t="n">
        <v>683</v>
      </c>
      <c r="Q1372" s="2" t="n">
        <v>1554</v>
      </c>
      <c r="R1372" s="2" t="n">
        <v>366</v>
      </c>
      <c r="S1372" s="2" t="n">
        <v>2</v>
      </c>
      <c r="T1372" s="2" t="s">
        <v>79</v>
      </c>
      <c r="U1372" s="4" t="n">
        <f aca="false">(M1372+N1372+O1372+P1372)/L1372</f>
        <v>0.10884792771805</v>
      </c>
      <c r="V1372" s="2" t="str">
        <f aca="false">IF(S1372&lt;=5,"Late night (0-5)",IF(S1372&lt;=11,"Morning (6-11)",IF(S1372&lt;=17,"Afternoon (12-17)","Evening (18-23)")))</f>
        <v>Late night (0-5)</v>
      </c>
    </row>
    <row r="1373" customFormat="false" ht="15" hidden="false" customHeight="false" outlineLevel="0" collapsed="false">
      <c r="A1373" s="2" t="s">
        <v>2365</v>
      </c>
      <c r="B1373" s="2" t="s">
        <v>360</v>
      </c>
      <c r="C1373" s="2" t="s">
        <v>48</v>
      </c>
      <c r="D1373" s="3" t="n">
        <v>45768</v>
      </c>
      <c r="E1373" s="2" t="s">
        <v>771</v>
      </c>
      <c r="F1373" s="2" t="s">
        <v>32</v>
      </c>
      <c r="G1373" s="2" t="n">
        <v>19542</v>
      </c>
      <c r="H1373" s="2" t="n">
        <v>12</v>
      </c>
      <c r="I1373" s="2" t="n">
        <v>78</v>
      </c>
      <c r="J1373" s="2" t="n">
        <v>0</v>
      </c>
      <c r="K1373" s="2" t="n">
        <v>22012</v>
      </c>
      <c r="L1373" s="2" t="n">
        <v>15382</v>
      </c>
      <c r="M1373" s="2" t="n">
        <v>653</v>
      </c>
      <c r="N1373" s="2" t="n">
        <v>28</v>
      </c>
      <c r="O1373" s="2" t="n">
        <v>96</v>
      </c>
      <c r="P1373" s="2" t="n">
        <v>138</v>
      </c>
      <c r="Q1373" s="2" t="n">
        <v>288</v>
      </c>
      <c r="R1373" s="2" t="n">
        <v>77</v>
      </c>
      <c r="S1373" s="2" t="n">
        <v>4</v>
      </c>
      <c r="T1373" s="2" t="s">
        <v>33</v>
      </c>
      <c r="U1373" s="4" t="n">
        <f aca="false">(M1373+N1373+O1373+P1373)/L1373</f>
        <v>0.0594851124691198</v>
      </c>
      <c r="V1373" s="2" t="str">
        <f aca="false">IF(S1373&lt;=5,"Late night (0-5)",IF(S1373&lt;=11,"Morning (6-11)",IF(S1373&lt;=17,"Afternoon (12-17)","Evening (18-23)")))</f>
        <v>Late night (0-5)</v>
      </c>
    </row>
    <row r="1374" customFormat="false" ht="15" hidden="false" customHeight="false" outlineLevel="0" collapsed="false">
      <c r="A1374" s="2" t="s">
        <v>2366</v>
      </c>
      <c r="B1374" s="2" t="s">
        <v>44</v>
      </c>
      <c r="C1374" s="2" t="s">
        <v>36</v>
      </c>
      <c r="D1374" s="3" t="n">
        <v>45955</v>
      </c>
      <c r="E1374" s="2" t="s">
        <v>1326</v>
      </c>
      <c r="F1374" s="2" t="s">
        <v>26</v>
      </c>
      <c r="G1374" s="2" t="n">
        <v>6265</v>
      </c>
      <c r="H1374" s="2" t="n">
        <v>5</v>
      </c>
      <c r="I1374" s="2" t="n">
        <v>295</v>
      </c>
      <c r="J1374" s="2" t="n">
        <v>0</v>
      </c>
      <c r="K1374" s="2" t="n">
        <v>7830</v>
      </c>
      <c r="L1374" s="2" t="n">
        <v>6445</v>
      </c>
      <c r="M1374" s="2" t="n">
        <v>383</v>
      </c>
      <c r="N1374" s="2" t="n">
        <v>18</v>
      </c>
      <c r="O1374" s="2" t="n">
        <v>47</v>
      </c>
      <c r="P1374" s="2" t="n">
        <v>41</v>
      </c>
      <c r="Q1374" s="2" t="n">
        <v>56</v>
      </c>
      <c r="R1374" s="2" t="n">
        <v>10</v>
      </c>
      <c r="S1374" s="2" t="n">
        <v>8</v>
      </c>
      <c r="T1374" s="2" t="s">
        <v>62</v>
      </c>
      <c r="U1374" s="4" t="n">
        <f aca="false">(M1374+N1374+O1374+P1374)/L1374</f>
        <v>0.0758727695888286</v>
      </c>
      <c r="V1374" s="2" t="str">
        <f aca="false">IF(S1374&lt;=5,"Late night (0-5)",IF(S1374&lt;=11,"Morning (6-11)",IF(S1374&lt;=17,"Afternoon (12-17)","Evening (18-23)")))</f>
        <v>Morning (6-11)</v>
      </c>
    </row>
    <row r="1375" customFormat="false" ht="15" hidden="false" customHeight="false" outlineLevel="0" collapsed="false">
      <c r="A1375" s="2" t="s">
        <v>2367</v>
      </c>
      <c r="B1375" s="2" t="s">
        <v>60</v>
      </c>
      <c r="C1375" s="2" t="s">
        <v>41</v>
      </c>
      <c r="D1375" s="3" t="n">
        <v>45727</v>
      </c>
      <c r="E1375" s="2" t="s">
        <v>2368</v>
      </c>
      <c r="F1375" s="2" t="s">
        <v>26</v>
      </c>
      <c r="G1375" s="2" t="n">
        <v>7512</v>
      </c>
      <c r="H1375" s="2" t="n">
        <v>5</v>
      </c>
      <c r="I1375" s="2" t="n">
        <v>241</v>
      </c>
      <c r="J1375" s="2" t="n">
        <v>1</v>
      </c>
      <c r="K1375" s="2" t="n">
        <v>15029</v>
      </c>
      <c r="L1375" s="2" t="n">
        <v>9740</v>
      </c>
      <c r="M1375" s="2" t="n">
        <v>737</v>
      </c>
      <c r="N1375" s="2" t="n">
        <v>32</v>
      </c>
      <c r="O1375" s="2" t="n">
        <v>73</v>
      </c>
      <c r="P1375" s="2" t="n">
        <v>73</v>
      </c>
      <c r="Q1375" s="2" t="n">
        <v>284</v>
      </c>
      <c r="R1375" s="2" t="n">
        <v>30</v>
      </c>
      <c r="S1375" s="2" t="n">
        <v>20</v>
      </c>
      <c r="T1375" s="2" t="s">
        <v>51</v>
      </c>
      <c r="U1375" s="4" t="n">
        <f aca="false">(M1375+N1375+O1375+P1375)/L1375</f>
        <v>0.0939425051334702</v>
      </c>
      <c r="V1375" s="2" t="str">
        <f aca="false">IF(S1375&lt;=5,"Late night (0-5)",IF(S1375&lt;=11,"Morning (6-11)",IF(S1375&lt;=17,"Afternoon (12-17)","Evening (18-23)")))</f>
        <v>Evening (18-23)</v>
      </c>
    </row>
    <row r="1376" customFormat="false" ht="15" hidden="false" customHeight="false" outlineLevel="0" collapsed="false">
      <c r="A1376" s="2" t="s">
        <v>2369</v>
      </c>
      <c r="B1376" s="2" t="s">
        <v>264</v>
      </c>
      <c r="C1376" s="2" t="s">
        <v>36</v>
      </c>
      <c r="D1376" s="3" t="n">
        <v>45672</v>
      </c>
      <c r="E1376" s="2" t="s">
        <v>988</v>
      </c>
      <c r="F1376" s="2" t="s">
        <v>38</v>
      </c>
      <c r="G1376" s="2" t="n">
        <v>22362</v>
      </c>
      <c r="H1376" s="2" t="n">
        <v>16</v>
      </c>
      <c r="I1376" s="2" t="n">
        <v>178</v>
      </c>
      <c r="J1376" s="2" t="n">
        <v>0</v>
      </c>
      <c r="K1376" s="2" t="n">
        <v>11223</v>
      </c>
      <c r="L1376" s="2" t="n">
        <v>9672</v>
      </c>
      <c r="M1376" s="2" t="n">
        <v>781</v>
      </c>
      <c r="N1376" s="2" t="n">
        <v>15</v>
      </c>
      <c r="O1376" s="2" t="n">
        <v>120</v>
      </c>
      <c r="P1376" s="2" t="n">
        <v>231</v>
      </c>
      <c r="Q1376" s="2" t="n">
        <v>164</v>
      </c>
      <c r="R1376" s="2" t="n">
        <v>23</v>
      </c>
      <c r="S1376" s="2" t="n">
        <v>15</v>
      </c>
      <c r="T1376" s="2" t="s">
        <v>66</v>
      </c>
      <c r="U1376" s="4" t="n">
        <f aca="false">(M1376+N1376+O1376+P1376)/L1376</f>
        <v>0.118589743589744</v>
      </c>
      <c r="V1376" s="2" t="str">
        <f aca="false">IF(S1376&lt;=5,"Late night (0-5)",IF(S1376&lt;=11,"Morning (6-11)",IF(S1376&lt;=17,"Afternoon (12-17)","Evening (18-23)")))</f>
        <v>Afternoon (12-17)</v>
      </c>
    </row>
    <row r="1377" customFormat="false" ht="15" hidden="false" customHeight="false" outlineLevel="0" collapsed="false">
      <c r="A1377" s="2" t="s">
        <v>2370</v>
      </c>
      <c r="B1377" s="2" t="s">
        <v>360</v>
      </c>
      <c r="C1377" s="2" t="s">
        <v>48</v>
      </c>
      <c r="D1377" s="3" t="n">
        <v>46007</v>
      </c>
      <c r="E1377" s="2" t="s">
        <v>1726</v>
      </c>
      <c r="F1377" s="2" t="s">
        <v>38</v>
      </c>
      <c r="G1377" s="2" t="n">
        <v>19542</v>
      </c>
      <c r="H1377" s="2" t="n">
        <v>12</v>
      </c>
      <c r="I1377" s="2" t="n">
        <v>196</v>
      </c>
      <c r="J1377" s="2" t="n">
        <v>1</v>
      </c>
      <c r="K1377" s="2" t="n">
        <v>31886</v>
      </c>
      <c r="L1377" s="2" t="n">
        <v>21932</v>
      </c>
      <c r="M1377" s="2" t="n">
        <v>1357</v>
      </c>
      <c r="N1377" s="2" t="n">
        <v>85</v>
      </c>
      <c r="O1377" s="2" t="n">
        <v>174</v>
      </c>
      <c r="P1377" s="2" t="n">
        <v>91</v>
      </c>
      <c r="Q1377" s="2" t="n">
        <v>550</v>
      </c>
      <c r="R1377" s="2" t="n">
        <v>154</v>
      </c>
      <c r="S1377" s="2" t="n">
        <v>19</v>
      </c>
      <c r="T1377" s="2" t="s">
        <v>51</v>
      </c>
      <c r="U1377" s="4" t="n">
        <f aca="false">(M1377+N1377+O1377+P1377)/L1377</f>
        <v>0.0778314791172716</v>
      </c>
      <c r="V1377" s="2" t="str">
        <f aca="false">IF(S1377&lt;=5,"Late night (0-5)",IF(S1377&lt;=11,"Morning (6-11)",IF(S1377&lt;=17,"Afternoon (12-17)","Evening (18-23)")))</f>
        <v>Evening (18-23)</v>
      </c>
    </row>
    <row r="1378" customFormat="false" ht="15" hidden="false" customHeight="false" outlineLevel="0" collapsed="false">
      <c r="A1378" s="2" t="s">
        <v>2371</v>
      </c>
      <c r="B1378" s="2" t="s">
        <v>87</v>
      </c>
      <c r="C1378" s="2" t="s">
        <v>36</v>
      </c>
      <c r="D1378" s="3" t="n">
        <v>45889</v>
      </c>
      <c r="E1378" s="2" t="s">
        <v>275</v>
      </c>
      <c r="F1378" s="2" t="s">
        <v>32</v>
      </c>
      <c r="G1378" s="2" t="n">
        <v>25592</v>
      </c>
      <c r="H1378" s="2" t="n">
        <v>24</v>
      </c>
      <c r="I1378" s="2" t="n">
        <v>98</v>
      </c>
      <c r="J1378" s="2" t="n">
        <v>0</v>
      </c>
      <c r="K1378" s="2" t="n">
        <v>66190</v>
      </c>
      <c r="L1378" s="2" t="n">
        <v>45015</v>
      </c>
      <c r="M1378" s="2" t="n">
        <v>3935</v>
      </c>
      <c r="N1378" s="2" t="n">
        <v>161</v>
      </c>
      <c r="O1378" s="2" t="n">
        <v>618</v>
      </c>
      <c r="P1378" s="2" t="n">
        <v>903</v>
      </c>
      <c r="Q1378" s="2" t="n">
        <v>481</v>
      </c>
      <c r="R1378" s="2" t="n">
        <v>87</v>
      </c>
      <c r="S1378" s="2" t="n">
        <v>14</v>
      </c>
      <c r="T1378" s="2" t="s">
        <v>66</v>
      </c>
      <c r="U1378" s="4" t="n">
        <f aca="false">(M1378+N1378+O1378+P1378)/L1378</f>
        <v>0.124780628679329</v>
      </c>
      <c r="V1378" s="2" t="str">
        <f aca="false">IF(S1378&lt;=5,"Late night (0-5)",IF(S1378&lt;=11,"Morning (6-11)",IF(S1378&lt;=17,"Afternoon (12-17)","Evening (18-23)")))</f>
        <v>Afternoon (12-17)</v>
      </c>
    </row>
    <row r="1379" customFormat="false" ht="15" hidden="false" customHeight="false" outlineLevel="0" collapsed="false">
      <c r="A1379" s="2" t="s">
        <v>2372</v>
      </c>
      <c r="B1379" s="2" t="s">
        <v>181</v>
      </c>
      <c r="C1379" s="2" t="s">
        <v>91</v>
      </c>
      <c r="D1379" s="3" t="n">
        <v>45678</v>
      </c>
      <c r="E1379" s="2" t="s">
        <v>1729</v>
      </c>
      <c r="F1379" s="2" t="s">
        <v>38</v>
      </c>
      <c r="G1379" s="2" t="n">
        <v>31658</v>
      </c>
      <c r="H1379" s="2" t="n">
        <v>11</v>
      </c>
      <c r="I1379" s="2" t="n">
        <v>110</v>
      </c>
      <c r="J1379" s="2" t="n">
        <v>0</v>
      </c>
      <c r="K1379" s="2" t="n">
        <v>22340</v>
      </c>
      <c r="L1379" s="2" t="n">
        <v>14997</v>
      </c>
      <c r="M1379" s="2" t="n">
        <v>671</v>
      </c>
      <c r="N1379" s="2" t="n">
        <v>46</v>
      </c>
      <c r="O1379" s="2" t="n">
        <v>28</v>
      </c>
      <c r="P1379" s="2" t="n">
        <v>139</v>
      </c>
      <c r="Q1379" s="2" t="n">
        <v>120</v>
      </c>
      <c r="R1379" s="2" t="n">
        <v>25</v>
      </c>
      <c r="S1379" s="2" t="n">
        <v>21</v>
      </c>
      <c r="T1379" s="2" t="s">
        <v>51</v>
      </c>
      <c r="U1379" s="4" t="n">
        <f aca="false">(M1379+N1379+O1379+P1379)/L1379</f>
        <v>0.0589451223578049</v>
      </c>
      <c r="V1379" s="2" t="str">
        <f aca="false">IF(S1379&lt;=5,"Late night (0-5)",IF(S1379&lt;=11,"Morning (6-11)",IF(S1379&lt;=17,"Afternoon (12-17)","Evening (18-23)")))</f>
        <v>Evening (18-23)</v>
      </c>
    </row>
    <row r="1380" customFormat="false" ht="15" hidden="false" customHeight="false" outlineLevel="0" collapsed="false">
      <c r="A1380" s="2" t="s">
        <v>2373</v>
      </c>
      <c r="B1380" s="2" t="s">
        <v>60</v>
      </c>
      <c r="C1380" s="2" t="s">
        <v>41</v>
      </c>
      <c r="D1380" s="3" t="n">
        <v>45894</v>
      </c>
      <c r="E1380" s="2" t="s">
        <v>1385</v>
      </c>
      <c r="F1380" s="2" t="s">
        <v>32</v>
      </c>
      <c r="G1380" s="2" t="n">
        <v>7512</v>
      </c>
      <c r="H1380" s="2" t="n">
        <v>18</v>
      </c>
      <c r="I1380" s="2" t="n">
        <v>182</v>
      </c>
      <c r="J1380" s="2" t="n">
        <v>0</v>
      </c>
      <c r="K1380" s="2" t="n">
        <v>10464</v>
      </c>
      <c r="L1380" s="2" t="n">
        <v>6722</v>
      </c>
      <c r="M1380" s="2" t="n">
        <v>294</v>
      </c>
      <c r="N1380" s="2" t="n">
        <v>14</v>
      </c>
      <c r="O1380" s="2" t="n">
        <v>65</v>
      </c>
      <c r="P1380" s="2" t="n">
        <v>19</v>
      </c>
      <c r="Q1380" s="2" t="n">
        <v>91</v>
      </c>
      <c r="R1380" s="2" t="n">
        <v>20</v>
      </c>
      <c r="S1380" s="2" t="n">
        <v>23</v>
      </c>
      <c r="T1380" s="2" t="s">
        <v>33</v>
      </c>
      <c r="U1380" s="4" t="n">
        <f aca="false">(M1380+N1380+O1380+P1380)/L1380</f>
        <v>0.0583159773876822</v>
      </c>
      <c r="V1380" s="2" t="str">
        <f aca="false">IF(S1380&lt;=5,"Late night (0-5)",IF(S1380&lt;=11,"Morning (6-11)",IF(S1380&lt;=17,"Afternoon (12-17)","Evening (18-23)")))</f>
        <v>Evening (18-23)</v>
      </c>
    </row>
    <row r="1381" customFormat="false" ht="15" hidden="false" customHeight="false" outlineLevel="0" collapsed="false">
      <c r="A1381" s="2" t="s">
        <v>2374</v>
      </c>
      <c r="B1381" s="2" t="s">
        <v>44</v>
      </c>
      <c r="C1381" s="2" t="s">
        <v>36</v>
      </c>
      <c r="D1381" s="3" t="n">
        <v>45709</v>
      </c>
      <c r="E1381" s="2" t="s">
        <v>494</v>
      </c>
      <c r="F1381" s="2" t="s">
        <v>26</v>
      </c>
      <c r="G1381" s="2" t="n">
        <v>6265</v>
      </c>
      <c r="H1381" s="2" t="n">
        <v>0</v>
      </c>
      <c r="I1381" s="2" t="n">
        <v>214</v>
      </c>
      <c r="J1381" s="2" t="n">
        <v>1</v>
      </c>
      <c r="K1381" s="2" t="n">
        <v>8894</v>
      </c>
      <c r="L1381" s="2" t="n">
        <v>5052</v>
      </c>
      <c r="M1381" s="2" t="n">
        <v>199</v>
      </c>
      <c r="N1381" s="2" t="n">
        <v>6</v>
      </c>
      <c r="O1381" s="2" t="n">
        <v>26</v>
      </c>
      <c r="P1381" s="2" t="n">
        <v>82</v>
      </c>
      <c r="Q1381" s="2" t="n">
        <v>73</v>
      </c>
      <c r="R1381" s="2" t="n">
        <v>15</v>
      </c>
      <c r="S1381" s="2" t="n">
        <v>23</v>
      </c>
      <c r="T1381" s="2" t="s">
        <v>96</v>
      </c>
      <c r="U1381" s="4" t="n">
        <f aca="false">(M1381+N1381+O1381+P1381)/L1381</f>
        <v>0.0619556611243072</v>
      </c>
      <c r="V1381" s="2" t="str">
        <f aca="false">IF(S1381&lt;=5,"Late night (0-5)",IF(S1381&lt;=11,"Morning (6-11)",IF(S1381&lt;=17,"Afternoon (12-17)","Evening (18-23)")))</f>
        <v>Evening (18-23)</v>
      </c>
    </row>
    <row r="1382" customFormat="false" ht="15" hidden="false" customHeight="false" outlineLevel="0" collapsed="false">
      <c r="A1382" s="2" t="s">
        <v>2375</v>
      </c>
      <c r="B1382" s="2" t="s">
        <v>94</v>
      </c>
      <c r="C1382" s="2" t="s">
        <v>30</v>
      </c>
      <c r="D1382" s="3" t="n">
        <v>45659</v>
      </c>
      <c r="E1382" s="2" t="s">
        <v>2376</v>
      </c>
      <c r="F1382" s="2" t="s">
        <v>26</v>
      </c>
      <c r="G1382" s="2" t="n">
        <v>58559</v>
      </c>
      <c r="H1382" s="2" t="n">
        <v>14</v>
      </c>
      <c r="I1382" s="2" t="n">
        <v>110</v>
      </c>
      <c r="J1382" s="2" t="n">
        <v>0</v>
      </c>
      <c r="K1382" s="2" t="n">
        <v>61174</v>
      </c>
      <c r="L1382" s="2" t="n">
        <v>37123</v>
      </c>
      <c r="M1382" s="2" t="n">
        <v>2719</v>
      </c>
      <c r="N1382" s="2" t="n">
        <v>97</v>
      </c>
      <c r="O1382" s="2" t="n">
        <v>224</v>
      </c>
      <c r="P1382" s="2" t="n">
        <v>1046</v>
      </c>
      <c r="Q1382" s="2" t="n">
        <v>400</v>
      </c>
      <c r="R1382" s="2" t="n">
        <v>89</v>
      </c>
      <c r="S1382" s="2" t="n">
        <v>11</v>
      </c>
      <c r="T1382" s="2" t="s">
        <v>79</v>
      </c>
      <c r="U1382" s="4" t="n">
        <f aca="false">(M1382+N1382+O1382+P1382)/L1382</f>
        <v>0.11006653557094</v>
      </c>
      <c r="V1382" s="2" t="str">
        <f aca="false">IF(S1382&lt;=5,"Late night (0-5)",IF(S1382&lt;=11,"Morning (6-11)",IF(S1382&lt;=17,"Afternoon (12-17)","Evening (18-23)")))</f>
        <v>Morning (6-11)</v>
      </c>
    </row>
    <row r="1383" customFormat="false" ht="15" hidden="false" customHeight="false" outlineLevel="0" collapsed="false">
      <c r="A1383" s="2" t="s">
        <v>2377</v>
      </c>
      <c r="B1383" s="2" t="s">
        <v>35</v>
      </c>
      <c r="C1383" s="2" t="s">
        <v>36</v>
      </c>
      <c r="D1383" s="3" t="n">
        <v>45745</v>
      </c>
      <c r="E1383" s="2" t="s">
        <v>1272</v>
      </c>
      <c r="F1383" s="2" t="s">
        <v>50</v>
      </c>
      <c r="G1383" s="2" t="n">
        <v>33933</v>
      </c>
      <c r="H1383" s="2" t="n">
        <v>0</v>
      </c>
      <c r="I1383" s="2" t="n">
        <v>212</v>
      </c>
      <c r="J1383" s="2" t="n">
        <v>1</v>
      </c>
      <c r="K1383" s="2" t="n">
        <v>11985</v>
      </c>
      <c r="L1383" s="2" t="n">
        <v>10399</v>
      </c>
      <c r="M1383" s="2" t="n">
        <v>574</v>
      </c>
      <c r="N1383" s="2" t="n">
        <v>34</v>
      </c>
      <c r="O1383" s="2" t="n">
        <v>99</v>
      </c>
      <c r="P1383" s="2" t="n">
        <v>109</v>
      </c>
      <c r="Q1383" s="2" t="n">
        <v>218</v>
      </c>
      <c r="R1383" s="2" t="n">
        <v>20</v>
      </c>
      <c r="S1383" s="2" t="n">
        <v>13</v>
      </c>
      <c r="T1383" s="2" t="s">
        <v>62</v>
      </c>
      <c r="U1383" s="4" t="n">
        <f aca="false">(M1383+N1383+O1383+P1383)/L1383</f>
        <v>0.0784690835657275</v>
      </c>
      <c r="V1383" s="2" t="str">
        <f aca="false">IF(S1383&lt;=5,"Late night (0-5)",IF(S1383&lt;=11,"Morning (6-11)",IF(S1383&lt;=17,"Afternoon (12-17)","Evening (18-23)")))</f>
        <v>Afternoon (12-17)</v>
      </c>
    </row>
    <row r="1384" customFormat="false" ht="15" hidden="false" customHeight="false" outlineLevel="0" collapsed="false">
      <c r="A1384" s="2" t="s">
        <v>2378</v>
      </c>
      <c r="B1384" s="2" t="s">
        <v>148</v>
      </c>
      <c r="C1384" s="2" t="s">
        <v>48</v>
      </c>
      <c r="D1384" s="3" t="n">
        <v>45761</v>
      </c>
      <c r="E1384" s="2" t="s">
        <v>265</v>
      </c>
      <c r="F1384" s="2" t="s">
        <v>26</v>
      </c>
      <c r="G1384" s="2" t="n">
        <v>46311</v>
      </c>
      <c r="H1384" s="2" t="n">
        <v>16</v>
      </c>
      <c r="I1384" s="2" t="n">
        <v>162</v>
      </c>
      <c r="J1384" s="2" t="n">
        <v>1</v>
      </c>
      <c r="K1384" s="2" t="n">
        <v>89808</v>
      </c>
      <c r="L1384" s="2" t="n">
        <v>53104</v>
      </c>
      <c r="M1384" s="2" t="n">
        <v>3666</v>
      </c>
      <c r="N1384" s="2" t="n">
        <v>159</v>
      </c>
      <c r="O1384" s="2" t="n">
        <v>553</v>
      </c>
      <c r="P1384" s="2" t="n">
        <v>1303</v>
      </c>
      <c r="Q1384" s="2" t="n">
        <v>668</v>
      </c>
      <c r="R1384" s="2" t="n">
        <v>199</v>
      </c>
      <c r="S1384" s="2" t="n">
        <v>15</v>
      </c>
      <c r="T1384" s="2" t="s">
        <v>33</v>
      </c>
      <c r="U1384" s="4" t="n">
        <f aca="false">(M1384+N1384+O1384+P1384)/L1384</f>
        <v>0.106978758662248</v>
      </c>
      <c r="V1384" s="2" t="str">
        <f aca="false">IF(S1384&lt;=5,"Late night (0-5)",IF(S1384&lt;=11,"Morning (6-11)",IF(S1384&lt;=17,"Afternoon (12-17)","Evening (18-23)")))</f>
        <v>Afternoon (12-17)</v>
      </c>
    </row>
    <row r="1385" customFormat="false" ht="15" hidden="false" customHeight="false" outlineLevel="0" collapsed="false">
      <c r="A1385" s="2" t="s">
        <v>2379</v>
      </c>
      <c r="B1385" s="2" t="s">
        <v>240</v>
      </c>
      <c r="C1385" s="2" t="s">
        <v>41</v>
      </c>
      <c r="D1385" s="3" t="n">
        <v>46021</v>
      </c>
      <c r="E1385" s="2" t="s">
        <v>2092</v>
      </c>
      <c r="F1385" s="2" t="s">
        <v>26</v>
      </c>
      <c r="G1385" s="2" t="n">
        <v>83197</v>
      </c>
      <c r="H1385" s="2" t="n">
        <v>11</v>
      </c>
      <c r="I1385" s="2" t="n">
        <v>140</v>
      </c>
      <c r="J1385" s="2" t="n">
        <v>0</v>
      </c>
      <c r="K1385" s="2" t="n">
        <v>64765</v>
      </c>
      <c r="L1385" s="2" t="n">
        <v>37015</v>
      </c>
      <c r="M1385" s="2" t="n">
        <v>3113</v>
      </c>
      <c r="N1385" s="2" t="n">
        <v>88</v>
      </c>
      <c r="O1385" s="2" t="n">
        <v>135</v>
      </c>
      <c r="P1385" s="2" t="n">
        <v>558</v>
      </c>
      <c r="Q1385" s="2" t="n">
        <v>747</v>
      </c>
      <c r="R1385" s="2" t="n">
        <v>149</v>
      </c>
      <c r="S1385" s="2" t="n">
        <v>5</v>
      </c>
      <c r="T1385" s="2" t="s">
        <v>51</v>
      </c>
      <c r="U1385" s="4" t="n">
        <f aca="false">(M1385+N1385+O1385+P1385)/L1385</f>
        <v>0.10520059435364</v>
      </c>
      <c r="V1385" s="2" t="str">
        <f aca="false">IF(S1385&lt;=5,"Late night (0-5)",IF(S1385&lt;=11,"Morning (6-11)",IF(S1385&lt;=17,"Afternoon (12-17)","Evening (18-23)")))</f>
        <v>Late night (0-5)</v>
      </c>
    </row>
    <row r="1386" customFormat="false" ht="15" hidden="false" customHeight="false" outlineLevel="0" collapsed="false">
      <c r="A1386" s="2" t="s">
        <v>2380</v>
      </c>
      <c r="B1386" s="2" t="s">
        <v>151</v>
      </c>
      <c r="C1386" s="2" t="s">
        <v>36</v>
      </c>
      <c r="D1386" s="3" t="n">
        <v>45747</v>
      </c>
      <c r="E1386" s="2" t="s">
        <v>2381</v>
      </c>
      <c r="F1386" s="2" t="s">
        <v>38</v>
      </c>
      <c r="G1386" s="2" t="n">
        <v>19247</v>
      </c>
      <c r="H1386" s="2" t="n">
        <v>8</v>
      </c>
      <c r="I1386" s="2" t="n">
        <v>221</v>
      </c>
      <c r="J1386" s="2" t="n">
        <v>1</v>
      </c>
      <c r="K1386" s="2" t="n">
        <v>11455</v>
      </c>
      <c r="L1386" s="2" t="n">
        <v>6593</v>
      </c>
      <c r="M1386" s="2" t="n">
        <v>273</v>
      </c>
      <c r="N1386" s="2" t="n">
        <v>17</v>
      </c>
      <c r="O1386" s="2" t="n">
        <v>48</v>
      </c>
      <c r="P1386" s="2" t="n">
        <v>73</v>
      </c>
      <c r="Q1386" s="2" t="n">
        <v>108</v>
      </c>
      <c r="R1386" s="2" t="n">
        <v>12</v>
      </c>
      <c r="S1386" s="2" t="n">
        <v>3</v>
      </c>
      <c r="T1386" s="2" t="s">
        <v>33</v>
      </c>
      <c r="U1386" s="4" t="n">
        <f aca="false">(M1386+N1386+O1386+P1386)/L1386</f>
        <v>0.0623388442287274</v>
      </c>
      <c r="V1386" s="2" t="str">
        <f aca="false">IF(S1386&lt;=5,"Late night (0-5)",IF(S1386&lt;=11,"Morning (6-11)",IF(S1386&lt;=17,"Afternoon (12-17)","Evening (18-23)")))</f>
        <v>Late night (0-5)</v>
      </c>
    </row>
    <row r="1387" customFormat="false" ht="15" hidden="false" customHeight="false" outlineLevel="0" collapsed="false">
      <c r="A1387" s="2" t="s">
        <v>2382</v>
      </c>
      <c r="B1387" s="2" t="s">
        <v>126</v>
      </c>
      <c r="C1387" s="2" t="s">
        <v>36</v>
      </c>
      <c r="D1387" s="3" t="n">
        <v>45696</v>
      </c>
      <c r="E1387" s="2" t="s">
        <v>2383</v>
      </c>
      <c r="F1387" s="2" t="s">
        <v>26</v>
      </c>
      <c r="G1387" s="2" t="n">
        <v>28784</v>
      </c>
      <c r="H1387" s="2" t="n">
        <v>9</v>
      </c>
      <c r="I1387" s="2" t="n">
        <v>199</v>
      </c>
      <c r="J1387" s="2" t="n">
        <v>0</v>
      </c>
      <c r="K1387" s="2" t="n">
        <v>22115</v>
      </c>
      <c r="L1387" s="2" t="n">
        <v>15102</v>
      </c>
      <c r="M1387" s="2" t="n">
        <v>1312</v>
      </c>
      <c r="N1387" s="2" t="n">
        <v>65</v>
      </c>
      <c r="O1387" s="2" t="n">
        <v>238</v>
      </c>
      <c r="P1387" s="2" t="n">
        <v>108</v>
      </c>
      <c r="Q1387" s="2" t="n">
        <v>323</v>
      </c>
      <c r="R1387" s="2" t="n">
        <v>89</v>
      </c>
      <c r="S1387" s="2" t="n">
        <v>9</v>
      </c>
      <c r="T1387" s="2" t="s">
        <v>62</v>
      </c>
      <c r="U1387" s="4" t="n">
        <f aca="false">(M1387+N1387+O1387+P1387)/L1387</f>
        <v>0.114090848894186</v>
      </c>
      <c r="V1387" s="2" t="str">
        <f aca="false">IF(S1387&lt;=5,"Late night (0-5)",IF(S1387&lt;=11,"Morning (6-11)",IF(S1387&lt;=17,"Afternoon (12-17)","Evening (18-23)")))</f>
        <v>Morning (6-11)</v>
      </c>
    </row>
    <row r="1388" customFormat="false" ht="15" hidden="false" customHeight="false" outlineLevel="0" collapsed="false">
      <c r="A1388" s="2" t="s">
        <v>2384</v>
      </c>
      <c r="B1388" s="2" t="s">
        <v>126</v>
      </c>
      <c r="C1388" s="2" t="s">
        <v>36</v>
      </c>
      <c r="D1388" s="3" t="n">
        <v>45994</v>
      </c>
      <c r="E1388" s="2" t="s">
        <v>427</v>
      </c>
      <c r="F1388" s="2" t="s">
        <v>50</v>
      </c>
      <c r="G1388" s="2" t="n">
        <v>28784</v>
      </c>
      <c r="H1388" s="2" t="n">
        <v>13</v>
      </c>
      <c r="I1388" s="2" t="n">
        <v>155</v>
      </c>
      <c r="J1388" s="2" t="n">
        <v>0</v>
      </c>
      <c r="K1388" s="2" t="n">
        <v>22934</v>
      </c>
      <c r="L1388" s="2" t="n">
        <v>17383</v>
      </c>
      <c r="M1388" s="2" t="n">
        <v>864</v>
      </c>
      <c r="N1388" s="2" t="n">
        <v>45</v>
      </c>
      <c r="O1388" s="2" t="n">
        <v>85</v>
      </c>
      <c r="P1388" s="2" t="n">
        <v>207</v>
      </c>
      <c r="Q1388" s="2" t="n">
        <v>320</v>
      </c>
      <c r="R1388" s="2" t="n">
        <v>32</v>
      </c>
      <c r="S1388" s="2" t="n">
        <v>11</v>
      </c>
      <c r="T1388" s="2" t="s">
        <v>66</v>
      </c>
      <c r="U1388" s="4" t="n">
        <f aca="false">(M1388+N1388+O1388+P1388)/L1388</f>
        <v>0.0690904907093137</v>
      </c>
      <c r="V1388" s="2" t="str">
        <f aca="false">IF(S1388&lt;=5,"Late night (0-5)",IF(S1388&lt;=11,"Morning (6-11)",IF(S1388&lt;=17,"Afternoon (12-17)","Evening (18-23)")))</f>
        <v>Morning (6-11)</v>
      </c>
    </row>
    <row r="1389" customFormat="false" ht="15" hidden="false" customHeight="false" outlineLevel="0" collapsed="false">
      <c r="A1389" s="2" t="s">
        <v>2385</v>
      </c>
      <c r="B1389" s="2" t="s">
        <v>47</v>
      </c>
      <c r="C1389" s="2" t="s">
        <v>48</v>
      </c>
      <c r="D1389" s="3" t="n">
        <v>45747</v>
      </c>
      <c r="E1389" s="2" t="s">
        <v>2386</v>
      </c>
      <c r="F1389" s="2" t="s">
        <v>38</v>
      </c>
      <c r="G1389" s="2" t="n">
        <v>19609</v>
      </c>
      <c r="H1389" s="2" t="n">
        <v>9</v>
      </c>
      <c r="I1389" s="2" t="n">
        <v>238</v>
      </c>
      <c r="J1389" s="2" t="n">
        <v>0</v>
      </c>
      <c r="K1389" s="2" t="n">
        <v>18109</v>
      </c>
      <c r="L1389" s="2" t="n">
        <v>10994</v>
      </c>
      <c r="M1389" s="2" t="n">
        <v>587</v>
      </c>
      <c r="N1389" s="2" t="n">
        <v>14</v>
      </c>
      <c r="O1389" s="2" t="n">
        <v>96</v>
      </c>
      <c r="P1389" s="2" t="n">
        <v>116</v>
      </c>
      <c r="Q1389" s="2" t="n">
        <v>304</v>
      </c>
      <c r="R1389" s="2" t="n">
        <v>24</v>
      </c>
      <c r="S1389" s="2" t="n">
        <v>18</v>
      </c>
      <c r="T1389" s="2" t="s">
        <v>33</v>
      </c>
      <c r="U1389" s="4" t="n">
        <f aca="false">(M1389+N1389+O1389+P1389)/L1389</f>
        <v>0.0739494269601601</v>
      </c>
      <c r="V1389" s="2" t="str">
        <f aca="false">IF(S1389&lt;=5,"Late night (0-5)",IF(S1389&lt;=11,"Morning (6-11)",IF(S1389&lt;=17,"Afternoon (12-17)","Evening (18-23)")))</f>
        <v>Evening (18-23)</v>
      </c>
    </row>
    <row r="1390" customFormat="false" ht="15" hidden="false" customHeight="false" outlineLevel="0" collapsed="false">
      <c r="A1390" s="2" t="s">
        <v>2387</v>
      </c>
      <c r="B1390" s="2" t="s">
        <v>327</v>
      </c>
      <c r="C1390" s="2" t="s">
        <v>91</v>
      </c>
      <c r="D1390" s="3" t="n">
        <v>45992</v>
      </c>
      <c r="E1390" s="2" t="s">
        <v>2388</v>
      </c>
      <c r="F1390" s="2" t="s">
        <v>26</v>
      </c>
      <c r="G1390" s="2" t="n">
        <v>16943</v>
      </c>
      <c r="H1390" s="2" t="n">
        <v>21</v>
      </c>
      <c r="I1390" s="2" t="n">
        <v>120</v>
      </c>
      <c r="J1390" s="2" t="n">
        <v>0</v>
      </c>
      <c r="K1390" s="2" t="n">
        <v>20773</v>
      </c>
      <c r="L1390" s="2" t="n">
        <v>18144</v>
      </c>
      <c r="M1390" s="2" t="n">
        <v>1379</v>
      </c>
      <c r="N1390" s="2" t="n">
        <v>58</v>
      </c>
      <c r="O1390" s="2" t="n">
        <v>130</v>
      </c>
      <c r="P1390" s="2" t="n">
        <v>304</v>
      </c>
      <c r="Q1390" s="2" t="n">
        <v>460</v>
      </c>
      <c r="R1390" s="2" t="n">
        <v>59</v>
      </c>
      <c r="S1390" s="2" t="n">
        <v>8</v>
      </c>
      <c r="T1390" s="2" t="s">
        <v>33</v>
      </c>
      <c r="U1390" s="4" t="n">
        <f aca="false">(M1390+N1390+O1390+P1390)/L1390</f>
        <v>0.103119488536155</v>
      </c>
      <c r="V1390" s="2" t="str">
        <f aca="false">IF(S1390&lt;=5,"Late night (0-5)",IF(S1390&lt;=11,"Morning (6-11)",IF(S1390&lt;=17,"Afternoon (12-17)","Evening (18-23)")))</f>
        <v>Morning (6-11)</v>
      </c>
    </row>
    <row r="1391" customFormat="false" ht="15" hidden="false" customHeight="false" outlineLevel="0" collapsed="false">
      <c r="A1391" s="2" t="s">
        <v>2389</v>
      </c>
      <c r="B1391" s="2" t="s">
        <v>47</v>
      </c>
      <c r="C1391" s="2" t="s">
        <v>48</v>
      </c>
      <c r="D1391" s="3" t="n">
        <v>45934</v>
      </c>
      <c r="E1391" s="2" t="s">
        <v>2390</v>
      </c>
      <c r="F1391" s="2" t="s">
        <v>26</v>
      </c>
      <c r="G1391" s="2" t="n">
        <v>19609</v>
      </c>
      <c r="H1391" s="2" t="n">
        <v>13</v>
      </c>
      <c r="I1391" s="2" t="n">
        <v>52</v>
      </c>
      <c r="J1391" s="2" t="n">
        <v>0</v>
      </c>
      <c r="K1391" s="2" t="n">
        <v>13988</v>
      </c>
      <c r="L1391" s="2" t="n">
        <v>12246</v>
      </c>
      <c r="M1391" s="2" t="n">
        <v>976</v>
      </c>
      <c r="N1391" s="2" t="n">
        <v>36</v>
      </c>
      <c r="O1391" s="2" t="n">
        <v>125</v>
      </c>
      <c r="P1391" s="2" t="n">
        <v>402</v>
      </c>
      <c r="Q1391" s="2" t="n">
        <v>118</v>
      </c>
      <c r="R1391" s="2" t="n">
        <v>16</v>
      </c>
      <c r="S1391" s="2" t="n">
        <v>19</v>
      </c>
      <c r="T1391" s="2" t="s">
        <v>62</v>
      </c>
      <c r="U1391" s="4" t="n">
        <f aca="false">(M1391+N1391+O1391+P1391)/L1391</f>
        <v>0.125673689367957</v>
      </c>
      <c r="V1391" s="2" t="str">
        <f aca="false">IF(S1391&lt;=5,"Late night (0-5)",IF(S1391&lt;=11,"Morning (6-11)",IF(S1391&lt;=17,"Afternoon (12-17)","Evening (18-23)")))</f>
        <v>Evening (18-23)</v>
      </c>
    </row>
    <row r="1392" customFormat="false" ht="15" hidden="false" customHeight="false" outlineLevel="0" collapsed="false">
      <c r="A1392" s="2" t="s">
        <v>2391</v>
      </c>
      <c r="B1392" s="2" t="s">
        <v>138</v>
      </c>
      <c r="C1392" s="2" t="s">
        <v>41</v>
      </c>
      <c r="D1392" s="3" t="n">
        <v>45933</v>
      </c>
      <c r="E1392" s="2" t="s">
        <v>1012</v>
      </c>
      <c r="F1392" s="2" t="s">
        <v>38</v>
      </c>
      <c r="G1392" s="2" t="n">
        <v>18712</v>
      </c>
      <c r="H1392" s="2" t="n">
        <v>1</v>
      </c>
      <c r="I1392" s="2" t="n">
        <v>115</v>
      </c>
      <c r="J1392" s="2" t="n">
        <v>0</v>
      </c>
      <c r="K1392" s="2" t="n">
        <v>13546</v>
      </c>
      <c r="L1392" s="2" t="n">
        <v>8263</v>
      </c>
      <c r="M1392" s="2" t="n">
        <v>565</v>
      </c>
      <c r="N1392" s="2" t="n">
        <v>40</v>
      </c>
      <c r="O1392" s="2" t="n">
        <v>92</v>
      </c>
      <c r="P1392" s="2" t="n">
        <v>79</v>
      </c>
      <c r="Q1392" s="2" t="n">
        <v>171</v>
      </c>
      <c r="R1392" s="2" t="n">
        <v>40</v>
      </c>
      <c r="S1392" s="2" t="n">
        <v>16</v>
      </c>
      <c r="T1392" s="2" t="s">
        <v>96</v>
      </c>
      <c r="U1392" s="4" t="n">
        <f aca="false">(M1392+N1392+O1392+P1392)/L1392</f>
        <v>0.0939126225341886</v>
      </c>
      <c r="V1392" s="2" t="str">
        <f aca="false">IF(S1392&lt;=5,"Late night (0-5)",IF(S1392&lt;=11,"Morning (6-11)",IF(S1392&lt;=17,"Afternoon (12-17)","Evening (18-23)")))</f>
        <v>Afternoon (12-17)</v>
      </c>
    </row>
    <row r="1393" customFormat="false" ht="15" hidden="false" customHeight="false" outlineLevel="0" collapsed="false">
      <c r="A1393" s="2" t="s">
        <v>2392</v>
      </c>
      <c r="B1393" s="2" t="s">
        <v>98</v>
      </c>
      <c r="C1393" s="2" t="s">
        <v>54</v>
      </c>
      <c r="D1393" s="3" t="n">
        <v>45764</v>
      </c>
      <c r="E1393" s="2" t="s">
        <v>716</v>
      </c>
      <c r="F1393" s="2" t="s">
        <v>50</v>
      </c>
      <c r="G1393" s="2" t="n">
        <v>18366</v>
      </c>
      <c r="H1393" s="2" t="n">
        <v>6</v>
      </c>
      <c r="I1393" s="2" t="n">
        <v>27</v>
      </c>
      <c r="J1393" s="2" t="n">
        <v>0</v>
      </c>
      <c r="K1393" s="2" t="n">
        <v>27561</v>
      </c>
      <c r="L1393" s="2" t="n">
        <v>24237</v>
      </c>
      <c r="M1393" s="2" t="n">
        <v>1029</v>
      </c>
      <c r="N1393" s="2" t="n">
        <v>65</v>
      </c>
      <c r="O1393" s="2" t="n">
        <v>96</v>
      </c>
      <c r="P1393" s="2" t="n">
        <v>168</v>
      </c>
      <c r="Q1393" s="2" t="n">
        <v>182</v>
      </c>
      <c r="R1393" s="2" t="n">
        <v>37</v>
      </c>
      <c r="S1393" s="2" t="n">
        <v>6</v>
      </c>
      <c r="T1393" s="2" t="s">
        <v>79</v>
      </c>
      <c r="U1393" s="4" t="n">
        <f aca="false">(M1393+N1393+O1393+P1393)/L1393</f>
        <v>0.0560300367207163</v>
      </c>
      <c r="V1393" s="2" t="str">
        <f aca="false">IF(S1393&lt;=5,"Late night (0-5)",IF(S1393&lt;=11,"Morning (6-11)",IF(S1393&lt;=17,"Afternoon (12-17)","Evening (18-23)")))</f>
        <v>Morning (6-11)</v>
      </c>
    </row>
    <row r="1394" customFormat="false" ht="15" hidden="false" customHeight="false" outlineLevel="0" collapsed="false">
      <c r="A1394" s="2" t="s">
        <v>2393</v>
      </c>
      <c r="B1394" s="2" t="s">
        <v>71</v>
      </c>
      <c r="C1394" s="2" t="s">
        <v>48</v>
      </c>
      <c r="D1394" s="3" t="n">
        <v>45718</v>
      </c>
      <c r="E1394" s="2" t="s">
        <v>1109</v>
      </c>
      <c r="F1394" s="2" t="s">
        <v>50</v>
      </c>
      <c r="G1394" s="2" t="n">
        <v>7316</v>
      </c>
      <c r="H1394" s="2" t="n">
        <v>8</v>
      </c>
      <c r="I1394" s="2" t="n">
        <v>361</v>
      </c>
      <c r="J1394" s="2" t="n">
        <v>0</v>
      </c>
      <c r="K1394" s="2" t="n">
        <v>1463</v>
      </c>
      <c r="L1394" s="2" t="n">
        <v>1297</v>
      </c>
      <c r="M1394" s="2" t="n">
        <v>106</v>
      </c>
      <c r="N1394" s="2" t="n">
        <v>4</v>
      </c>
      <c r="O1394" s="2" t="n">
        <v>3</v>
      </c>
      <c r="P1394" s="2" t="n">
        <v>18</v>
      </c>
      <c r="Q1394" s="2" t="n">
        <v>36</v>
      </c>
      <c r="R1394" s="2" t="n">
        <v>4</v>
      </c>
      <c r="S1394" s="2" t="n">
        <v>1</v>
      </c>
      <c r="T1394" s="2" t="s">
        <v>27</v>
      </c>
      <c r="U1394" s="4" t="n">
        <f aca="false">(M1394+N1394+O1394+P1394)/L1394</f>
        <v>0.101002313030069</v>
      </c>
      <c r="V1394" s="2" t="str">
        <f aca="false">IF(S1394&lt;=5,"Late night (0-5)",IF(S1394&lt;=11,"Morning (6-11)",IF(S1394&lt;=17,"Afternoon (12-17)","Evening (18-23)")))</f>
        <v>Late night (0-5)</v>
      </c>
    </row>
    <row r="1395" customFormat="false" ht="15" hidden="false" customHeight="false" outlineLevel="0" collapsed="false">
      <c r="A1395" s="2" t="s">
        <v>2394</v>
      </c>
      <c r="B1395" s="2" t="s">
        <v>106</v>
      </c>
      <c r="C1395" s="2" t="s">
        <v>91</v>
      </c>
      <c r="D1395" s="3" t="n">
        <v>45765</v>
      </c>
      <c r="E1395" s="2" t="s">
        <v>2395</v>
      </c>
      <c r="F1395" s="2" t="s">
        <v>50</v>
      </c>
      <c r="G1395" s="2" t="n">
        <v>59477</v>
      </c>
      <c r="H1395" s="2" t="n">
        <v>16</v>
      </c>
      <c r="I1395" s="2" t="n">
        <v>327</v>
      </c>
      <c r="J1395" s="2" t="n">
        <v>0</v>
      </c>
      <c r="K1395" s="2" t="n">
        <v>76290</v>
      </c>
      <c r="L1395" s="2" t="n">
        <v>55743</v>
      </c>
      <c r="M1395" s="2" t="n">
        <v>4271</v>
      </c>
      <c r="N1395" s="2" t="n">
        <v>196</v>
      </c>
      <c r="O1395" s="2" t="n">
        <v>182</v>
      </c>
      <c r="P1395" s="2" t="n">
        <v>458</v>
      </c>
      <c r="Q1395" s="2" t="n">
        <v>1477</v>
      </c>
      <c r="R1395" s="2" t="n">
        <v>330</v>
      </c>
      <c r="S1395" s="2" t="n">
        <v>14</v>
      </c>
      <c r="T1395" s="2" t="s">
        <v>96</v>
      </c>
      <c r="U1395" s="4" t="n">
        <f aca="false">(M1395+N1395+O1395+P1395)/L1395</f>
        <v>0.0916168846312541</v>
      </c>
      <c r="V1395" s="2" t="str">
        <f aca="false">IF(S1395&lt;=5,"Late night (0-5)",IF(S1395&lt;=11,"Morning (6-11)",IF(S1395&lt;=17,"Afternoon (12-17)","Evening (18-23)")))</f>
        <v>Afternoon (12-17)</v>
      </c>
    </row>
    <row r="1396" customFormat="false" ht="15" hidden="false" customHeight="false" outlineLevel="0" collapsed="false">
      <c r="A1396" s="2" t="s">
        <v>2396</v>
      </c>
      <c r="B1396" s="2" t="s">
        <v>111</v>
      </c>
      <c r="C1396" s="2" t="s">
        <v>48</v>
      </c>
      <c r="D1396" s="3" t="n">
        <v>45850</v>
      </c>
      <c r="E1396" s="2" t="s">
        <v>1449</v>
      </c>
      <c r="F1396" s="2" t="s">
        <v>32</v>
      </c>
      <c r="G1396" s="2" t="n">
        <v>16824</v>
      </c>
      <c r="H1396" s="2" t="n">
        <v>18</v>
      </c>
      <c r="I1396" s="2" t="n">
        <v>296</v>
      </c>
      <c r="J1396" s="2" t="n">
        <v>1</v>
      </c>
      <c r="K1396" s="2" t="n">
        <v>20682</v>
      </c>
      <c r="L1396" s="2" t="n">
        <v>13051</v>
      </c>
      <c r="M1396" s="2" t="n">
        <v>702</v>
      </c>
      <c r="N1396" s="2" t="n">
        <v>28</v>
      </c>
      <c r="O1396" s="2" t="n">
        <v>91</v>
      </c>
      <c r="P1396" s="2" t="n">
        <v>124</v>
      </c>
      <c r="Q1396" s="2" t="n">
        <v>345</v>
      </c>
      <c r="R1396" s="2" t="n">
        <v>30</v>
      </c>
      <c r="S1396" s="2" t="n">
        <v>3</v>
      </c>
      <c r="T1396" s="2" t="s">
        <v>62</v>
      </c>
      <c r="U1396" s="4" t="n">
        <f aca="false">(M1396+N1396+O1396+P1396)/L1396</f>
        <v>0.0724082445789595</v>
      </c>
      <c r="V1396" s="2" t="str">
        <f aca="false">IF(S1396&lt;=5,"Late night (0-5)",IF(S1396&lt;=11,"Morning (6-11)",IF(S1396&lt;=17,"Afternoon (12-17)","Evening (18-23)")))</f>
        <v>Late night (0-5)</v>
      </c>
    </row>
    <row r="1397" customFormat="false" ht="15" hidden="false" customHeight="false" outlineLevel="0" collapsed="false">
      <c r="A1397" s="2" t="s">
        <v>2397</v>
      </c>
      <c r="B1397" s="2" t="s">
        <v>129</v>
      </c>
      <c r="C1397" s="2" t="s">
        <v>54</v>
      </c>
      <c r="D1397" s="3" t="n">
        <v>45760</v>
      </c>
      <c r="E1397" s="2" t="s">
        <v>2327</v>
      </c>
      <c r="F1397" s="2" t="s">
        <v>32</v>
      </c>
      <c r="G1397" s="2" t="n">
        <v>10312</v>
      </c>
      <c r="H1397" s="2" t="n">
        <v>6</v>
      </c>
      <c r="I1397" s="2" t="n">
        <v>113</v>
      </c>
      <c r="J1397" s="2" t="n">
        <v>1</v>
      </c>
      <c r="K1397" s="2" t="n">
        <v>18715</v>
      </c>
      <c r="L1397" s="2" t="n">
        <v>16766</v>
      </c>
      <c r="M1397" s="2" t="n">
        <v>788</v>
      </c>
      <c r="N1397" s="2" t="n">
        <v>42</v>
      </c>
      <c r="O1397" s="2" t="n">
        <v>166</v>
      </c>
      <c r="P1397" s="2" t="n">
        <v>167</v>
      </c>
      <c r="Q1397" s="2" t="n">
        <v>410</v>
      </c>
      <c r="R1397" s="2" t="n">
        <v>63</v>
      </c>
      <c r="S1397" s="2" t="n">
        <v>9</v>
      </c>
      <c r="T1397" s="2" t="s">
        <v>27</v>
      </c>
      <c r="U1397" s="4" t="n">
        <f aca="false">(M1397+N1397+O1397+P1397)/L1397</f>
        <v>0.069366575211738</v>
      </c>
      <c r="V1397" s="2" t="str">
        <f aca="false">IF(S1397&lt;=5,"Late night (0-5)",IF(S1397&lt;=11,"Morning (6-11)",IF(S1397&lt;=17,"Afternoon (12-17)","Evening (18-23)")))</f>
        <v>Morning (6-11)</v>
      </c>
    </row>
    <row r="1398" customFormat="false" ht="15" hidden="false" customHeight="false" outlineLevel="0" collapsed="false">
      <c r="A1398" s="2" t="s">
        <v>2398</v>
      </c>
      <c r="B1398" s="2" t="s">
        <v>206</v>
      </c>
      <c r="C1398" s="2" t="s">
        <v>48</v>
      </c>
      <c r="D1398" s="3" t="n">
        <v>45809</v>
      </c>
      <c r="E1398" s="2" t="s">
        <v>1681</v>
      </c>
      <c r="F1398" s="2" t="s">
        <v>32</v>
      </c>
      <c r="G1398" s="2" t="n">
        <v>42937</v>
      </c>
      <c r="H1398" s="2" t="n">
        <v>25</v>
      </c>
      <c r="I1398" s="2" t="n">
        <v>303</v>
      </c>
      <c r="J1398" s="2" t="n">
        <v>0</v>
      </c>
      <c r="K1398" s="2" t="n">
        <v>42706</v>
      </c>
      <c r="L1398" s="2" t="n">
        <v>30817</v>
      </c>
      <c r="M1398" s="2" t="n">
        <v>2849</v>
      </c>
      <c r="N1398" s="2" t="n">
        <v>83</v>
      </c>
      <c r="O1398" s="2" t="n">
        <v>704</v>
      </c>
      <c r="P1398" s="2" t="n">
        <v>811</v>
      </c>
      <c r="Q1398" s="2" t="n">
        <v>814</v>
      </c>
      <c r="R1398" s="2" t="n">
        <v>191</v>
      </c>
      <c r="S1398" s="2" t="n">
        <v>11</v>
      </c>
      <c r="T1398" s="2" t="s">
        <v>27</v>
      </c>
      <c r="U1398" s="4" t="n">
        <f aca="false">(M1398+N1398+O1398+P1398)/L1398</f>
        <v>0.144303468864588</v>
      </c>
      <c r="V1398" s="2" t="str">
        <f aca="false">IF(S1398&lt;=5,"Late night (0-5)",IF(S1398&lt;=11,"Morning (6-11)",IF(S1398&lt;=17,"Afternoon (12-17)","Evening (18-23)")))</f>
        <v>Morning (6-11)</v>
      </c>
    </row>
    <row r="1399" customFormat="false" ht="15" hidden="false" customHeight="false" outlineLevel="0" collapsed="false">
      <c r="A1399" s="2" t="s">
        <v>2399</v>
      </c>
      <c r="B1399" s="2" t="s">
        <v>141</v>
      </c>
      <c r="C1399" s="2" t="s">
        <v>48</v>
      </c>
      <c r="D1399" s="3" t="n">
        <v>45746</v>
      </c>
      <c r="E1399" s="2" t="s">
        <v>2400</v>
      </c>
      <c r="F1399" s="2" t="s">
        <v>38</v>
      </c>
      <c r="G1399" s="2" t="n">
        <v>16119</v>
      </c>
      <c r="H1399" s="2" t="n">
        <v>5</v>
      </c>
      <c r="I1399" s="2" t="n">
        <v>109</v>
      </c>
      <c r="J1399" s="2" t="n">
        <v>0</v>
      </c>
      <c r="K1399" s="2" t="n">
        <v>12049</v>
      </c>
      <c r="L1399" s="2" t="n">
        <v>7850</v>
      </c>
      <c r="M1399" s="2" t="n">
        <v>553</v>
      </c>
      <c r="N1399" s="2" t="n">
        <v>27</v>
      </c>
      <c r="O1399" s="2" t="n">
        <v>69</v>
      </c>
      <c r="P1399" s="2" t="n">
        <v>58</v>
      </c>
      <c r="Q1399" s="2" t="n">
        <v>110</v>
      </c>
      <c r="R1399" s="2" t="n">
        <v>24</v>
      </c>
      <c r="S1399" s="2" t="n">
        <v>12</v>
      </c>
      <c r="T1399" s="2" t="s">
        <v>27</v>
      </c>
      <c r="U1399" s="4" t="n">
        <f aca="false">(M1399+N1399+O1399+P1399)/L1399</f>
        <v>0.0900636942675159</v>
      </c>
      <c r="V1399" s="2" t="str">
        <f aca="false">IF(S1399&lt;=5,"Late night (0-5)",IF(S1399&lt;=11,"Morning (6-11)",IF(S1399&lt;=17,"Afternoon (12-17)","Evening (18-23)")))</f>
        <v>Afternoon (12-17)</v>
      </c>
    </row>
    <row r="1400" customFormat="false" ht="15" hidden="false" customHeight="false" outlineLevel="0" collapsed="false">
      <c r="A1400" s="2" t="s">
        <v>2401</v>
      </c>
      <c r="B1400" s="2" t="s">
        <v>371</v>
      </c>
      <c r="C1400" s="2" t="s">
        <v>48</v>
      </c>
      <c r="D1400" s="3" t="n">
        <v>45898</v>
      </c>
      <c r="E1400" s="2" t="s">
        <v>1046</v>
      </c>
      <c r="F1400" s="2" t="s">
        <v>32</v>
      </c>
      <c r="G1400" s="2" t="n">
        <v>42479</v>
      </c>
      <c r="H1400" s="2" t="n">
        <v>10</v>
      </c>
      <c r="I1400" s="2" t="n">
        <v>269</v>
      </c>
      <c r="J1400" s="2" t="n">
        <v>0</v>
      </c>
      <c r="K1400" s="2" t="n">
        <v>22982</v>
      </c>
      <c r="L1400" s="2" t="n">
        <v>18675</v>
      </c>
      <c r="M1400" s="2" t="n">
        <v>1340</v>
      </c>
      <c r="N1400" s="2" t="n">
        <v>29</v>
      </c>
      <c r="O1400" s="2" t="n">
        <v>137</v>
      </c>
      <c r="P1400" s="2" t="n">
        <v>309</v>
      </c>
      <c r="Q1400" s="2" t="n">
        <v>484</v>
      </c>
      <c r="R1400" s="2" t="n">
        <v>33</v>
      </c>
      <c r="S1400" s="2" t="n">
        <v>16</v>
      </c>
      <c r="T1400" s="2" t="s">
        <v>96</v>
      </c>
      <c r="U1400" s="4" t="n">
        <f aca="false">(M1400+N1400+O1400+P1400)/L1400</f>
        <v>0.0971887550200803</v>
      </c>
      <c r="V1400" s="2" t="str">
        <f aca="false">IF(S1400&lt;=5,"Late night (0-5)",IF(S1400&lt;=11,"Morning (6-11)",IF(S1400&lt;=17,"Afternoon (12-17)","Evening (18-23)")))</f>
        <v>Afternoon (12-17)</v>
      </c>
    </row>
    <row r="1401" customFormat="false" ht="15" hidden="false" customHeight="false" outlineLevel="0" collapsed="false">
      <c r="A1401" s="2" t="s">
        <v>2402</v>
      </c>
      <c r="B1401" s="2" t="s">
        <v>360</v>
      </c>
      <c r="C1401" s="2" t="s">
        <v>48</v>
      </c>
      <c r="D1401" s="3" t="n">
        <v>45996</v>
      </c>
      <c r="E1401" s="2" t="s">
        <v>538</v>
      </c>
      <c r="F1401" s="2" t="s">
        <v>38</v>
      </c>
      <c r="G1401" s="2" t="n">
        <v>19542</v>
      </c>
      <c r="H1401" s="2" t="n">
        <v>13</v>
      </c>
      <c r="I1401" s="2" t="n">
        <v>314</v>
      </c>
      <c r="J1401" s="2" t="n">
        <v>1</v>
      </c>
      <c r="K1401" s="2" t="n">
        <v>11935</v>
      </c>
      <c r="L1401" s="2" t="n">
        <v>8005</v>
      </c>
      <c r="M1401" s="2" t="n">
        <v>297</v>
      </c>
      <c r="N1401" s="2" t="n">
        <v>20</v>
      </c>
      <c r="O1401" s="2" t="n">
        <v>22</v>
      </c>
      <c r="P1401" s="2" t="n">
        <v>55</v>
      </c>
      <c r="Q1401" s="2" t="n">
        <v>150</v>
      </c>
      <c r="R1401" s="2" t="n">
        <v>30</v>
      </c>
      <c r="S1401" s="2" t="n">
        <v>3</v>
      </c>
      <c r="T1401" s="2" t="s">
        <v>96</v>
      </c>
      <c r="U1401" s="4" t="n">
        <f aca="false">(M1401+N1401+O1401+P1401)/L1401</f>
        <v>0.0492192379762648</v>
      </c>
      <c r="V1401" s="2" t="str">
        <f aca="false">IF(S1401&lt;=5,"Late night (0-5)",IF(S1401&lt;=11,"Morning (6-11)",IF(S1401&lt;=17,"Afternoon (12-17)","Evening (18-23)")))</f>
        <v>Late night (0-5)</v>
      </c>
    </row>
    <row r="1402" customFormat="false" ht="15" hidden="false" customHeight="false" outlineLevel="0" collapsed="false">
      <c r="A1402" s="2" t="s">
        <v>2403</v>
      </c>
      <c r="B1402" s="2" t="s">
        <v>154</v>
      </c>
      <c r="C1402" s="2" t="s">
        <v>41</v>
      </c>
      <c r="D1402" s="3" t="n">
        <v>45882</v>
      </c>
      <c r="E1402" s="2" t="s">
        <v>710</v>
      </c>
      <c r="F1402" s="2" t="s">
        <v>32</v>
      </c>
      <c r="G1402" s="2" t="n">
        <v>33644</v>
      </c>
      <c r="H1402" s="2" t="n">
        <v>16</v>
      </c>
      <c r="I1402" s="2" t="n">
        <v>249</v>
      </c>
      <c r="J1402" s="2" t="n">
        <v>0</v>
      </c>
      <c r="K1402" s="2" t="n">
        <v>104484</v>
      </c>
      <c r="L1402" s="2" t="n">
        <v>67400</v>
      </c>
      <c r="M1402" s="2" t="n">
        <v>5579</v>
      </c>
      <c r="N1402" s="2" t="n">
        <v>202</v>
      </c>
      <c r="O1402" s="2" t="n">
        <v>779</v>
      </c>
      <c r="P1402" s="2" t="n">
        <v>342</v>
      </c>
      <c r="Q1402" s="2" t="n">
        <v>1662</v>
      </c>
      <c r="R1402" s="2" t="n">
        <v>263</v>
      </c>
      <c r="S1402" s="2" t="n">
        <v>8</v>
      </c>
      <c r="T1402" s="2" t="s">
        <v>66</v>
      </c>
      <c r="U1402" s="4" t="n">
        <f aca="false">(M1402+N1402+O1402+P1402)/L1402</f>
        <v>0.102403560830861</v>
      </c>
      <c r="V1402" s="2" t="str">
        <f aca="false">IF(S1402&lt;=5,"Late night (0-5)",IF(S1402&lt;=11,"Morning (6-11)",IF(S1402&lt;=17,"Afternoon (12-17)","Evening (18-23)")))</f>
        <v>Morning (6-11)</v>
      </c>
    </row>
    <row r="1403" customFormat="false" ht="15" hidden="false" customHeight="false" outlineLevel="0" collapsed="false">
      <c r="A1403" s="2" t="s">
        <v>2404</v>
      </c>
      <c r="B1403" s="2" t="s">
        <v>206</v>
      </c>
      <c r="C1403" s="2" t="s">
        <v>48</v>
      </c>
      <c r="D1403" s="3" t="n">
        <v>45777</v>
      </c>
      <c r="E1403" s="2" t="s">
        <v>252</v>
      </c>
      <c r="F1403" s="2" t="s">
        <v>38</v>
      </c>
      <c r="G1403" s="2" t="n">
        <v>42937</v>
      </c>
      <c r="H1403" s="2" t="n">
        <v>8</v>
      </c>
      <c r="I1403" s="2" t="n">
        <v>83</v>
      </c>
      <c r="J1403" s="2" t="n">
        <v>0</v>
      </c>
      <c r="K1403" s="2" t="n">
        <v>62818</v>
      </c>
      <c r="L1403" s="2" t="n">
        <v>52587</v>
      </c>
      <c r="M1403" s="2" t="n">
        <v>1769</v>
      </c>
      <c r="N1403" s="2" t="n">
        <v>112</v>
      </c>
      <c r="O1403" s="2" t="n">
        <v>323</v>
      </c>
      <c r="P1403" s="2" t="n">
        <v>393</v>
      </c>
      <c r="Q1403" s="2" t="n">
        <v>1546</v>
      </c>
      <c r="R1403" s="2" t="n">
        <v>350</v>
      </c>
      <c r="S1403" s="2" t="n">
        <v>18</v>
      </c>
      <c r="T1403" s="2" t="s">
        <v>66</v>
      </c>
      <c r="U1403" s="4" t="n">
        <f aca="false">(M1403+N1403+O1403+P1403)/L1403</f>
        <v>0.0493848289501208</v>
      </c>
      <c r="V1403" s="2" t="str">
        <f aca="false">IF(S1403&lt;=5,"Late night (0-5)",IF(S1403&lt;=11,"Morning (6-11)",IF(S1403&lt;=17,"Afternoon (12-17)","Evening (18-23)")))</f>
        <v>Evening (18-23)</v>
      </c>
    </row>
    <row r="1404" customFormat="false" ht="15" hidden="false" customHeight="false" outlineLevel="0" collapsed="false">
      <c r="A1404" s="2" t="s">
        <v>2405</v>
      </c>
      <c r="B1404" s="2" t="s">
        <v>310</v>
      </c>
      <c r="C1404" s="2" t="s">
        <v>91</v>
      </c>
      <c r="D1404" s="3" t="n">
        <v>45716</v>
      </c>
      <c r="E1404" s="2" t="s">
        <v>665</v>
      </c>
      <c r="F1404" s="2" t="s">
        <v>26</v>
      </c>
      <c r="G1404" s="2" t="n">
        <v>56571</v>
      </c>
      <c r="H1404" s="2" t="n">
        <v>17</v>
      </c>
      <c r="I1404" s="2" t="n">
        <v>134</v>
      </c>
      <c r="J1404" s="2" t="n">
        <v>1</v>
      </c>
      <c r="K1404" s="2" t="n">
        <v>91915</v>
      </c>
      <c r="L1404" s="2" t="n">
        <v>54980</v>
      </c>
      <c r="M1404" s="2" t="n">
        <v>4877</v>
      </c>
      <c r="N1404" s="2" t="n">
        <v>231</v>
      </c>
      <c r="O1404" s="2" t="n">
        <v>700</v>
      </c>
      <c r="P1404" s="2" t="n">
        <v>841</v>
      </c>
      <c r="Q1404" s="2" t="n">
        <v>395</v>
      </c>
      <c r="R1404" s="2" t="n">
        <v>44</v>
      </c>
      <c r="S1404" s="2" t="n">
        <v>20</v>
      </c>
      <c r="T1404" s="2" t="s">
        <v>96</v>
      </c>
      <c r="U1404" s="4" t="n">
        <f aca="false">(M1404+N1404+O1404+P1404)/L1404</f>
        <v>0.120934885412877</v>
      </c>
      <c r="V1404" s="2" t="str">
        <f aca="false">IF(S1404&lt;=5,"Late night (0-5)",IF(S1404&lt;=11,"Morning (6-11)",IF(S1404&lt;=17,"Afternoon (12-17)","Evening (18-23)")))</f>
        <v>Evening (18-23)</v>
      </c>
    </row>
    <row r="1405" customFormat="false" ht="15" hidden="false" customHeight="false" outlineLevel="0" collapsed="false">
      <c r="A1405" s="2" t="s">
        <v>2406</v>
      </c>
      <c r="B1405" s="2" t="s">
        <v>47</v>
      </c>
      <c r="C1405" s="2" t="s">
        <v>48</v>
      </c>
      <c r="D1405" s="3" t="n">
        <v>45882</v>
      </c>
      <c r="E1405" s="2" t="s">
        <v>2290</v>
      </c>
      <c r="F1405" s="2" t="s">
        <v>26</v>
      </c>
      <c r="G1405" s="2" t="n">
        <v>19609</v>
      </c>
      <c r="H1405" s="2" t="n">
        <v>7</v>
      </c>
      <c r="I1405" s="2" t="n">
        <v>183</v>
      </c>
      <c r="J1405" s="2" t="n">
        <v>0</v>
      </c>
      <c r="K1405" s="2" t="n">
        <v>12107</v>
      </c>
      <c r="L1405" s="2" t="n">
        <v>8868</v>
      </c>
      <c r="M1405" s="2" t="n">
        <v>493</v>
      </c>
      <c r="N1405" s="2" t="n">
        <v>19</v>
      </c>
      <c r="O1405" s="2" t="n">
        <v>27</v>
      </c>
      <c r="P1405" s="2" t="n">
        <v>157</v>
      </c>
      <c r="Q1405" s="2" t="n">
        <v>237</v>
      </c>
      <c r="R1405" s="2" t="n">
        <v>65</v>
      </c>
      <c r="S1405" s="2" t="n">
        <v>22</v>
      </c>
      <c r="T1405" s="2" t="s">
        <v>66</v>
      </c>
      <c r="U1405" s="4" t="n">
        <f aca="false">(M1405+N1405+O1405+P1405)/L1405</f>
        <v>0.0784844384303112</v>
      </c>
      <c r="V1405" s="2" t="str">
        <f aca="false">IF(S1405&lt;=5,"Late night (0-5)",IF(S1405&lt;=11,"Morning (6-11)",IF(S1405&lt;=17,"Afternoon (12-17)","Evening (18-23)")))</f>
        <v>Evening (18-23)</v>
      </c>
    </row>
    <row r="1406" customFormat="false" ht="15" hidden="false" customHeight="false" outlineLevel="0" collapsed="false">
      <c r="A1406" s="2" t="s">
        <v>2407</v>
      </c>
      <c r="B1406" s="2" t="s">
        <v>106</v>
      </c>
      <c r="C1406" s="2" t="s">
        <v>91</v>
      </c>
      <c r="D1406" s="3" t="n">
        <v>45974</v>
      </c>
      <c r="E1406" s="2" t="s">
        <v>1134</v>
      </c>
      <c r="F1406" s="2" t="s">
        <v>26</v>
      </c>
      <c r="G1406" s="2" t="n">
        <v>59477</v>
      </c>
      <c r="H1406" s="2" t="n">
        <v>18</v>
      </c>
      <c r="I1406" s="2" t="n">
        <v>271</v>
      </c>
      <c r="J1406" s="2" t="n">
        <v>0</v>
      </c>
      <c r="K1406" s="2" t="n">
        <v>27074</v>
      </c>
      <c r="L1406" s="2" t="n">
        <v>20932</v>
      </c>
      <c r="M1406" s="2" t="n">
        <v>1875</v>
      </c>
      <c r="N1406" s="2" t="n">
        <v>142</v>
      </c>
      <c r="O1406" s="2" t="n">
        <v>193</v>
      </c>
      <c r="P1406" s="2" t="n">
        <v>162</v>
      </c>
      <c r="Q1406" s="2" t="n">
        <v>263</v>
      </c>
      <c r="R1406" s="2" t="n">
        <v>68</v>
      </c>
      <c r="S1406" s="2" t="n">
        <v>9</v>
      </c>
      <c r="T1406" s="2" t="s">
        <v>79</v>
      </c>
      <c r="U1406" s="4" t="n">
        <f aca="false">(M1406+N1406+O1406+P1406)/L1406</f>
        <v>0.113319319701892</v>
      </c>
      <c r="V1406" s="2" t="str">
        <f aca="false">IF(S1406&lt;=5,"Late night (0-5)",IF(S1406&lt;=11,"Morning (6-11)",IF(S1406&lt;=17,"Afternoon (12-17)","Evening (18-23)")))</f>
        <v>Morning (6-11)</v>
      </c>
    </row>
    <row r="1407" customFormat="false" ht="15" hidden="false" customHeight="false" outlineLevel="0" collapsed="false">
      <c r="A1407" s="2" t="s">
        <v>2408</v>
      </c>
      <c r="B1407" s="2" t="s">
        <v>35</v>
      </c>
      <c r="C1407" s="2" t="s">
        <v>36</v>
      </c>
      <c r="D1407" s="3" t="n">
        <v>45914</v>
      </c>
      <c r="E1407" s="2" t="s">
        <v>1707</v>
      </c>
      <c r="F1407" s="2" t="s">
        <v>26</v>
      </c>
      <c r="G1407" s="2" t="n">
        <v>33933</v>
      </c>
      <c r="H1407" s="2" t="n">
        <v>13</v>
      </c>
      <c r="I1407" s="2" t="n">
        <v>268</v>
      </c>
      <c r="J1407" s="2" t="n">
        <v>0</v>
      </c>
      <c r="K1407" s="2" t="n">
        <v>66127</v>
      </c>
      <c r="L1407" s="2" t="n">
        <v>52581</v>
      </c>
      <c r="M1407" s="2" t="n">
        <v>4079</v>
      </c>
      <c r="N1407" s="2" t="n">
        <v>289</v>
      </c>
      <c r="O1407" s="2" t="n">
        <v>812</v>
      </c>
      <c r="P1407" s="2" t="n">
        <v>1531</v>
      </c>
      <c r="Q1407" s="2" t="n">
        <v>1432</v>
      </c>
      <c r="R1407" s="2" t="n">
        <v>184</v>
      </c>
      <c r="S1407" s="2" t="n">
        <v>23</v>
      </c>
      <c r="T1407" s="2" t="s">
        <v>27</v>
      </c>
      <c r="U1407" s="4" t="n">
        <f aca="false">(M1407+N1407+O1407+P1407)/L1407</f>
        <v>0.127631654019513</v>
      </c>
      <c r="V1407" s="2" t="str">
        <f aca="false">IF(S1407&lt;=5,"Late night (0-5)",IF(S1407&lt;=11,"Morning (6-11)",IF(S1407&lt;=17,"Afternoon (12-17)","Evening (18-23)")))</f>
        <v>Evening (18-23)</v>
      </c>
    </row>
    <row r="1408" customFormat="false" ht="15" hidden="false" customHeight="false" outlineLevel="0" collapsed="false">
      <c r="A1408" s="2" t="s">
        <v>2409</v>
      </c>
      <c r="B1408" s="2" t="s">
        <v>327</v>
      </c>
      <c r="C1408" s="2" t="s">
        <v>91</v>
      </c>
      <c r="D1408" s="3" t="n">
        <v>45824</v>
      </c>
      <c r="E1408" s="2" t="s">
        <v>196</v>
      </c>
      <c r="F1408" s="2" t="s">
        <v>26</v>
      </c>
      <c r="G1408" s="2" t="n">
        <v>16943</v>
      </c>
      <c r="H1408" s="2" t="n">
        <v>18</v>
      </c>
      <c r="I1408" s="2" t="n">
        <v>141</v>
      </c>
      <c r="J1408" s="2" t="n">
        <v>0</v>
      </c>
      <c r="K1408" s="2" t="n">
        <v>5051</v>
      </c>
      <c r="L1408" s="2" t="n">
        <v>3062</v>
      </c>
      <c r="M1408" s="2" t="n">
        <v>143</v>
      </c>
      <c r="N1408" s="2" t="n">
        <v>9</v>
      </c>
      <c r="O1408" s="2" t="n">
        <v>14</v>
      </c>
      <c r="P1408" s="2" t="n">
        <v>12</v>
      </c>
      <c r="Q1408" s="2" t="n">
        <v>89</v>
      </c>
      <c r="R1408" s="2" t="n">
        <v>21</v>
      </c>
      <c r="S1408" s="2" t="n">
        <v>2</v>
      </c>
      <c r="T1408" s="2" t="s">
        <v>33</v>
      </c>
      <c r="U1408" s="4" t="n">
        <f aca="false">(M1408+N1408+O1408+P1408)/L1408</f>
        <v>0.0581319399085565</v>
      </c>
      <c r="V1408" s="2" t="str">
        <f aca="false">IF(S1408&lt;=5,"Late night (0-5)",IF(S1408&lt;=11,"Morning (6-11)",IF(S1408&lt;=17,"Afternoon (12-17)","Evening (18-23)")))</f>
        <v>Late night (0-5)</v>
      </c>
    </row>
    <row r="1409" customFormat="false" ht="15" hidden="false" customHeight="false" outlineLevel="0" collapsed="false">
      <c r="A1409" s="2" t="s">
        <v>2410</v>
      </c>
      <c r="B1409" s="2" t="s">
        <v>240</v>
      </c>
      <c r="C1409" s="2" t="s">
        <v>41</v>
      </c>
      <c r="D1409" s="3" t="n">
        <v>45982</v>
      </c>
      <c r="E1409" s="2" t="s">
        <v>2411</v>
      </c>
      <c r="F1409" s="2" t="s">
        <v>26</v>
      </c>
      <c r="G1409" s="2" t="n">
        <v>83197</v>
      </c>
      <c r="H1409" s="2" t="n">
        <v>8</v>
      </c>
      <c r="I1409" s="2" t="n">
        <v>175</v>
      </c>
      <c r="J1409" s="2" t="n">
        <v>0</v>
      </c>
      <c r="K1409" s="2" t="n">
        <v>103667</v>
      </c>
      <c r="L1409" s="2" t="n">
        <v>85174</v>
      </c>
      <c r="M1409" s="2" t="n">
        <v>4836</v>
      </c>
      <c r="N1409" s="2" t="n">
        <v>138</v>
      </c>
      <c r="O1409" s="2" t="n">
        <v>213</v>
      </c>
      <c r="P1409" s="2" t="n">
        <v>523</v>
      </c>
      <c r="Q1409" s="2" t="n">
        <v>1717</v>
      </c>
      <c r="R1409" s="2" t="n">
        <v>168</v>
      </c>
      <c r="S1409" s="2" t="n">
        <v>20</v>
      </c>
      <c r="T1409" s="2" t="s">
        <v>96</v>
      </c>
      <c r="U1409" s="4" t="n">
        <f aca="false">(M1409+N1409+O1409+P1409)/L1409</f>
        <v>0.0670392373259445</v>
      </c>
      <c r="V1409" s="2" t="str">
        <f aca="false">IF(S1409&lt;=5,"Late night (0-5)",IF(S1409&lt;=11,"Morning (6-11)",IF(S1409&lt;=17,"Afternoon (12-17)","Evening (18-23)")))</f>
        <v>Evening (18-23)</v>
      </c>
    </row>
    <row r="1410" customFormat="false" ht="15" hidden="false" customHeight="false" outlineLevel="0" collapsed="false">
      <c r="A1410" s="2" t="s">
        <v>2412</v>
      </c>
      <c r="B1410" s="2" t="s">
        <v>90</v>
      </c>
      <c r="C1410" s="2" t="s">
        <v>91</v>
      </c>
      <c r="D1410" s="3" t="n">
        <v>45815</v>
      </c>
      <c r="E1410" s="2" t="s">
        <v>420</v>
      </c>
      <c r="F1410" s="2" t="s">
        <v>50</v>
      </c>
      <c r="G1410" s="2" t="n">
        <v>54788</v>
      </c>
      <c r="H1410" s="2" t="n">
        <v>12</v>
      </c>
      <c r="I1410" s="2" t="n">
        <v>127</v>
      </c>
      <c r="J1410" s="2" t="n">
        <v>1</v>
      </c>
      <c r="K1410" s="2" t="n">
        <v>45469</v>
      </c>
      <c r="L1410" s="2" t="n">
        <v>36427</v>
      </c>
      <c r="M1410" s="2" t="n">
        <v>1289</v>
      </c>
      <c r="N1410" s="2" t="n">
        <v>35</v>
      </c>
      <c r="O1410" s="2" t="n">
        <v>54</v>
      </c>
      <c r="P1410" s="2" t="n">
        <v>383</v>
      </c>
      <c r="Q1410" s="2" t="n">
        <v>249</v>
      </c>
      <c r="R1410" s="2" t="n">
        <v>20</v>
      </c>
      <c r="S1410" s="2" t="n">
        <v>17</v>
      </c>
      <c r="T1410" s="2" t="s">
        <v>62</v>
      </c>
      <c r="U1410" s="4" t="n">
        <f aca="false">(M1410+N1410+O1410+P1410)/L1410</f>
        <v>0.0483432618661981</v>
      </c>
      <c r="V1410" s="2" t="str">
        <f aca="false">IF(S1410&lt;=5,"Late night (0-5)",IF(S1410&lt;=11,"Morning (6-11)",IF(S1410&lt;=17,"Afternoon (12-17)","Evening (18-23)")))</f>
        <v>Afternoon (12-17)</v>
      </c>
    </row>
    <row r="1411" customFormat="false" ht="15" hidden="false" customHeight="false" outlineLevel="0" collapsed="false">
      <c r="A1411" s="2" t="s">
        <v>2413</v>
      </c>
      <c r="B1411" s="2" t="s">
        <v>227</v>
      </c>
      <c r="C1411" s="2" t="s">
        <v>54</v>
      </c>
      <c r="D1411" s="3" t="n">
        <v>45694</v>
      </c>
      <c r="E1411" s="2" t="s">
        <v>1231</v>
      </c>
      <c r="F1411" s="2" t="s">
        <v>32</v>
      </c>
      <c r="G1411" s="2" t="n">
        <v>11796</v>
      </c>
      <c r="H1411" s="2" t="n">
        <v>21</v>
      </c>
      <c r="I1411" s="2" t="n">
        <v>245</v>
      </c>
      <c r="J1411" s="2" t="n">
        <v>0</v>
      </c>
      <c r="K1411" s="2" t="n">
        <v>12890</v>
      </c>
      <c r="L1411" s="2" t="n">
        <v>7662</v>
      </c>
      <c r="M1411" s="2" t="n">
        <v>725</v>
      </c>
      <c r="N1411" s="2" t="n">
        <v>29</v>
      </c>
      <c r="O1411" s="2" t="n">
        <v>94</v>
      </c>
      <c r="P1411" s="2" t="n">
        <v>89</v>
      </c>
      <c r="Q1411" s="2" t="n">
        <v>104</v>
      </c>
      <c r="R1411" s="2" t="n">
        <v>14</v>
      </c>
      <c r="S1411" s="2" t="n">
        <v>11</v>
      </c>
      <c r="T1411" s="2" t="s">
        <v>79</v>
      </c>
      <c r="U1411" s="4" t="n">
        <f aca="false">(M1411+N1411+O1411+P1411)/L1411</f>
        <v>0.122291829809449</v>
      </c>
      <c r="V1411" s="2" t="str">
        <f aca="false">IF(S1411&lt;=5,"Late night (0-5)",IF(S1411&lt;=11,"Morning (6-11)",IF(S1411&lt;=17,"Afternoon (12-17)","Evening (18-23)")))</f>
        <v>Morning (6-11)</v>
      </c>
    </row>
    <row r="1412" customFormat="false" ht="15" hidden="false" customHeight="false" outlineLevel="0" collapsed="false">
      <c r="A1412" s="2" t="s">
        <v>2414</v>
      </c>
      <c r="B1412" s="2" t="s">
        <v>452</v>
      </c>
      <c r="C1412" s="2" t="s">
        <v>91</v>
      </c>
      <c r="D1412" s="3" t="n">
        <v>45775</v>
      </c>
      <c r="E1412" s="2" t="s">
        <v>783</v>
      </c>
      <c r="F1412" s="2" t="s">
        <v>32</v>
      </c>
      <c r="G1412" s="2" t="n">
        <v>14201</v>
      </c>
      <c r="H1412" s="2" t="n">
        <v>18</v>
      </c>
      <c r="I1412" s="2" t="n">
        <v>284</v>
      </c>
      <c r="J1412" s="2" t="n">
        <v>1</v>
      </c>
      <c r="K1412" s="2" t="n">
        <v>7133</v>
      </c>
      <c r="L1412" s="2" t="n">
        <v>6305</v>
      </c>
      <c r="M1412" s="2" t="n">
        <v>623</v>
      </c>
      <c r="N1412" s="2" t="n">
        <v>38</v>
      </c>
      <c r="O1412" s="2" t="n">
        <v>34</v>
      </c>
      <c r="P1412" s="2" t="n">
        <v>35</v>
      </c>
      <c r="Q1412" s="2" t="n">
        <v>119</v>
      </c>
      <c r="R1412" s="2" t="n">
        <v>14</v>
      </c>
      <c r="S1412" s="2" t="n">
        <v>1</v>
      </c>
      <c r="T1412" s="2" t="s">
        <v>33</v>
      </c>
      <c r="U1412" s="4" t="n">
        <f aca="false">(M1412+N1412+O1412+P1412)/L1412</f>
        <v>0.115781126090404</v>
      </c>
      <c r="V1412" s="2" t="str">
        <f aca="false">IF(S1412&lt;=5,"Late night (0-5)",IF(S1412&lt;=11,"Morning (6-11)",IF(S1412&lt;=17,"Afternoon (12-17)","Evening (18-23)")))</f>
        <v>Late night (0-5)</v>
      </c>
    </row>
    <row r="1413" customFormat="false" ht="15" hidden="false" customHeight="false" outlineLevel="0" collapsed="false">
      <c r="A1413" s="2" t="s">
        <v>2415</v>
      </c>
      <c r="B1413" s="2" t="s">
        <v>103</v>
      </c>
      <c r="C1413" s="2" t="s">
        <v>36</v>
      </c>
      <c r="D1413" s="3" t="n">
        <v>45801</v>
      </c>
      <c r="E1413" s="2" t="s">
        <v>1172</v>
      </c>
      <c r="F1413" s="2" t="s">
        <v>26</v>
      </c>
      <c r="G1413" s="2" t="n">
        <v>56979</v>
      </c>
      <c r="H1413" s="2" t="n">
        <v>14</v>
      </c>
      <c r="I1413" s="2" t="n">
        <v>48</v>
      </c>
      <c r="J1413" s="2" t="n">
        <v>0</v>
      </c>
      <c r="K1413" s="2" t="n">
        <v>33578</v>
      </c>
      <c r="L1413" s="2" t="n">
        <v>21665</v>
      </c>
      <c r="M1413" s="2" t="n">
        <v>1544</v>
      </c>
      <c r="N1413" s="2" t="n">
        <v>51</v>
      </c>
      <c r="O1413" s="2" t="n">
        <v>173</v>
      </c>
      <c r="P1413" s="2" t="n">
        <v>389</v>
      </c>
      <c r="Q1413" s="2" t="n">
        <v>428</v>
      </c>
      <c r="R1413" s="2" t="n">
        <v>117</v>
      </c>
      <c r="S1413" s="2" t="n">
        <v>10</v>
      </c>
      <c r="T1413" s="2" t="s">
        <v>62</v>
      </c>
      <c r="U1413" s="4" t="n">
        <f aca="false">(M1413+N1413+O1413+P1413)/L1413</f>
        <v>0.0995615047311332</v>
      </c>
      <c r="V1413" s="2" t="str">
        <f aca="false">IF(S1413&lt;=5,"Late night (0-5)",IF(S1413&lt;=11,"Morning (6-11)",IF(S1413&lt;=17,"Afternoon (12-17)","Evening (18-23)")))</f>
        <v>Morning (6-11)</v>
      </c>
    </row>
    <row r="1414" customFormat="false" ht="15" hidden="false" customHeight="false" outlineLevel="0" collapsed="false">
      <c r="A1414" s="2" t="s">
        <v>2416</v>
      </c>
      <c r="B1414" s="2" t="s">
        <v>307</v>
      </c>
      <c r="C1414" s="2" t="s">
        <v>48</v>
      </c>
      <c r="D1414" s="3" t="n">
        <v>45750</v>
      </c>
      <c r="E1414" s="2" t="s">
        <v>2123</v>
      </c>
      <c r="F1414" s="2" t="s">
        <v>38</v>
      </c>
      <c r="G1414" s="2" t="n">
        <v>91358</v>
      </c>
      <c r="H1414" s="2" t="n">
        <v>10</v>
      </c>
      <c r="I1414" s="2" t="n">
        <v>185</v>
      </c>
      <c r="J1414" s="2" t="n">
        <v>0</v>
      </c>
      <c r="K1414" s="2" t="n">
        <v>82667</v>
      </c>
      <c r="L1414" s="2" t="n">
        <v>50362</v>
      </c>
      <c r="M1414" s="2" t="n">
        <v>1512</v>
      </c>
      <c r="N1414" s="2" t="n">
        <v>75</v>
      </c>
      <c r="O1414" s="2" t="n">
        <v>92</v>
      </c>
      <c r="P1414" s="2" t="n">
        <v>320</v>
      </c>
      <c r="Q1414" s="2" t="n">
        <v>1108</v>
      </c>
      <c r="R1414" s="2" t="n">
        <v>194</v>
      </c>
      <c r="S1414" s="2" t="n">
        <v>22</v>
      </c>
      <c r="T1414" s="2" t="s">
        <v>79</v>
      </c>
      <c r="U1414" s="4" t="n">
        <f aca="false">(M1414+N1414+O1414+P1414)/L1414</f>
        <v>0.0396926253921608</v>
      </c>
      <c r="V1414" s="2" t="str">
        <f aca="false">IF(S1414&lt;=5,"Late night (0-5)",IF(S1414&lt;=11,"Morning (6-11)",IF(S1414&lt;=17,"Afternoon (12-17)","Evening (18-23)")))</f>
        <v>Evening (18-23)</v>
      </c>
    </row>
    <row r="1415" customFormat="false" ht="15" hidden="false" customHeight="false" outlineLevel="0" collapsed="false">
      <c r="A1415" s="2" t="s">
        <v>2417</v>
      </c>
      <c r="B1415" s="2" t="s">
        <v>44</v>
      </c>
      <c r="C1415" s="2" t="s">
        <v>36</v>
      </c>
      <c r="D1415" s="3" t="n">
        <v>45866</v>
      </c>
      <c r="E1415" s="2" t="s">
        <v>2418</v>
      </c>
      <c r="F1415" s="2" t="s">
        <v>50</v>
      </c>
      <c r="G1415" s="2" t="n">
        <v>6265</v>
      </c>
      <c r="H1415" s="2" t="n">
        <v>18</v>
      </c>
      <c r="I1415" s="2" t="n">
        <v>144</v>
      </c>
      <c r="J1415" s="2" t="n">
        <v>0</v>
      </c>
      <c r="K1415" s="2" t="n">
        <v>18693</v>
      </c>
      <c r="L1415" s="2" t="n">
        <v>11489</v>
      </c>
      <c r="M1415" s="2" t="n">
        <v>797</v>
      </c>
      <c r="N1415" s="2" t="n">
        <v>48</v>
      </c>
      <c r="O1415" s="2" t="n">
        <v>50</v>
      </c>
      <c r="P1415" s="2" t="n">
        <v>181</v>
      </c>
      <c r="Q1415" s="2" t="n">
        <v>146</v>
      </c>
      <c r="R1415" s="2" t="n">
        <v>43</v>
      </c>
      <c r="S1415" s="2" t="n">
        <v>22</v>
      </c>
      <c r="T1415" s="2" t="s">
        <v>33</v>
      </c>
      <c r="U1415" s="4" t="n">
        <f aca="false">(M1415+N1415+O1415+P1415)/L1415</f>
        <v>0.0936548002437114</v>
      </c>
      <c r="V1415" s="2" t="str">
        <f aca="false">IF(S1415&lt;=5,"Late night (0-5)",IF(S1415&lt;=11,"Morning (6-11)",IF(S1415&lt;=17,"Afternoon (12-17)","Evening (18-23)")))</f>
        <v>Evening (18-23)</v>
      </c>
    </row>
    <row r="1416" customFormat="false" ht="15" hidden="false" customHeight="false" outlineLevel="0" collapsed="false">
      <c r="A1416" s="2" t="s">
        <v>2419</v>
      </c>
      <c r="B1416" s="2" t="s">
        <v>129</v>
      </c>
      <c r="C1416" s="2" t="s">
        <v>54</v>
      </c>
      <c r="D1416" s="3" t="n">
        <v>45987</v>
      </c>
      <c r="E1416" s="2" t="s">
        <v>1669</v>
      </c>
      <c r="F1416" s="2" t="s">
        <v>26</v>
      </c>
      <c r="G1416" s="2" t="n">
        <v>10312</v>
      </c>
      <c r="H1416" s="2" t="n">
        <v>5</v>
      </c>
      <c r="I1416" s="2" t="n">
        <v>148</v>
      </c>
      <c r="J1416" s="2" t="n">
        <v>0</v>
      </c>
      <c r="K1416" s="2" t="n">
        <v>11816</v>
      </c>
      <c r="L1416" s="2" t="n">
        <v>7278</v>
      </c>
      <c r="M1416" s="2" t="n">
        <v>574</v>
      </c>
      <c r="N1416" s="2" t="n">
        <v>26</v>
      </c>
      <c r="O1416" s="2" t="n">
        <v>97</v>
      </c>
      <c r="P1416" s="2" t="n">
        <v>88</v>
      </c>
      <c r="Q1416" s="2" t="n">
        <v>102</v>
      </c>
      <c r="R1416" s="2" t="n">
        <v>9</v>
      </c>
      <c r="S1416" s="2" t="n">
        <v>10</v>
      </c>
      <c r="T1416" s="2" t="s">
        <v>66</v>
      </c>
      <c r="U1416" s="4" t="n">
        <f aca="false">(M1416+N1416+O1416+P1416)/L1416</f>
        <v>0.107859302006046</v>
      </c>
      <c r="V1416" s="2" t="str">
        <f aca="false">IF(S1416&lt;=5,"Late night (0-5)",IF(S1416&lt;=11,"Morning (6-11)",IF(S1416&lt;=17,"Afternoon (12-17)","Evening (18-23)")))</f>
        <v>Morning (6-11)</v>
      </c>
    </row>
    <row r="1417" customFormat="false" ht="15" hidden="false" customHeight="false" outlineLevel="0" collapsed="false">
      <c r="A1417" s="2" t="s">
        <v>2420</v>
      </c>
      <c r="B1417" s="2" t="s">
        <v>77</v>
      </c>
      <c r="C1417" s="2" t="s">
        <v>30</v>
      </c>
      <c r="D1417" s="3" t="n">
        <v>45942</v>
      </c>
      <c r="E1417" s="2" t="s">
        <v>2421</v>
      </c>
      <c r="F1417" s="2" t="s">
        <v>32</v>
      </c>
      <c r="G1417" s="2" t="n">
        <v>17548</v>
      </c>
      <c r="H1417" s="2" t="n">
        <v>19</v>
      </c>
      <c r="I1417" s="2" t="n">
        <v>266</v>
      </c>
      <c r="J1417" s="2" t="n">
        <v>0</v>
      </c>
      <c r="K1417" s="2" t="n">
        <v>49413</v>
      </c>
      <c r="L1417" s="2" t="n">
        <v>29247</v>
      </c>
      <c r="M1417" s="2" t="n">
        <v>3039</v>
      </c>
      <c r="N1417" s="2" t="n">
        <v>83</v>
      </c>
      <c r="O1417" s="2" t="n">
        <v>753</v>
      </c>
      <c r="P1417" s="2" t="n">
        <v>566</v>
      </c>
      <c r="Q1417" s="2" t="n">
        <v>543</v>
      </c>
      <c r="R1417" s="2" t="n">
        <v>149</v>
      </c>
      <c r="S1417" s="2" t="n">
        <v>5</v>
      </c>
      <c r="T1417" s="2" t="s">
        <v>27</v>
      </c>
      <c r="U1417" s="4" t="n">
        <f aca="false">(M1417+N1417+O1417+P1417)/L1417</f>
        <v>0.151844633637638</v>
      </c>
      <c r="V1417" s="2" t="str">
        <f aca="false">IF(S1417&lt;=5,"Late night (0-5)",IF(S1417&lt;=11,"Morning (6-11)",IF(S1417&lt;=17,"Afternoon (12-17)","Evening (18-23)")))</f>
        <v>Late night (0-5)</v>
      </c>
    </row>
    <row r="1418" customFormat="false" ht="15" hidden="false" customHeight="false" outlineLevel="0" collapsed="false">
      <c r="A1418" s="2" t="s">
        <v>2422</v>
      </c>
      <c r="B1418" s="2" t="s">
        <v>77</v>
      </c>
      <c r="C1418" s="2" t="s">
        <v>30</v>
      </c>
      <c r="D1418" s="3" t="n">
        <v>45897</v>
      </c>
      <c r="E1418" s="2" t="s">
        <v>232</v>
      </c>
      <c r="F1418" s="2" t="s">
        <v>32</v>
      </c>
      <c r="G1418" s="2" t="n">
        <v>17548</v>
      </c>
      <c r="H1418" s="2" t="n">
        <v>6</v>
      </c>
      <c r="I1418" s="2" t="n">
        <v>187</v>
      </c>
      <c r="J1418" s="2" t="n">
        <v>0</v>
      </c>
      <c r="K1418" s="2" t="n">
        <v>25475</v>
      </c>
      <c r="L1418" s="2" t="n">
        <v>19844</v>
      </c>
      <c r="M1418" s="2" t="n">
        <v>1717</v>
      </c>
      <c r="N1418" s="2" t="n">
        <v>118</v>
      </c>
      <c r="O1418" s="2" t="n">
        <v>412</v>
      </c>
      <c r="P1418" s="2" t="n">
        <v>416</v>
      </c>
      <c r="Q1418" s="2" t="n">
        <v>540</v>
      </c>
      <c r="R1418" s="2" t="n">
        <v>38</v>
      </c>
      <c r="S1418" s="2" t="n">
        <v>12</v>
      </c>
      <c r="T1418" s="2" t="s">
        <v>79</v>
      </c>
      <c r="U1418" s="4" t="n">
        <f aca="false">(M1418+N1418+O1418+P1418)/L1418</f>
        <v>0.134196734529329</v>
      </c>
      <c r="V1418" s="2" t="str">
        <f aca="false">IF(S1418&lt;=5,"Late night (0-5)",IF(S1418&lt;=11,"Morning (6-11)",IF(S1418&lt;=17,"Afternoon (12-17)","Evening (18-23)")))</f>
        <v>Afternoon (12-17)</v>
      </c>
    </row>
    <row r="1419" customFormat="false" ht="15" hidden="false" customHeight="false" outlineLevel="0" collapsed="false">
      <c r="A1419" s="2" t="s">
        <v>2423</v>
      </c>
      <c r="B1419" s="2" t="s">
        <v>135</v>
      </c>
      <c r="C1419" s="2" t="s">
        <v>36</v>
      </c>
      <c r="D1419" s="3" t="n">
        <v>45958</v>
      </c>
      <c r="E1419" s="2" t="s">
        <v>2424</v>
      </c>
      <c r="F1419" s="2" t="s">
        <v>38</v>
      </c>
      <c r="G1419" s="2" t="n">
        <v>45812</v>
      </c>
      <c r="H1419" s="2" t="n">
        <v>13</v>
      </c>
      <c r="I1419" s="2" t="n">
        <v>59</v>
      </c>
      <c r="J1419" s="2" t="n">
        <v>0</v>
      </c>
      <c r="K1419" s="2" t="n">
        <v>24428</v>
      </c>
      <c r="L1419" s="2" t="n">
        <v>14136</v>
      </c>
      <c r="M1419" s="2" t="n">
        <v>517</v>
      </c>
      <c r="N1419" s="2" t="n">
        <v>38</v>
      </c>
      <c r="O1419" s="2" t="n">
        <v>96</v>
      </c>
      <c r="P1419" s="2" t="n">
        <v>145</v>
      </c>
      <c r="Q1419" s="2" t="n">
        <v>72</v>
      </c>
      <c r="R1419" s="2" t="n">
        <v>7</v>
      </c>
      <c r="S1419" s="2" t="n">
        <v>11</v>
      </c>
      <c r="T1419" s="2" t="s">
        <v>51</v>
      </c>
      <c r="U1419" s="4" t="n">
        <f aca="false">(M1419+N1419+O1419+P1419)/L1419</f>
        <v>0.05631013016412</v>
      </c>
      <c r="V1419" s="2" t="str">
        <f aca="false">IF(S1419&lt;=5,"Late night (0-5)",IF(S1419&lt;=11,"Morning (6-11)",IF(S1419&lt;=17,"Afternoon (12-17)","Evening (18-23)")))</f>
        <v>Morning (6-11)</v>
      </c>
    </row>
    <row r="1420" customFormat="false" ht="15" hidden="false" customHeight="false" outlineLevel="0" collapsed="false">
      <c r="A1420" s="2" t="s">
        <v>2425</v>
      </c>
      <c r="B1420" s="2" t="s">
        <v>126</v>
      </c>
      <c r="C1420" s="2" t="s">
        <v>36</v>
      </c>
      <c r="D1420" s="3" t="n">
        <v>45796</v>
      </c>
      <c r="E1420" s="2" t="s">
        <v>2426</v>
      </c>
      <c r="F1420" s="2" t="s">
        <v>32</v>
      </c>
      <c r="G1420" s="2" t="n">
        <v>28784</v>
      </c>
      <c r="H1420" s="2" t="n">
        <v>1</v>
      </c>
      <c r="I1420" s="2" t="n">
        <v>35</v>
      </c>
      <c r="J1420" s="2" t="n">
        <v>0</v>
      </c>
      <c r="K1420" s="2" t="n">
        <v>15204</v>
      </c>
      <c r="L1420" s="2" t="n">
        <v>9597</v>
      </c>
      <c r="M1420" s="2" t="n">
        <v>357</v>
      </c>
      <c r="N1420" s="2" t="n">
        <v>12</v>
      </c>
      <c r="O1420" s="2" t="n">
        <v>86</v>
      </c>
      <c r="P1420" s="2" t="n">
        <v>99</v>
      </c>
      <c r="Q1420" s="2" t="n">
        <v>153</v>
      </c>
      <c r="R1420" s="2" t="n">
        <v>10</v>
      </c>
      <c r="S1420" s="2" t="n">
        <v>12</v>
      </c>
      <c r="T1420" s="2" t="s">
        <v>33</v>
      </c>
      <c r="U1420" s="4" t="n">
        <f aca="false">(M1420+N1420+O1420+P1420)/L1420</f>
        <v>0.0577263728248411</v>
      </c>
      <c r="V1420" s="2" t="str">
        <f aca="false">IF(S1420&lt;=5,"Late night (0-5)",IF(S1420&lt;=11,"Morning (6-11)",IF(S1420&lt;=17,"Afternoon (12-17)","Evening (18-23)")))</f>
        <v>Afternoon (12-17)</v>
      </c>
    </row>
    <row r="1421" customFormat="false" ht="15" hidden="false" customHeight="false" outlineLevel="0" collapsed="false">
      <c r="A1421" s="2" t="s">
        <v>2427</v>
      </c>
      <c r="B1421" s="2" t="s">
        <v>123</v>
      </c>
      <c r="C1421" s="2" t="s">
        <v>24</v>
      </c>
      <c r="D1421" s="3" t="n">
        <v>46004</v>
      </c>
      <c r="E1421" s="2" t="s">
        <v>2428</v>
      </c>
      <c r="F1421" s="2" t="s">
        <v>26</v>
      </c>
      <c r="G1421" s="2" t="n">
        <v>41391</v>
      </c>
      <c r="H1421" s="2" t="n">
        <v>7</v>
      </c>
      <c r="I1421" s="2" t="n">
        <v>150</v>
      </c>
      <c r="J1421" s="2" t="n">
        <v>0</v>
      </c>
      <c r="K1421" s="2" t="n">
        <v>53181</v>
      </c>
      <c r="L1421" s="2" t="n">
        <v>33110</v>
      </c>
      <c r="M1421" s="2" t="n">
        <v>2654</v>
      </c>
      <c r="N1421" s="2" t="n">
        <v>118</v>
      </c>
      <c r="O1421" s="2" t="n">
        <v>270</v>
      </c>
      <c r="P1421" s="2" t="n">
        <v>647</v>
      </c>
      <c r="Q1421" s="2" t="n">
        <v>634</v>
      </c>
      <c r="R1421" s="2" t="n">
        <v>48</v>
      </c>
      <c r="S1421" s="2" t="n">
        <v>9</v>
      </c>
      <c r="T1421" s="2" t="s">
        <v>62</v>
      </c>
      <c r="U1421" s="4" t="n">
        <f aca="false">(M1421+N1421+O1421+P1421)/L1421</f>
        <v>0.111416490486258</v>
      </c>
      <c r="V1421" s="2" t="str">
        <f aca="false">IF(S1421&lt;=5,"Late night (0-5)",IF(S1421&lt;=11,"Morning (6-11)",IF(S1421&lt;=17,"Afternoon (12-17)","Evening (18-23)")))</f>
        <v>Morning (6-11)</v>
      </c>
    </row>
    <row r="1422" customFormat="false" ht="15" hidden="false" customHeight="false" outlineLevel="0" collapsed="false">
      <c r="A1422" s="2" t="s">
        <v>2429</v>
      </c>
      <c r="B1422" s="2" t="s">
        <v>60</v>
      </c>
      <c r="C1422" s="2" t="s">
        <v>41</v>
      </c>
      <c r="D1422" s="3" t="n">
        <v>45754</v>
      </c>
      <c r="E1422" s="2" t="s">
        <v>1204</v>
      </c>
      <c r="F1422" s="2" t="s">
        <v>38</v>
      </c>
      <c r="G1422" s="2" t="n">
        <v>7512</v>
      </c>
      <c r="H1422" s="2" t="n">
        <v>17</v>
      </c>
      <c r="I1422" s="2" t="n">
        <v>340</v>
      </c>
      <c r="J1422" s="2" t="n">
        <v>1</v>
      </c>
      <c r="K1422" s="2" t="n">
        <v>12550</v>
      </c>
      <c r="L1422" s="2" t="n">
        <v>9029</v>
      </c>
      <c r="M1422" s="2" t="n">
        <v>680</v>
      </c>
      <c r="N1422" s="2" t="n">
        <v>34</v>
      </c>
      <c r="O1422" s="2" t="n">
        <v>108</v>
      </c>
      <c r="P1422" s="2" t="n">
        <v>39</v>
      </c>
      <c r="Q1422" s="2" t="n">
        <v>85</v>
      </c>
      <c r="R1422" s="2" t="n">
        <v>16</v>
      </c>
      <c r="S1422" s="2" t="n">
        <v>20</v>
      </c>
      <c r="T1422" s="2" t="s">
        <v>33</v>
      </c>
      <c r="U1422" s="4" t="n">
        <f aca="false">(M1422+N1422+O1422+P1422)/L1422</f>
        <v>0.0953593974969543</v>
      </c>
      <c r="V1422" s="2" t="str">
        <f aca="false">IF(S1422&lt;=5,"Late night (0-5)",IF(S1422&lt;=11,"Morning (6-11)",IF(S1422&lt;=17,"Afternoon (12-17)","Evening (18-23)")))</f>
        <v>Evening (18-23)</v>
      </c>
    </row>
    <row r="1423" customFormat="false" ht="15" hidden="false" customHeight="false" outlineLevel="0" collapsed="false">
      <c r="A1423" s="2" t="s">
        <v>2430</v>
      </c>
      <c r="B1423" s="2" t="s">
        <v>324</v>
      </c>
      <c r="C1423" s="2" t="s">
        <v>24</v>
      </c>
      <c r="D1423" s="3" t="n">
        <v>45720</v>
      </c>
      <c r="E1423" s="2" t="s">
        <v>1808</v>
      </c>
      <c r="F1423" s="2" t="s">
        <v>26</v>
      </c>
      <c r="G1423" s="2" t="n">
        <v>3823</v>
      </c>
      <c r="H1423" s="2" t="n">
        <v>10</v>
      </c>
      <c r="I1423" s="2" t="n">
        <v>86</v>
      </c>
      <c r="J1423" s="2" t="n">
        <v>0</v>
      </c>
      <c r="K1423" s="2" t="n">
        <v>5553</v>
      </c>
      <c r="L1423" s="2" t="n">
        <v>3964</v>
      </c>
      <c r="M1423" s="2" t="n">
        <v>235</v>
      </c>
      <c r="N1423" s="2" t="n">
        <v>11</v>
      </c>
      <c r="O1423" s="2" t="n">
        <v>24</v>
      </c>
      <c r="P1423" s="2" t="n">
        <v>33</v>
      </c>
      <c r="Q1423" s="2" t="n">
        <v>91</v>
      </c>
      <c r="R1423" s="2" t="n">
        <v>7</v>
      </c>
      <c r="S1423" s="2" t="n">
        <v>11</v>
      </c>
      <c r="T1423" s="2" t="s">
        <v>51</v>
      </c>
      <c r="U1423" s="4" t="n">
        <f aca="false">(M1423+N1423+O1423+P1423)/L1423</f>
        <v>0.0764379414732593</v>
      </c>
      <c r="V1423" s="2" t="str">
        <f aca="false">IF(S1423&lt;=5,"Late night (0-5)",IF(S1423&lt;=11,"Morning (6-11)",IF(S1423&lt;=17,"Afternoon (12-17)","Evening (18-23)")))</f>
        <v>Morning (6-11)</v>
      </c>
    </row>
    <row r="1424" customFormat="false" ht="15" hidden="false" customHeight="false" outlineLevel="0" collapsed="false">
      <c r="A1424" s="2" t="s">
        <v>2431</v>
      </c>
      <c r="B1424" s="2" t="s">
        <v>164</v>
      </c>
      <c r="C1424" s="2" t="s">
        <v>36</v>
      </c>
      <c r="D1424" s="3" t="n">
        <v>45755</v>
      </c>
      <c r="E1424" s="2" t="s">
        <v>2325</v>
      </c>
      <c r="F1424" s="2" t="s">
        <v>38</v>
      </c>
      <c r="G1424" s="2" t="n">
        <v>44230</v>
      </c>
      <c r="H1424" s="2" t="n">
        <v>4</v>
      </c>
      <c r="I1424" s="2" t="n">
        <v>133</v>
      </c>
      <c r="J1424" s="2" t="n">
        <v>0</v>
      </c>
      <c r="K1424" s="2" t="n">
        <v>37483</v>
      </c>
      <c r="L1424" s="2" t="n">
        <v>25151</v>
      </c>
      <c r="M1424" s="2" t="n">
        <v>1233</v>
      </c>
      <c r="N1424" s="2" t="n">
        <v>89</v>
      </c>
      <c r="O1424" s="2" t="n">
        <v>171</v>
      </c>
      <c r="P1424" s="2" t="n">
        <v>283</v>
      </c>
      <c r="Q1424" s="2" t="n">
        <v>535</v>
      </c>
      <c r="R1424" s="2" t="n">
        <v>123</v>
      </c>
      <c r="S1424" s="2" t="n">
        <v>3</v>
      </c>
      <c r="T1424" s="2" t="s">
        <v>51</v>
      </c>
      <c r="U1424" s="4" t="n">
        <f aca="false">(M1424+N1424+O1424+P1424)/L1424</f>
        <v>0.0706134944932607</v>
      </c>
      <c r="V1424" s="2" t="str">
        <f aca="false">IF(S1424&lt;=5,"Late night (0-5)",IF(S1424&lt;=11,"Morning (6-11)",IF(S1424&lt;=17,"Afternoon (12-17)","Evening (18-23)")))</f>
        <v>Late night (0-5)</v>
      </c>
    </row>
    <row r="1425" customFormat="false" ht="15" hidden="false" customHeight="false" outlineLevel="0" collapsed="false">
      <c r="A1425" s="2" t="s">
        <v>2432</v>
      </c>
      <c r="B1425" s="2" t="s">
        <v>227</v>
      </c>
      <c r="C1425" s="2" t="s">
        <v>54</v>
      </c>
      <c r="D1425" s="3" t="n">
        <v>45773</v>
      </c>
      <c r="E1425" s="2" t="s">
        <v>1771</v>
      </c>
      <c r="F1425" s="2" t="s">
        <v>32</v>
      </c>
      <c r="G1425" s="2" t="n">
        <v>11796</v>
      </c>
      <c r="H1425" s="2" t="n">
        <v>7</v>
      </c>
      <c r="I1425" s="2" t="n">
        <v>299</v>
      </c>
      <c r="J1425" s="2" t="n">
        <v>0</v>
      </c>
      <c r="K1425" s="2" t="n">
        <v>25115</v>
      </c>
      <c r="L1425" s="2" t="n">
        <v>20754</v>
      </c>
      <c r="M1425" s="2" t="n">
        <v>1016</v>
      </c>
      <c r="N1425" s="2" t="n">
        <v>30</v>
      </c>
      <c r="O1425" s="2" t="n">
        <v>288</v>
      </c>
      <c r="P1425" s="2" t="n">
        <v>252</v>
      </c>
      <c r="Q1425" s="2" t="n">
        <v>531</v>
      </c>
      <c r="R1425" s="2" t="n">
        <v>138</v>
      </c>
      <c r="S1425" s="2" t="n">
        <v>22</v>
      </c>
      <c r="T1425" s="2" t="s">
        <v>62</v>
      </c>
      <c r="U1425" s="4" t="n">
        <f aca="false">(M1425+N1425+O1425+P1425)/L1425</f>
        <v>0.0764190035655777</v>
      </c>
      <c r="V1425" s="2" t="str">
        <f aca="false">IF(S1425&lt;=5,"Late night (0-5)",IF(S1425&lt;=11,"Morning (6-11)",IF(S1425&lt;=17,"Afternoon (12-17)","Evening (18-23)")))</f>
        <v>Evening (18-23)</v>
      </c>
    </row>
    <row r="1426" customFormat="false" ht="15" hidden="false" customHeight="false" outlineLevel="0" collapsed="false">
      <c r="A1426" s="2" t="s">
        <v>2433</v>
      </c>
      <c r="B1426" s="2" t="s">
        <v>227</v>
      </c>
      <c r="C1426" s="2" t="s">
        <v>54</v>
      </c>
      <c r="D1426" s="3" t="n">
        <v>45808</v>
      </c>
      <c r="E1426" s="2" t="s">
        <v>588</v>
      </c>
      <c r="F1426" s="2" t="s">
        <v>38</v>
      </c>
      <c r="G1426" s="2" t="n">
        <v>11796</v>
      </c>
      <c r="H1426" s="2" t="n">
        <v>15</v>
      </c>
      <c r="I1426" s="2" t="n">
        <v>270</v>
      </c>
      <c r="J1426" s="2" t="n">
        <v>0</v>
      </c>
      <c r="K1426" s="2" t="n">
        <v>22595</v>
      </c>
      <c r="L1426" s="2" t="n">
        <v>15662</v>
      </c>
      <c r="M1426" s="2" t="n">
        <v>690</v>
      </c>
      <c r="N1426" s="2" t="n">
        <v>39</v>
      </c>
      <c r="O1426" s="2" t="n">
        <v>75</v>
      </c>
      <c r="P1426" s="2" t="n">
        <v>80</v>
      </c>
      <c r="Q1426" s="2" t="n">
        <v>228</v>
      </c>
      <c r="R1426" s="2" t="n">
        <v>20</v>
      </c>
      <c r="S1426" s="2" t="n">
        <v>22</v>
      </c>
      <c r="T1426" s="2" t="s">
        <v>62</v>
      </c>
      <c r="U1426" s="4" t="n">
        <f aca="false">(M1426+N1426+O1426+P1426)/L1426</f>
        <v>0.0564423445281573</v>
      </c>
      <c r="V1426" s="2" t="str">
        <f aca="false">IF(S1426&lt;=5,"Late night (0-5)",IF(S1426&lt;=11,"Morning (6-11)",IF(S1426&lt;=17,"Afternoon (12-17)","Evening (18-23)")))</f>
        <v>Evening (18-23)</v>
      </c>
    </row>
    <row r="1427" customFormat="false" ht="15" hidden="false" customHeight="false" outlineLevel="0" collapsed="false">
      <c r="A1427" s="2" t="s">
        <v>2434</v>
      </c>
      <c r="B1427" s="2" t="s">
        <v>431</v>
      </c>
      <c r="C1427" s="2" t="s">
        <v>36</v>
      </c>
      <c r="D1427" s="3" t="n">
        <v>45999</v>
      </c>
      <c r="E1427" s="2" t="s">
        <v>367</v>
      </c>
      <c r="F1427" s="2" t="s">
        <v>38</v>
      </c>
      <c r="G1427" s="2" t="n">
        <v>64821</v>
      </c>
      <c r="H1427" s="2" t="n">
        <v>6</v>
      </c>
      <c r="I1427" s="2" t="n">
        <v>294</v>
      </c>
      <c r="J1427" s="2" t="n">
        <v>0</v>
      </c>
      <c r="K1427" s="2" t="n">
        <v>64288</v>
      </c>
      <c r="L1427" s="2" t="n">
        <v>36243</v>
      </c>
      <c r="M1427" s="2" t="n">
        <v>1671</v>
      </c>
      <c r="N1427" s="2" t="n">
        <v>47</v>
      </c>
      <c r="O1427" s="2" t="n">
        <v>93</v>
      </c>
      <c r="P1427" s="2" t="n">
        <v>457</v>
      </c>
      <c r="Q1427" s="2" t="n">
        <v>273</v>
      </c>
      <c r="R1427" s="2" t="n">
        <v>36</v>
      </c>
      <c r="S1427" s="2" t="n">
        <v>3</v>
      </c>
      <c r="T1427" s="2" t="s">
        <v>33</v>
      </c>
      <c r="U1427" s="4" t="n">
        <f aca="false">(M1427+N1427+O1427+P1427)/L1427</f>
        <v>0.0625776011919543</v>
      </c>
      <c r="V1427" s="2" t="str">
        <f aca="false">IF(S1427&lt;=5,"Late night (0-5)",IF(S1427&lt;=11,"Morning (6-11)",IF(S1427&lt;=17,"Afternoon (12-17)","Evening (18-23)")))</f>
        <v>Late night (0-5)</v>
      </c>
    </row>
    <row r="1428" customFormat="false" ht="15" hidden="false" customHeight="false" outlineLevel="0" collapsed="false">
      <c r="A1428" s="2" t="s">
        <v>2435</v>
      </c>
      <c r="B1428" s="2" t="s">
        <v>71</v>
      </c>
      <c r="C1428" s="2" t="s">
        <v>48</v>
      </c>
      <c r="D1428" s="3" t="n">
        <v>45779</v>
      </c>
      <c r="E1428" s="2" t="s">
        <v>2436</v>
      </c>
      <c r="F1428" s="2" t="s">
        <v>26</v>
      </c>
      <c r="G1428" s="2" t="n">
        <v>7316</v>
      </c>
      <c r="H1428" s="2" t="n">
        <v>12</v>
      </c>
      <c r="I1428" s="2" t="n">
        <v>148</v>
      </c>
      <c r="J1428" s="2" t="n">
        <v>0</v>
      </c>
      <c r="K1428" s="2" t="n">
        <v>3307</v>
      </c>
      <c r="L1428" s="2" t="n">
        <v>2698</v>
      </c>
      <c r="M1428" s="2" t="n">
        <v>223</v>
      </c>
      <c r="N1428" s="2" t="n">
        <v>13</v>
      </c>
      <c r="O1428" s="2" t="n">
        <v>28</v>
      </c>
      <c r="P1428" s="2" t="n">
        <v>84</v>
      </c>
      <c r="Q1428" s="2" t="n">
        <v>21</v>
      </c>
      <c r="R1428" s="2" t="n">
        <v>4</v>
      </c>
      <c r="S1428" s="2" t="n">
        <v>23</v>
      </c>
      <c r="T1428" s="2" t="s">
        <v>96</v>
      </c>
      <c r="U1428" s="4" t="n">
        <f aca="false">(M1428+N1428+O1428+P1428)/L1428</f>
        <v>0.128984432913269</v>
      </c>
      <c r="V1428" s="2" t="str">
        <f aca="false">IF(S1428&lt;=5,"Late night (0-5)",IF(S1428&lt;=11,"Morning (6-11)",IF(S1428&lt;=17,"Afternoon (12-17)","Evening (18-23)")))</f>
        <v>Evening (18-23)</v>
      </c>
    </row>
    <row r="1429" customFormat="false" ht="15" hidden="false" customHeight="false" outlineLevel="0" collapsed="false">
      <c r="A1429" s="2" t="s">
        <v>2437</v>
      </c>
      <c r="B1429" s="2" t="s">
        <v>123</v>
      </c>
      <c r="C1429" s="2" t="s">
        <v>24</v>
      </c>
      <c r="D1429" s="3" t="n">
        <v>45805</v>
      </c>
      <c r="E1429" s="2" t="s">
        <v>2438</v>
      </c>
      <c r="F1429" s="2" t="s">
        <v>50</v>
      </c>
      <c r="G1429" s="2" t="n">
        <v>41391</v>
      </c>
      <c r="H1429" s="2" t="n">
        <v>12</v>
      </c>
      <c r="I1429" s="2" t="n">
        <v>195</v>
      </c>
      <c r="J1429" s="2" t="n">
        <v>1</v>
      </c>
      <c r="K1429" s="2" t="n">
        <v>11892</v>
      </c>
      <c r="L1429" s="2" t="n">
        <v>9800</v>
      </c>
      <c r="M1429" s="2" t="n">
        <v>845</v>
      </c>
      <c r="N1429" s="2" t="n">
        <v>47</v>
      </c>
      <c r="O1429" s="2" t="n">
        <v>140</v>
      </c>
      <c r="P1429" s="2" t="n">
        <v>134</v>
      </c>
      <c r="Q1429" s="2" t="n">
        <v>229</v>
      </c>
      <c r="R1429" s="2" t="n">
        <v>36</v>
      </c>
      <c r="S1429" s="2" t="n">
        <v>3</v>
      </c>
      <c r="T1429" s="2" t="s">
        <v>66</v>
      </c>
      <c r="U1429" s="4" t="n">
        <f aca="false">(M1429+N1429+O1429+P1429)/L1429</f>
        <v>0.118979591836735</v>
      </c>
      <c r="V1429" s="2" t="str">
        <f aca="false">IF(S1429&lt;=5,"Late night (0-5)",IF(S1429&lt;=11,"Morning (6-11)",IF(S1429&lt;=17,"Afternoon (12-17)","Evening (18-23)")))</f>
        <v>Late night (0-5)</v>
      </c>
    </row>
    <row r="1430" customFormat="false" ht="15" hidden="false" customHeight="false" outlineLevel="0" collapsed="false">
      <c r="A1430" s="2" t="s">
        <v>2439</v>
      </c>
      <c r="B1430" s="2" t="s">
        <v>53</v>
      </c>
      <c r="C1430" s="2" t="s">
        <v>54</v>
      </c>
      <c r="D1430" s="3" t="n">
        <v>45866</v>
      </c>
      <c r="E1430" s="2" t="s">
        <v>1436</v>
      </c>
      <c r="F1430" s="2" t="s">
        <v>32</v>
      </c>
      <c r="G1430" s="2" t="n">
        <v>11318</v>
      </c>
      <c r="H1430" s="2" t="n">
        <v>15</v>
      </c>
      <c r="I1430" s="2" t="n">
        <v>220</v>
      </c>
      <c r="J1430" s="2" t="n">
        <v>0</v>
      </c>
      <c r="K1430" s="2" t="n">
        <v>26765</v>
      </c>
      <c r="L1430" s="2" t="n">
        <v>23315</v>
      </c>
      <c r="M1430" s="2" t="n">
        <v>2166</v>
      </c>
      <c r="N1430" s="2" t="n">
        <v>150</v>
      </c>
      <c r="O1430" s="2" t="n">
        <v>215</v>
      </c>
      <c r="P1430" s="2" t="n">
        <v>540</v>
      </c>
      <c r="Q1430" s="2" t="n">
        <v>327</v>
      </c>
      <c r="R1430" s="2" t="n">
        <v>50</v>
      </c>
      <c r="S1430" s="2" t="n">
        <v>19</v>
      </c>
      <c r="T1430" s="2" t="s">
        <v>33</v>
      </c>
      <c r="U1430" s="4" t="n">
        <f aca="false">(M1430+N1430+O1430+P1430)/L1430</f>
        <v>0.131717778254343</v>
      </c>
      <c r="V1430" s="2" t="str">
        <f aca="false">IF(S1430&lt;=5,"Late night (0-5)",IF(S1430&lt;=11,"Morning (6-11)",IF(S1430&lt;=17,"Afternoon (12-17)","Evening (18-23)")))</f>
        <v>Evening (18-23)</v>
      </c>
    </row>
    <row r="1431" customFormat="false" ht="15" hidden="false" customHeight="false" outlineLevel="0" collapsed="false">
      <c r="A1431" s="2" t="s">
        <v>2440</v>
      </c>
      <c r="B1431" s="2" t="s">
        <v>135</v>
      </c>
      <c r="C1431" s="2" t="s">
        <v>36</v>
      </c>
      <c r="D1431" s="3" t="n">
        <v>45854</v>
      </c>
      <c r="E1431" s="2" t="s">
        <v>2304</v>
      </c>
      <c r="F1431" s="2" t="s">
        <v>38</v>
      </c>
      <c r="G1431" s="2" t="n">
        <v>45812</v>
      </c>
      <c r="H1431" s="2" t="n">
        <v>3</v>
      </c>
      <c r="I1431" s="2" t="n">
        <v>198</v>
      </c>
      <c r="J1431" s="2" t="n">
        <v>1</v>
      </c>
      <c r="K1431" s="2" t="n">
        <v>58557</v>
      </c>
      <c r="L1431" s="2" t="n">
        <v>51376</v>
      </c>
      <c r="M1431" s="2" t="n">
        <v>4507</v>
      </c>
      <c r="N1431" s="2" t="n">
        <v>159</v>
      </c>
      <c r="O1431" s="2" t="n">
        <v>512</v>
      </c>
      <c r="P1431" s="2" t="n">
        <v>1296</v>
      </c>
      <c r="Q1431" s="2" t="n">
        <v>1125</v>
      </c>
      <c r="R1431" s="2" t="n">
        <v>220</v>
      </c>
      <c r="S1431" s="2" t="n">
        <v>19</v>
      </c>
      <c r="T1431" s="2" t="s">
        <v>66</v>
      </c>
      <c r="U1431" s="4" t="n">
        <f aca="false">(M1431+N1431+O1431+P1431)/L1431</f>
        <v>0.126012145748988</v>
      </c>
      <c r="V1431" s="2" t="str">
        <f aca="false">IF(S1431&lt;=5,"Late night (0-5)",IF(S1431&lt;=11,"Morning (6-11)",IF(S1431&lt;=17,"Afternoon (12-17)","Evening (18-23)")))</f>
        <v>Evening (18-23)</v>
      </c>
    </row>
    <row r="1432" customFormat="false" ht="15" hidden="false" customHeight="false" outlineLevel="0" collapsed="false">
      <c r="A1432" s="2" t="s">
        <v>2441</v>
      </c>
      <c r="B1432" s="2" t="s">
        <v>114</v>
      </c>
      <c r="C1432" s="2" t="s">
        <v>84</v>
      </c>
      <c r="D1432" s="3" t="n">
        <v>45924</v>
      </c>
      <c r="E1432" s="2" t="s">
        <v>2442</v>
      </c>
      <c r="F1432" s="2" t="s">
        <v>38</v>
      </c>
      <c r="G1432" s="2" t="n">
        <v>64307</v>
      </c>
      <c r="H1432" s="2" t="n">
        <v>24</v>
      </c>
      <c r="I1432" s="2" t="n">
        <v>204</v>
      </c>
      <c r="J1432" s="2" t="n">
        <v>0</v>
      </c>
      <c r="K1432" s="2" t="n">
        <v>53830</v>
      </c>
      <c r="L1432" s="2" t="n">
        <v>39784</v>
      </c>
      <c r="M1432" s="2" t="n">
        <v>1571</v>
      </c>
      <c r="N1432" s="2" t="n">
        <v>96</v>
      </c>
      <c r="O1432" s="2" t="n">
        <v>290</v>
      </c>
      <c r="P1432" s="2" t="n">
        <v>378</v>
      </c>
      <c r="Q1432" s="2" t="n">
        <v>973</v>
      </c>
      <c r="R1432" s="2" t="n">
        <v>258</v>
      </c>
      <c r="S1432" s="2" t="n">
        <v>20</v>
      </c>
      <c r="T1432" s="2" t="s">
        <v>66</v>
      </c>
      <c r="U1432" s="4" t="n">
        <f aca="false">(M1432+N1432+O1432+P1432)/L1432</f>
        <v>0.0586919364568671</v>
      </c>
      <c r="V1432" s="2" t="str">
        <f aca="false">IF(S1432&lt;=5,"Late night (0-5)",IF(S1432&lt;=11,"Morning (6-11)",IF(S1432&lt;=17,"Afternoon (12-17)","Evening (18-23)")))</f>
        <v>Evening (18-23)</v>
      </c>
    </row>
    <row r="1433" customFormat="false" ht="15" hidden="false" customHeight="false" outlineLevel="0" collapsed="false">
      <c r="A1433" s="2" t="s">
        <v>2443</v>
      </c>
      <c r="B1433" s="2" t="s">
        <v>71</v>
      </c>
      <c r="C1433" s="2" t="s">
        <v>48</v>
      </c>
      <c r="D1433" s="3" t="n">
        <v>45659</v>
      </c>
      <c r="E1433" s="2" t="s">
        <v>975</v>
      </c>
      <c r="F1433" s="2" t="s">
        <v>32</v>
      </c>
      <c r="G1433" s="2" t="n">
        <v>7316</v>
      </c>
      <c r="H1433" s="2" t="n">
        <v>10</v>
      </c>
      <c r="I1433" s="2" t="n">
        <v>86</v>
      </c>
      <c r="J1433" s="2" t="n">
        <v>1</v>
      </c>
      <c r="K1433" s="2" t="n">
        <v>9966</v>
      </c>
      <c r="L1433" s="2" t="n">
        <v>5931</v>
      </c>
      <c r="M1433" s="2" t="n">
        <v>359</v>
      </c>
      <c r="N1433" s="2" t="n">
        <v>16</v>
      </c>
      <c r="O1433" s="2" t="n">
        <v>71</v>
      </c>
      <c r="P1433" s="2" t="n">
        <v>45</v>
      </c>
      <c r="Q1433" s="2" t="n">
        <v>93</v>
      </c>
      <c r="R1433" s="2" t="n">
        <v>13</v>
      </c>
      <c r="S1433" s="2" t="n">
        <v>17</v>
      </c>
      <c r="T1433" s="2" t="s">
        <v>79</v>
      </c>
      <c r="U1433" s="4" t="n">
        <f aca="false">(M1433+N1433+O1433+P1433)/L1433</f>
        <v>0.0827853650311921</v>
      </c>
      <c r="V1433" s="2" t="str">
        <f aca="false">IF(S1433&lt;=5,"Late night (0-5)",IF(S1433&lt;=11,"Morning (6-11)",IF(S1433&lt;=17,"Afternoon (12-17)","Evening (18-23)")))</f>
        <v>Afternoon (12-17)</v>
      </c>
    </row>
    <row r="1434" customFormat="false" ht="15" hidden="false" customHeight="false" outlineLevel="0" collapsed="false">
      <c r="A1434" s="2" t="s">
        <v>2444</v>
      </c>
      <c r="B1434" s="2" t="s">
        <v>35</v>
      </c>
      <c r="C1434" s="2" t="s">
        <v>36</v>
      </c>
      <c r="D1434" s="3" t="n">
        <v>46008</v>
      </c>
      <c r="E1434" s="2" t="s">
        <v>553</v>
      </c>
      <c r="F1434" s="2" t="s">
        <v>38</v>
      </c>
      <c r="G1434" s="2" t="n">
        <v>33933</v>
      </c>
      <c r="H1434" s="2" t="n">
        <v>12</v>
      </c>
      <c r="I1434" s="2" t="n">
        <v>319</v>
      </c>
      <c r="J1434" s="2" t="n">
        <v>0</v>
      </c>
      <c r="K1434" s="2" t="n">
        <v>24466</v>
      </c>
      <c r="L1434" s="2" t="n">
        <v>17809</v>
      </c>
      <c r="M1434" s="2" t="n">
        <v>1197</v>
      </c>
      <c r="N1434" s="2" t="n">
        <v>52</v>
      </c>
      <c r="O1434" s="2" t="n">
        <v>149</v>
      </c>
      <c r="P1434" s="2" t="n">
        <v>178</v>
      </c>
      <c r="Q1434" s="2" t="n">
        <v>490</v>
      </c>
      <c r="R1434" s="2" t="n">
        <v>70</v>
      </c>
      <c r="S1434" s="2" t="n">
        <v>14</v>
      </c>
      <c r="T1434" s="2" t="s">
        <v>66</v>
      </c>
      <c r="U1434" s="4" t="n">
        <f aca="false">(M1434+N1434+O1434+P1434)/L1434</f>
        <v>0.0884945813914313</v>
      </c>
      <c r="V1434" s="2" t="str">
        <f aca="false">IF(S1434&lt;=5,"Late night (0-5)",IF(S1434&lt;=11,"Morning (6-11)",IF(S1434&lt;=17,"Afternoon (12-17)","Evening (18-23)")))</f>
        <v>Afternoon (12-17)</v>
      </c>
    </row>
    <row r="1435" customFormat="false" ht="15" hidden="false" customHeight="false" outlineLevel="0" collapsed="false">
      <c r="A1435" s="2" t="s">
        <v>2445</v>
      </c>
      <c r="B1435" s="2" t="s">
        <v>23</v>
      </c>
      <c r="C1435" s="2" t="s">
        <v>24</v>
      </c>
      <c r="D1435" s="3" t="n">
        <v>45807</v>
      </c>
      <c r="E1435" s="2" t="s">
        <v>2446</v>
      </c>
      <c r="F1435" s="2" t="s">
        <v>50</v>
      </c>
      <c r="G1435" s="2" t="n">
        <v>63447</v>
      </c>
      <c r="H1435" s="2" t="n">
        <v>17</v>
      </c>
      <c r="I1435" s="2" t="n">
        <v>48</v>
      </c>
      <c r="J1435" s="2" t="n">
        <v>0</v>
      </c>
      <c r="K1435" s="2" t="n">
        <v>55908</v>
      </c>
      <c r="L1435" s="2" t="n">
        <v>33974</v>
      </c>
      <c r="M1435" s="2" t="n">
        <v>1234</v>
      </c>
      <c r="N1435" s="2" t="n">
        <v>88</v>
      </c>
      <c r="O1435" s="2" t="n">
        <v>197</v>
      </c>
      <c r="P1435" s="2" t="n">
        <v>327</v>
      </c>
      <c r="Q1435" s="2" t="n">
        <v>930</v>
      </c>
      <c r="R1435" s="2" t="n">
        <v>99</v>
      </c>
      <c r="S1435" s="2" t="n">
        <v>4</v>
      </c>
      <c r="T1435" s="2" t="s">
        <v>96</v>
      </c>
      <c r="U1435" s="4" t="n">
        <f aca="false">(M1435+N1435+O1435+P1435)/L1435</f>
        <v>0.0543356684523459</v>
      </c>
      <c r="V1435" s="2" t="str">
        <f aca="false">IF(S1435&lt;=5,"Late night (0-5)",IF(S1435&lt;=11,"Morning (6-11)",IF(S1435&lt;=17,"Afternoon (12-17)","Evening (18-23)")))</f>
        <v>Late night (0-5)</v>
      </c>
    </row>
    <row r="1436" customFormat="false" ht="15" hidden="false" customHeight="false" outlineLevel="0" collapsed="false">
      <c r="A1436" s="2" t="s">
        <v>2447</v>
      </c>
      <c r="B1436" s="2" t="s">
        <v>53</v>
      </c>
      <c r="C1436" s="2" t="s">
        <v>54</v>
      </c>
      <c r="D1436" s="3" t="n">
        <v>45725</v>
      </c>
      <c r="E1436" s="2" t="s">
        <v>2448</v>
      </c>
      <c r="F1436" s="2" t="s">
        <v>32</v>
      </c>
      <c r="G1436" s="2" t="n">
        <v>11318</v>
      </c>
      <c r="H1436" s="2" t="n">
        <v>19</v>
      </c>
      <c r="I1436" s="2" t="n">
        <v>138</v>
      </c>
      <c r="J1436" s="2" t="n">
        <v>0</v>
      </c>
      <c r="K1436" s="2" t="n">
        <v>79413</v>
      </c>
      <c r="L1436" s="2" t="n">
        <v>62043</v>
      </c>
      <c r="M1436" s="2" t="n">
        <v>3069</v>
      </c>
      <c r="N1436" s="2" t="n">
        <v>130</v>
      </c>
      <c r="O1436" s="2" t="n">
        <v>337</v>
      </c>
      <c r="P1436" s="2" t="n">
        <v>773</v>
      </c>
      <c r="Q1436" s="2" t="n">
        <v>1428</v>
      </c>
      <c r="R1436" s="2" t="n">
        <v>369</v>
      </c>
      <c r="S1436" s="2" t="n">
        <v>19</v>
      </c>
      <c r="T1436" s="2" t="s">
        <v>27</v>
      </c>
      <c r="U1436" s="4" t="n">
        <f aca="false">(M1436+N1436+O1436+P1436)/L1436</f>
        <v>0.0694518317940783</v>
      </c>
      <c r="V1436" s="2" t="str">
        <f aca="false">IF(S1436&lt;=5,"Late night (0-5)",IF(S1436&lt;=11,"Morning (6-11)",IF(S1436&lt;=17,"Afternoon (12-17)","Evening (18-23)")))</f>
        <v>Evening (18-23)</v>
      </c>
    </row>
    <row r="1437" customFormat="false" ht="15" hidden="false" customHeight="false" outlineLevel="0" collapsed="false">
      <c r="A1437" s="2" t="s">
        <v>2449</v>
      </c>
      <c r="B1437" s="2" t="s">
        <v>154</v>
      </c>
      <c r="C1437" s="2" t="s">
        <v>41</v>
      </c>
      <c r="D1437" s="3" t="n">
        <v>45667</v>
      </c>
      <c r="E1437" s="2" t="s">
        <v>538</v>
      </c>
      <c r="F1437" s="2" t="s">
        <v>26</v>
      </c>
      <c r="G1437" s="2" t="n">
        <v>33644</v>
      </c>
      <c r="H1437" s="2" t="n">
        <v>11</v>
      </c>
      <c r="I1437" s="2" t="n">
        <v>10</v>
      </c>
      <c r="J1437" s="2" t="n">
        <v>1</v>
      </c>
      <c r="K1437" s="2" t="n">
        <v>20173</v>
      </c>
      <c r="L1437" s="2" t="n">
        <v>13672</v>
      </c>
      <c r="M1437" s="2" t="n">
        <v>787</v>
      </c>
      <c r="N1437" s="2" t="n">
        <v>61</v>
      </c>
      <c r="O1437" s="2" t="n">
        <v>118</v>
      </c>
      <c r="P1437" s="2" t="n">
        <v>329</v>
      </c>
      <c r="Q1437" s="2" t="n">
        <v>169</v>
      </c>
      <c r="R1437" s="2" t="n">
        <v>41</v>
      </c>
      <c r="S1437" s="2" t="n">
        <v>3</v>
      </c>
      <c r="T1437" s="2" t="s">
        <v>96</v>
      </c>
      <c r="U1437" s="4" t="n">
        <f aca="false">(M1437+N1437+O1437+P1437)/L1437</f>
        <v>0.0947191339964892</v>
      </c>
      <c r="V1437" s="2" t="str">
        <f aca="false">IF(S1437&lt;=5,"Late night (0-5)",IF(S1437&lt;=11,"Morning (6-11)",IF(S1437&lt;=17,"Afternoon (12-17)","Evening (18-23)")))</f>
        <v>Late night (0-5)</v>
      </c>
    </row>
    <row r="1438" customFormat="false" ht="15" hidden="false" customHeight="false" outlineLevel="0" collapsed="false">
      <c r="A1438" s="2" t="s">
        <v>2450</v>
      </c>
      <c r="B1438" s="2" t="s">
        <v>40</v>
      </c>
      <c r="C1438" s="2" t="s">
        <v>41</v>
      </c>
      <c r="D1438" s="3" t="n">
        <v>45866</v>
      </c>
      <c r="E1438" s="2" t="s">
        <v>2451</v>
      </c>
      <c r="F1438" s="2" t="s">
        <v>50</v>
      </c>
      <c r="G1438" s="2" t="n">
        <v>23051</v>
      </c>
      <c r="H1438" s="2" t="n">
        <v>17</v>
      </c>
      <c r="I1438" s="2" t="n">
        <v>274</v>
      </c>
      <c r="J1438" s="2" t="n">
        <v>1</v>
      </c>
      <c r="K1438" s="2" t="n">
        <v>51989</v>
      </c>
      <c r="L1438" s="2" t="n">
        <v>31910</v>
      </c>
      <c r="M1438" s="2" t="n">
        <v>1645</v>
      </c>
      <c r="N1438" s="2" t="n">
        <v>33</v>
      </c>
      <c r="O1438" s="2" t="n">
        <v>215</v>
      </c>
      <c r="P1438" s="2" t="n">
        <v>489</v>
      </c>
      <c r="Q1438" s="2" t="n">
        <v>365</v>
      </c>
      <c r="R1438" s="2" t="n">
        <v>35</v>
      </c>
      <c r="S1438" s="2" t="n">
        <v>16</v>
      </c>
      <c r="T1438" s="2" t="s">
        <v>33</v>
      </c>
      <c r="U1438" s="4" t="n">
        <f aca="false">(M1438+N1438+O1438+P1438)/L1438</f>
        <v>0.0746474459417111</v>
      </c>
      <c r="V1438" s="2" t="str">
        <f aca="false">IF(S1438&lt;=5,"Late night (0-5)",IF(S1438&lt;=11,"Morning (6-11)",IF(S1438&lt;=17,"Afternoon (12-17)","Evening (18-23)")))</f>
        <v>Afternoon (12-17)</v>
      </c>
    </row>
    <row r="1439" customFormat="false" ht="15" hidden="false" customHeight="false" outlineLevel="0" collapsed="false">
      <c r="A1439" s="2" t="s">
        <v>2452</v>
      </c>
      <c r="B1439" s="2" t="s">
        <v>193</v>
      </c>
      <c r="C1439" s="2" t="s">
        <v>36</v>
      </c>
      <c r="D1439" s="3" t="n">
        <v>45922</v>
      </c>
      <c r="E1439" s="2" t="s">
        <v>2453</v>
      </c>
      <c r="F1439" s="2" t="s">
        <v>38</v>
      </c>
      <c r="G1439" s="2" t="n">
        <v>26454</v>
      </c>
      <c r="H1439" s="2" t="n">
        <v>11</v>
      </c>
      <c r="I1439" s="2" t="n">
        <v>277</v>
      </c>
      <c r="J1439" s="2" t="n">
        <v>0</v>
      </c>
      <c r="K1439" s="2" t="n">
        <v>21845</v>
      </c>
      <c r="L1439" s="2" t="n">
        <v>16645</v>
      </c>
      <c r="M1439" s="2" t="n">
        <v>1374</v>
      </c>
      <c r="N1439" s="2" t="n">
        <v>40</v>
      </c>
      <c r="O1439" s="2" t="n">
        <v>126</v>
      </c>
      <c r="P1439" s="2" t="n">
        <v>360</v>
      </c>
      <c r="Q1439" s="2" t="n">
        <v>162</v>
      </c>
      <c r="R1439" s="2" t="n">
        <v>41</v>
      </c>
      <c r="S1439" s="2" t="n">
        <v>0</v>
      </c>
      <c r="T1439" s="2" t="s">
        <v>33</v>
      </c>
      <c r="U1439" s="4" t="n">
        <f aca="false">(M1439+N1439+O1439+P1439)/L1439</f>
        <v>0.114148392910784</v>
      </c>
      <c r="V1439" s="2" t="str">
        <f aca="false">IF(S1439&lt;=5,"Late night (0-5)",IF(S1439&lt;=11,"Morning (6-11)",IF(S1439&lt;=17,"Afternoon (12-17)","Evening (18-23)")))</f>
        <v>Late night (0-5)</v>
      </c>
    </row>
    <row r="1440" customFormat="false" ht="15" hidden="false" customHeight="false" outlineLevel="0" collapsed="false">
      <c r="A1440" s="2" t="s">
        <v>2454</v>
      </c>
      <c r="B1440" s="2" t="s">
        <v>206</v>
      </c>
      <c r="C1440" s="2" t="s">
        <v>48</v>
      </c>
      <c r="D1440" s="3" t="n">
        <v>45849</v>
      </c>
      <c r="E1440" s="2" t="s">
        <v>713</v>
      </c>
      <c r="F1440" s="2" t="s">
        <v>26</v>
      </c>
      <c r="G1440" s="2" t="n">
        <v>42937</v>
      </c>
      <c r="H1440" s="2" t="n">
        <v>14</v>
      </c>
      <c r="I1440" s="2" t="n">
        <v>184</v>
      </c>
      <c r="J1440" s="2" t="n">
        <v>0</v>
      </c>
      <c r="K1440" s="2" t="n">
        <v>19022</v>
      </c>
      <c r="L1440" s="2" t="n">
        <v>13835</v>
      </c>
      <c r="M1440" s="2" t="n">
        <v>494</v>
      </c>
      <c r="N1440" s="2" t="n">
        <v>17</v>
      </c>
      <c r="O1440" s="2" t="n">
        <v>56</v>
      </c>
      <c r="P1440" s="2" t="n">
        <v>109</v>
      </c>
      <c r="Q1440" s="2" t="n">
        <v>257</v>
      </c>
      <c r="R1440" s="2" t="n">
        <v>67</v>
      </c>
      <c r="S1440" s="2" t="n">
        <v>4</v>
      </c>
      <c r="T1440" s="2" t="s">
        <v>96</v>
      </c>
      <c r="U1440" s="4" t="n">
        <f aca="false">(M1440+N1440+O1440+P1440)/L1440</f>
        <v>0.0488615829418142</v>
      </c>
      <c r="V1440" s="2" t="str">
        <f aca="false">IF(S1440&lt;=5,"Late night (0-5)",IF(S1440&lt;=11,"Morning (6-11)",IF(S1440&lt;=17,"Afternoon (12-17)","Evening (18-23)")))</f>
        <v>Late night (0-5)</v>
      </c>
    </row>
    <row r="1441" customFormat="false" ht="15" hidden="false" customHeight="false" outlineLevel="0" collapsed="false">
      <c r="A1441" s="2" t="s">
        <v>2455</v>
      </c>
      <c r="B1441" s="2" t="s">
        <v>319</v>
      </c>
      <c r="C1441" s="2" t="s">
        <v>84</v>
      </c>
      <c r="D1441" s="3" t="n">
        <v>45856</v>
      </c>
      <c r="E1441" s="2" t="s">
        <v>2456</v>
      </c>
      <c r="F1441" s="2" t="s">
        <v>26</v>
      </c>
      <c r="G1441" s="2" t="n">
        <v>49810</v>
      </c>
      <c r="H1441" s="2" t="n">
        <v>9</v>
      </c>
      <c r="I1441" s="2" t="n">
        <v>189</v>
      </c>
      <c r="J1441" s="2" t="n">
        <v>1</v>
      </c>
      <c r="K1441" s="2" t="n">
        <v>311931</v>
      </c>
      <c r="L1441" s="2" t="n">
        <v>177143</v>
      </c>
      <c r="M1441" s="2" t="n">
        <v>10683</v>
      </c>
      <c r="N1441" s="2" t="n">
        <v>364</v>
      </c>
      <c r="O1441" s="2" t="n">
        <v>512</v>
      </c>
      <c r="P1441" s="2" t="n">
        <v>2012</v>
      </c>
      <c r="Q1441" s="2" t="n">
        <v>4498</v>
      </c>
      <c r="R1441" s="2" t="n">
        <v>655</v>
      </c>
      <c r="S1441" s="2" t="n">
        <v>22</v>
      </c>
      <c r="T1441" s="2" t="s">
        <v>96</v>
      </c>
      <c r="U1441" s="4" t="n">
        <f aca="false">(M1441+N1441+O1441+P1441)/L1441</f>
        <v>0.0766104220883693</v>
      </c>
      <c r="V1441" s="2" t="str">
        <f aca="false">IF(S1441&lt;=5,"Late night (0-5)",IF(S1441&lt;=11,"Morning (6-11)",IF(S1441&lt;=17,"Afternoon (12-17)","Evening (18-23)")))</f>
        <v>Evening (18-23)</v>
      </c>
    </row>
    <row r="1442" customFormat="false" ht="15" hidden="false" customHeight="false" outlineLevel="0" collapsed="false">
      <c r="A1442" s="2" t="s">
        <v>2457</v>
      </c>
      <c r="B1442" s="2" t="s">
        <v>132</v>
      </c>
      <c r="C1442" s="2" t="s">
        <v>36</v>
      </c>
      <c r="D1442" s="3" t="n">
        <v>45659</v>
      </c>
      <c r="E1442" s="2" t="s">
        <v>2458</v>
      </c>
      <c r="F1442" s="2" t="s">
        <v>26</v>
      </c>
      <c r="G1442" s="2" t="n">
        <v>83053</v>
      </c>
      <c r="H1442" s="2" t="n">
        <v>11</v>
      </c>
      <c r="I1442" s="2" t="n">
        <v>156</v>
      </c>
      <c r="J1442" s="2" t="n">
        <v>0</v>
      </c>
      <c r="K1442" s="2" t="n">
        <v>75885</v>
      </c>
      <c r="L1442" s="2" t="n">
        <v>49954</v>
      </c>
      <c r="M1442" s="2" t="n">
        <v>3539</v>
      </c>
      <c r="N1442" s="2" t="n">
        <v>130</v>
      </c>
      <c r="O1442" s="2" t="n">
        <v>448</v>
      </c>
      <c r="P1442" s="2" t="n">
        <v>545</v>
      </c>
      <c r="Q1442" s="2" t="n">
        <v>1431</v>
      </c>
      <c r="R1442" s="2" t="n">
        <v>379</v>
      </c>
      <c r="S1442" s="2" t="n">
        <v>18</v>
      </c>
      <c r="T1442" s="2" t="s">
        <v>79</v>
      </c>
      <c r="U1442" s="4" t="n">
        <f aca="false">(M1442+N1442+O1442+P1442)/L1442</f>
        <v>0.0933258597910077</v>
      </c>
      <c r="V1442" s="2" t="str">
        <f aca="false">IF(S1442&lt;=5,"Late night (0-5)",IF(S1442&lt;=11,"Morning (6-11)",IF(S1442&lt;=17,"Afternoon (12-17)","Evening (18-23)")))</f>
        <v>Evening (18-23)</v>
      </c>
    </row>
    <row r="1443" customFormat="false" ht="15" hidden="false" customHeight="false" outlineLevel="0" collapsed="false">
      <c r="A1443" s="2" t="s">
        <v>2459</v>
      </c>
      <c r="B1443" s="2" t="s">
        <v>247</v>
      </c>
      <c r="C1443" s="2" t="s">
        <v>24</v>
      </c>
      <c r="D1443" s="3" t="n">
        <v>45845</v>
      </c>
      <c r="E1443" s="2" t="s">
        <v>827</v>
      </c>
      <c r="F1443" s="2" t="s">
        <v>32</v>
      </c>
      <c r="G1443" s="2" t="n">
        <v>70847</v>
      </c>
      <c r="H1443" s="2" t="n">
        <v>7</v>
      </c>
      <c r="I1443" s="2" t="n">
        <v>164</v>
      </c>
      <c r="J1443" s="2" t="n">
        <v>1</v>
      </c>
      <c r="K1443" s="2" t="n">
        <v>101278</v>
      </c>
      <c r="L1443" s="2" t="n">
        <v>57309</v>
      </c>
      <c r="M1443" s="2" t="n">
        <v>2869</v>
      </c>
      <c r="N1443" s="2" t="n">
        <v>222</v>
      </c>
      <c r="O1443" s="2" t="n">
        <v>685</v>
      </c>
      <c r="P1443" s="2" t="n">
        <v>603</v>
      </c>
      <c r="Q1443" s="2" t="n">
        <v>1255</v>
      </c>
      <c r="R1443" s="2" t="n">
        <v>166</v>
      </c>
      <c r="S1443" s="2" t="n">
        <v>23</v>
      </c>
      <c r="T1443" s="2" t="s">
        <v>33</v>
      </c>
      <c r="U1443" s="4" t="n">
        <f aca="false">(M1443+N1443+O1443+P1443)/L1443</f>
        <v>0.0764103369453315</v>
      </c>
      <c r="V1443" s="2" t="str">
        <f aca="false">IF(S1443&lt;=5,"Late night (0-5)",IF(S1443&lt;=11,"Morning (6-11)",IF(S1443&lt;=17,"Afternoon (12-17)","Evening (18-23)")))</f>
        <v>Evening (18-23)</v>
      </c>
    </row>
    <row r="1444" customFormat="false" ht="15" hidden="false" customHeight="false" outlineLevel="0" collapsed="false">
      <c r="A1444" s="2" t="s">
        <v>2460</v>
      </c>
      <c r="B1444" s="2" t="s">
        <v>35</v>
      </c>
      <c r="C1444" s="2" t="s">
        <v>36</v>
      </c>
      <c r="D1444" s="3" t="n">
        <v>45769</v>
      </c>
      <c r="E1444" s="2" t="s">
        <v>528</v>
      </c>
      <c r="F1444" s="2" t="s">
        <v>50</v>
      </c>
      <c r="G1444" s="2" t="n">
        <v>33933</v>
      </c>
      <c r="H1444" s="2" t="n">
        <v>12</v>
      </c>
      <c r="I1444" s="2" t="n">
        <v>282</v>
      </c>
      <c r="J1444" s="2" t="n">
        <v>1</v>
      </c>
      <c r="K1444" s="2" t="n">
        <v>42142</v>
      </c>
      <c r="L1444" s="2" t="n">
        <v>34475</v>
      </c>
      <c r="M1444" s="2" t="n">
        <v>1347</v>
      </c>
      <c r="N1444" s="2" t="n">
        <v>52</v>
      </c>
      <c r="O1444" s="2" t="n">
        <v>171</v>
      </c>
      <c r="P1444" s="2" t="n">
        <v>296</v>
      </c>
      <c r="Q1444" s="2" t="n">
        <v>183</v>
      </c>
      <c r="R1444" s="2" t="n">
        <v>44</v>
      </c>
      <c r="S1444" s="2" t="n">
        <v>7</v>
      </c>
      <c r="T1444" s="2" t="s">
        <v>51</v>
      </c>
      <c r="U1444" s="4" t="n">
        <f aca="false">(M1444+N1444+O1444+P1444)/L1444</f>
        <v>0.0541261783901378</v>
      </c>
      <c r="V1444" s="2" t="str">
        <f aca="false">IF(S1444&lt;=5,"Late night (0-5)",IF(S1444&lt;=11,"Morning (6-11)",IF(S1444&lt;=17,"Afternoon (12-17)","Evening (18-23)")))</f>
        <v>Morning (6-11)</v>
      </c>
    </row>
    <row r="1445" customFormat="false" ht="15" hidden="false" customHeight="false" outlineLevel="0" collapsed="false">
      <c r="A1445" s="2" t="s">
        <v>2461</v>
      </c>
      <c r="B1445" s="2" t="s">
        <v>40</v>
      </c>
      <c r="C1445" s="2" t="s">
        <v>41</v>
      </c>
      <c r="D1445" s="3" t="n">
        <v>45913</v>
      </c>
      <c r="E1445" s="2" t="s">
        <v>1172</v>
      </c>
      <c r="F1445" s="2" t="s">
        <v>38</v>
      </c>
      <c r="G1445" s="2" t="n">
        <v>23051</v>
      </c>
      <c r="H1445" s="2" t="n">
        <v>14</v>
      </c>
      <c r="I1445" s="2" t="n">
        <v>165</v>
      </c>
      <c r="J1445" s="2" t="n">
        <v>1</v>
      </c>
      <c r="K1445" s="2" t="n">
        <v>27313</v>
      </c>
      <c r="L1445" s="2" t="n">
        <v>22393</v>
      </c>
      <c r="M1445" s="2" t="n">
        <v>1500</v>
      </c>
      <c r="N1445" s="2" t="n">
        <v>99</v>
      </c>
      <c r="O1445" s="2" t="n">
        <v>237</v>
      </c>
      <c r="P1445" s="2" t="n">
        <v>293</v>
      </c>
      <c r="Q1445" s="2" t="n">
        <v>159</v>
      </c>
      <c r="R1445" s="2" t="n">
        <v>8</v>
      </c>
      <c r="S1445" s="2" t="n">
        <v>10</v>
      </c>
      <c r="T1445" s="2" t="s">
        <v>62</v>
      </c>
      <c r="U1445" s="4" t="n">
        <f aca="false">(M1445+N1445+O1445+P1445)/L1445</f>
        <v>0.0950743535926406</v>
      </c>
      <c r="V1445" s="2" t="str">
        <f aca="false">IF(S1445&lt;=5,"Late night (0-5)",IF(S1445&lt;=11,"Morning (6-11)",IF(S1445&lt;=17,"Afternoon (12-17)","Evening (18-23)")))</f>
        <v>Morning (6-11)</v>
      </c>
    </row>
    <row r="1446" customFormat="false" ht="15" hidden="false" customHeight="false" outlineLevel="0" collapsed="false">
      <c r="A1446" s="2" t="s">
        <v>2462</v>
      </c>
      <c r="B1446" s="2" t="s">
        <v>23</v>
      </c>
      <c r="C1446" s="2" t="s">
        <v>24</v>
      </c>
      <c r="D1446" s="3" t="n">
        <v>46002</v>
      </c>
      <c r="E1446" s="2" t="s">
        <v>2463</v>
      </c>
      <c r="F1446" s="2" t="s">
        <v>50</v>
      </c>
      <c r="G1446" s="2" t="n">
        <v>63447</v>
      </c>
      <c r="H1446" s="2" t="n">
        <v>22</v>
      </c>
      <c r="I1446" s="2" t="n">
        <v>274</v>
      </c>
      <c r="J1446" s="2" t="n">
        <v>0</v>
      </c>
      <c r="K1446" s="2" t="n">
        <v>56180</v>
      </c>
      <c r="L1446" s="2" t="n">
        <v>49563</v>
      </c>
      <c r="M1446" s="2" t="n">
        <v>2769</v>
      </c>
      <c r="N1446" s="2" t="n">
        <v>95</v>
      </c>
      <c r="O1446" s="2" t="n">
        <v>468</v>
      </c>
      <c r="P1446" s="2" t="n">
        <v>290</v>
      </c>
      <c r="Q1446" s="2" t="n">
        <v>1263</v>
      </c>
      <c r="R1446" s="2" t="n">
        <v>74</v>
      </c>
      <c r="S1446" s="2" t="n">
        <v>1</v>
      </c>
      <c r="T1446" s="2" t="s">
        <v>79</v>
      </c>
      <c r="U1446" s="4" t="n">
        <f aca="false">(M1446+N1446+O1446+P1446)/L1446</f>
        <v>0.0730787079071081</v>
      </c>
      <c r="V1446" s="2" t="str">
        <f aca="false">IF(S1446&lt;=5,"Late night (0-5)",IF(S1446&lt;=11,"Morning (6-11)",IF(S1446&lt;=17,"Afternoon (12-17)","Evening (18-23)")))</f>
        <v>Late night (0-5)</v>
      </c>
    </row>
    <row r="1447" customFormat="false" ht="15" hidden="false" customHeight="false" outlineLevel="0" collapsed="false">
      <c r="A1447" s="2" t="s">
        <v>2464</v>
      </c>
      <c r="B1447" s="2" t="s">
        <v>29</v>
      </c>
      <c r="C1447" s="2" t="s">
        <v>30</v>
      </c>
      <c r="D1447" s="3" t="n">
        <v>45871</v>
      </c>
      <c r="E1447" s="2" t="s">
        <v>2465</v>
      </c>
      <c r="F1447" s="2" t="s">
        <v>38</v>
      </c>
      <c r="G1447" s="2" t="n">
        <v>11612</v>
      </c>
      <c r="H1447" s="2" t="n">
        <v>2</v>
      </c>
      <c r="I1447" s="2" t="n">
        <v>173</v>
      </c>
      <c r="J1447" s="2" t="n">
        <v>1</v>
      </c>
      <c r="K1447" s="2" t="n">
        <v>8626</v>
      </c>
      <c r="L1447" s="2" t="n">
        <v>5479</v>
      </c>
      <c r="M1447" s="2" t="n">
        <v>296</v>
      </c>
      <c r="N1447" s="2" t="n">
        <v>10</v>
      </c>
      <c r="O1447" s="2" t="n">
        <v>44</v>
      </c>
      <c r="P1447" s="2" t="n">
        <v>37</v>
      </c>
      <c r="Q1447" s="2" t="n">
        <v>37</v>
      </c>
      <c r="R1447" s="2" t="n">
        <v>5</v>
      </c>
      <c r="S1447" s="2" t="n">
        <v>5</v>
      </c>
      <c r="T1447" s="2" t="s">
        <v>62</v>
      </c>
      <c r="U1447" s="4" t="n">
        <f aca="false">(M1447+N1447+O1447+P1447)/L1447</f>
        <v>0.0706333272494981</v>
      </c>
      <c r="V1447" s="2" t="str">
        <f aca="false">IF(S1447&lt;=5,"Late night (0-5)",IF(S1447&lt;=11,"Morning (6-11)",IF(S1447&lt;=17,"Afternoon (12-17)","Evening (18-23)")))</f>
        <v>Late night (0-5)</v>
      </c>
    </row>
    <row r="1448" customFormat="false" ht="15" hidden="false" customHeight="false" outlineLevel="0" collapsed="false">
      <c r="A1448" s="2" t="s">
        <v>2466</v>
      </c>
      <c r="B1448" s="2" t="s">
        <v>83</v>
      </c>
      <c r="C1448" s="2" t="s">
        <v>84</v>
      </c>
      <c r="D1448" s="3" t="n">
        <v>45699</v>
      </c>
      <c r="E1448" s="2" t="s">
        <v>375</v>
      </c>
      <c r="F1448" s="2" t="s">
        <v>38</v>
      </c>
      <c r="G1448" s="2" t="n">
        <v>17918</v>
      </c>
      <c r="H1448" s="2" t="n">
        <v>0</v>
      </c>
      <c r="I1448" s="2" t="n">
        <v>320</v>
      </c>
      <c r="J1448" s="2" t="n">
        <v>1</v>
      </c>
      <c r="K1448" s="2" t="n">
        <v>35769</v>
      </c>
      <c r="L1448" s="2" t="n">
        <v>24036</v>
      </c>
      <c r="M1448" s="2" t="n">
        <v>1031</v>
      </c>
      <c r="N1448" s="2" t="n">
        <v>77</v>
      </c>
      <c r="O1448" s="2" t="n">
        <v>175</v>
      </c>
      <c r="P1448" s="2" t="n">
        <v>119</v>
      </c>
      <c r="Q1448" s="2" t="n">
        <v>697</v>
      </c>
      <c r="R1448" s="2" t="n">
        <v>81</v>
      </c>
      <c r="S1448" s="2" t="n">
        <v>19</v>
      </c>
      <c r="T1448" s="2" t="s">
        <v>51</v>
      </c>
      <c r="U1448" s="4" t="n">
        <f aca="false">(M1448+N1448+O1448+P1448)/L1448</f>
        <v>0.0583291729073057</v>
      </c>
      <c r="V1448" s="2" t="str">
        <f aca="false">IF(S1448&lt;=5,"Late night (0-5)",IF(S1448&lt;=11,"Morning (6-11)",IF(S1448&lt;=17,"Afternoon (12-17)","Evening (18-23)")))</f>
        <v>Evening (18-23)</v>
      </c>
    </row>
    <row r="1449" customFormat="false" ht="15" hidden="false" customHeight="false" outlineLevel="0" collapsed="false">
      <c r="A1449" s="2" t="s">
        <v>2467</v>
      </c>
      <c r="B1449" s="2" t="s">
        <v>459</v>
      </c>
      <c r="C1449" s="2" t="s">
        <v>84</v>
      </c>
      <c r="D1449" s="3" t="n">
        <v>45659</v>
      </c>
      <c r="E1449" s="2" t="s">
        <v>284</v>
      </c>
      <c r="F1449" s="2" t="s">
        <v>38</v>
      </c>
      <c r="G1449" s="2" t="n">
        <v>19744</v>
      </c>
      <c r="H1449" s="2" t="n">
        <v>6</v>
      </c>
      <c r="I1449" s="2" t="n">
        <v>231</v>
      </c>
      <c r="J1449" s="2" t="n">
        <v>0</v>
      </c>
      <c r="K1449" s="2" t="n">
        <v>13496</v>
      </c>
      <c r="L1449" s="2" t="n">
        <v>9473</v>
      </c>
      <c r="M1449" s="2" t="n">
        <v>687</v>
      </c>
      <c r="N1449" s="2" t="n">
        <v>38</v>
      </c>
      <c r="O1449" s="2" t="n">
        <v>77</v>
      </c>
      <c r="P1449" s="2" t="n">
        <v>56</v>
      </c>
      <c r="Q1449" s="2" t="n">
        <v>213</v>
      </c>
      <c r="R1449" s="2" t="n">
        <v>45</v>
      </c>
      <c r="S1449" s="2" t="n">
        <v>23</v>
      </c>
      <c r="T1449" s="2" t="s">
        <v>79</v>
      </c>
      <c r="U1449" s="4" t="n">
        <f aca="false">(M1449+N1449+O1449+P1449)/L1449</f>
        <v>0.0905732080650269</v>
      </c>
      <c r="V1449" s="2" t="str">
        <f aca="false">IF(S1449&lt;=5,"Late night (0-5)",IF(S1449&lt;=11,"Morning (6-11)",IF(S1449&lt;=17,"Afternoon (12-17)","Evening (18-23)")))</f>
        <v>Evening (18-23)</v>
      </c>
    </row>
    <row r="1450" customFormat="false" ht="15" hidden="false" customHeight="false" outlineLevel="0" collapsed="false">
      <c r="A1450" s="2" t="s">
        <v>2468</v>
      </c>
      <c r="B1450" s="2" t="s">
        <v>29</v>
      </c>
      <c r="C1450" s="2" t="s">
        <v>30</v>
      </c>
      <c r="D1450" s="3" t="n">
        <v>45808</v>
      </c>
      <c r="E1450" s="2" t="s">
        <v>1703</v>
      </c>
      <c r="F1450" s="2" t="s">
        <v>26</v>
      </c>
      <c r="G1450" s="2" t="n">
        <v>11612</v>
      </c>
      <c r="H1450" s="2" t="n">
        <v>6</v>
      </c>
      <c r="I1450" s="2" t="n">
        <v>259</v>
      </c>
      <c r="J1450" s="2" t="n">
        <v>1</v>
      </c>
      <c r="K1450" s="2" t="n">
        <v>10188</v>
      </c>
      <c r="L1450" s="2" t="n">
        <v>6939</v>
      </c>
      <c r="M1450" s="2" t="n">
        <v>432</v>
      </c>
      <c r="N1450" s="2" t="n">
        <v>29</v>
      </c>
      <c r="O1450" s="2" t="n">
        <v>23</v>
      </c>
      <c r="P1450" s="2" t="n">
        <v>124</v>
      </c>
      <c r="Q1450" s="2" t="n">
        <v>198</v>
      </c>
      <c r="R1450" s="2" t="n">
        <v>59</v>
      </c>
      <c r="S1450" s="2" t="n">
        <v>17</v>
      </c>
      <c r="T1450" s="2" t="s">
        <v>62</v>
      </c>
      <c r="U1450" s="4" t="n">
        <f aca="false">(M1450+N1450+O1450+P1450)/L1450</f>
        <v>0.0876206946245857</v>
      </c>
      <c r="V1450" s="2" t="str">
        <f aca="false">IF(S1450&lt;=5,"Late night (0-5)",IF(S1450&lt;=11,"Morning (6-11)",IF(S1450&lt;=17,"Afternoon (12-17)","Evening (18-23)")))</f>
        <v>Afternoon (12-17)</v>
      </c>
    </row>
    <row r="1451" customFormat="false" ht="15" hidden="false" customHeight="false" outlineLevel="0" collapsed="false">
      <c r="A1451" s="2" t="s">
        <v>2469</v>
      </c>
      <c r="B1451" s="2" t="s">
        <v>327</v>
      </c>
      <c r="C1451" s="2" t="s">
        <v>91</v>
      </c>
      <c r="D1451" s="3" t="n">
        <v>45959</v>
      </c>
      <c r="E1451" s="2" t="s">
        <v>726</v>
      </c>
      <c r="F1451" s="2" t="s">
        <v>38</v>
      </c>
      <c r="G1451" s="2" t="n">
        <v>16943</v>
      </c>
      <c r="H1451" s="2" t="n">
        <v>6</v>
      </c>
      <c r="I1451" s="2" t="n">
        <v>210</v>
      </c>
      <c r="J1451" s="2" t="n">
        <v>0</v>
      </c>
      <c r="K1451" s="2" t="n">
        <v>9087</v>
      </c>
      <c r="L1451" s="2" t="n">
        <v>5145</v>
      </c>
      <c r="M1451" s="2" t="n">
        <v>286</v>
      </c>
      <c r="N1451" s="2" t="n">
        <v>19</v>
      </c>
      <c r="O1451" s="2" t="n">
        <v>48</v>
      </c>
      <c r="P1451" s="2" t="n">
        <v>36</v>
      </c>
      <c r="Q1451" s="2" t="n">
        <v>44</v>
      </c>
      <c r="R1451" s="2" t="n">
        <v>13</v>
      </c>
      <c r="S1451" s="2" t="n">
        <v>0</v>
      </c>
      <c r="T1451" s="2" t="s">
        <v>66</v>
      </c>
      <c r="U1451" s="4" t="n">
        <f aca="false">(M1451+N1451+O1451+P1451)/L1451</f>
        <v>0.0756073858114675</v>
      </c>
      <c r="V1451" s="2" t="str">
        <f aca="false">IF(S1451&lt;=5,"Late night (0-5)",IF(S1451&lt;=11,"Morning (6-11)",IF(S1451&lt;=17,"Afternoon (12-17)","Evening (18-23)")))</f>
        <v>Late night (0-5)</v>
      </c>
    </row>
    <row r="1452" customFormat="false" ht="15" hidden="false" customHeight="false" outlineLevel="0" collapsed="false">
      <c r="A1452" s="2" t="s">
        <v>2470</v>
      </c>
      <c r="B1452" s="2" t="s">
        <v>68</v>
      </c>
      <c r="C1452" s="2" t="s">
        <v>54</v>
      </c>
      <c r="D1452" s="3" t="n">
        <v>45956</v>
      </c>
      <c r="E1452" s="2" t="s">
        <v>269</v>
      </c>
      <c r="F1452" s="2" t="s">
        <v>38</v>
      </c>
      <c r="G1452" s="2" t="n">
        <v>35922</v>
      </c>
      <c r="H1452" s="2" t="n">
        <v>12</v>
      </c>
      <c r="I1452" s="2" t="n">
        <v>251</v>
      </c>
      <c r="J1452" s="2" t="n">
        <v>1</v>
      </c>
      <c r="K1452" s="2" t="n">
        <v>27217</v>
      </c>
      <c r="L1452" s="2" t="n">
        <v>18201</v>
      </c>
      <c r="M1452" s="2" t="n">
        <v>697</v>
      </c>
      <c r="N1452" s="2" t="n">
        <v>26</v>
      </c>
      <c r="O1452" s="2" t="n">
        <v>57</v>
      </c>
      <c r="P1452" s="2" t="n">
        <v>80</v>
      </c>
      <c r="Q1452" s="2" t="n">
        <v>300</v>
      </c>
      <c r="R1452" s="2" t="n">
        <v>63</v>
      </c>
      <c r="S1452" s="2" t="n">
        <v>1</v>
      </c>
      <c r="T1452" s="2" t="s">
        <v>27</v>
      </c>
      <c r="U1452" s="4" t="n">
        <f aca="false">(M1452+N1452+O1452+P1452)/L1452</f>
        <v>0.0472501510905994</v>
      </c>
      <c r="V1452" s="2" t="str">
        <f aca="false">IF(S1452&lt;=5,"Late night (0-5)",IF(S1452&lt;=11,"Morning (6-11)",IF(S1452&lt;=17,"Afternoon (12-17)","Evening (18-23)")))</f>
        <v>Late night (0-5)</v>
      </c>
    </row>
    <row r="1453" customFormat="false" ht="15" hidden="false" customHeight="false" outlineLevel="0" collapsed="false">
      <c r="A1453" s="2" t="s">
        <v>2471</v>
      </c>
      <c r="B1453" s="2" t="s">
        <v>87</v>
      </c>
      <c r="C1453" s="2" t="s">
        <v>36</v>
      </c>
      <c r="D1453" s="3" t="n">
        <v>45985</v>
      </c>
      <c r="E1453" s="2" t="s">
        <v>973</v>
      </c>
      <c r="F1453" s="2" t="s">
        <v>26</v>
      </c>
      <c r="G1453" s="2" t="n">
        <v>25592</v>
      </c>
      <c r="H1453" s="2" t="n">
        <v>20</v>
      </c>
      <c r="I1453" s="2" t="n">
        <v>194</v>
      </c>
      <c r="J1453" s="2" t="n">
        <v>1</v>
      </c>
      <c r="K1453" s="2" t="n">
        <v>18259</v>
      </c>
      <c r="L1453" s="2" t="n">
        <v>10358</v>
      </c>
      <c r="M1453" s="2" t="n">
        <v>541</v>
      </c>
      <c r="N1453" s="2" t="n">
        <v>21</v>
      </c>
      <c r="O1453" s="2" t="n">
        <v>18</v>
      </c>
      <c r="P1453" s="2" t="n">
        <v>48</v>
      </c>
      <c r="Q1453" s="2" t="n">
        <v>293</v>
      </c>
      <c r="R1453" s="2" t="n">
        <v>86</v>
      </c>
      <c r="S1453" s="2" t="n">
        <v>16</v>
      </c>
      <c r="T1453" s="2" t="s">
        <v>33</v>
      </c>
      <c r="U1453" s="4" t="n">
        <f aca="false">(M1453+N1453+O1453+P1453)/L1453</f>
        <v>0.0606294651477119</v>
      </c>
      <c r="V1453" s="2" t="str">
        <f aca="false">IF(S1453&lt;=5,"Late night (0-5)",IF(S1453&lt;=11,"Morning (6-11)",IF(S1453&lt;=17,"Afternoon (12-17)","Evening (18-23)")))</f>
        <v>Afternoon (12-17)</v>
      </c>
    </row>
    <row r="1454" customFormat="false" ht="15" hidden="false" customHeight="false" outlineLevel="0" collapsed="false">
      <c r="A1454" s="2" t="s">
        <v>2472</v>
      </c>
      <c r="B1454" s="2" t="s">
        <v>459</v>
      </c>
      <c r="C1454" s="2" t="s">
        <v>84</v>
      </c>
      <c r="D1454" s="3" t="n">
        <v>45923</v>
      </c>
      <c r="E1454" s="2" t="s">
        <v>1510</v>
      </c>
      <c r="F1454" s="2" t="s">
        <v>38</v>
      </c>
      <c r="G1454" s="2" t="n">
        <v>19744</v>
      </c>
      <c r="H1454" s="2" t="n">
        <v>14</v>
      </c>
      <c r="I1454" s="2" t="n">
        <v>10</v>
      </c>
      <c r="J1454" s="2" t="n">
        <v>1</v>
      </c>
      <c r="K1454" s="2" t="n">
        <v>27692</v>
      </c>
      <c r="L1454" s="2" t="n">
        <v>16089</v>
      </c>
      <c r="M1454" s="2" t="n">
        <v>529</v>
      </c>
      <c r="N1454" s="2" t="n">
        <v>34</v>
      </c>
      <c r="O1454" s="2" t="n">
        <v>47</v>
      </c>
      <c r="P1454" s="2" t="n">
        <v>112</v>
      </c>
      <c r="Q1454" s="2" t="n">
        <v>287</v>
      </c>
      <c r="R1454" s="2" t="n">
        <v>32</v>
      </c>
      <c r="S1454" s="2" t="n">
        <v>8</v>
      </c>
      <c r="T1454" s="2" t="s">
        <v>51</v>
      </c>
      <c r="U1454" s="4" t="n">
        <f aca="false">(M1454+N1454+O1454+P1454)/L1454</f>
        <v>0.0448753806948847</v>
      </c>
      <c r="V1454" s="2" t="str">
        <f aca="false">IF(S1454&lt;=5,"Late night (0-5)",IF(S1454&lt;=11,"Morning (6-11)",IF(S1454&lt;=17,"Afternoon (12-17)","Evening (18-23)")))</f>
        <v>Morning (6-11)</v>
      </c>
    </row>
    <row r="1455" customFormat="false" ht="15" hidden="false" customHeight="false" outlineLevel="0" collapsed="false">
      <c r="A1455" s="2" t="s">
        <v>2473</v>
      </c>
      <c r="B1455" s="2" t="s">
        <v>240</v>
      </c>
      <c r="C1455" s="2" t="s">
        <v>41</v>
      </c>
      <c r="D1455" s="3" t="n">
        <v>45900</v>
      </c>
      <c r="E1455" s="2" t="s">
        <v>2474</v>
      </c>
      <c r="F1455" s="2" t="s">
        <v>50</v>
      </c>
      <c r="G1455" s="2" t="n">
        <v>83197</v>
      </c>
      <c r="H1455" s="2" t="n">
        <v>24</v>
      </c>
      <c r="I1455" s="2" t="n">
        <v>42</v>
      </c>
      <c r="J1455" s="2" t="n">
        <v>0</v>
      </c>
      <c r="K1455" s="2" t="n">
        <v>123362</v>
      </c>
      <c r="L1455" s="2" t="n">
        <v>72912</v>
      </c>
      <c r="M1455" s="2" t="n">
        <v>2866</v>
      </c>
      <c r="N1455" s="2" t="n">
        <v>154</v>
      </c>
      <c r="O1455" s="2" t="n">
        <v>387</v>
      </c>
      <c r="P1455" s="2" t="n">
        <v>753</v>
      </c>
      <c r="Q1455" s="2" t="n">
        <v>1475</v>
      </c>
      <c r="R1455" s="2" t="n">
        <v>427</v>
      </c>
      <c r="S1455" s="2" t="n">
        <v>23</v>
      </c>
      <c r="T1455" s="2" t="s">
        <v>27</v>
      </c>
      <c r="U1455" s="4" t="n">
        <f aca="false">(M1455+N1455+O1455+P1455)/L1455</f>
        <v>0.0570550800965548</v>
      </c>
      <c r="V1455" s="2" t="str">
        <f aca="false">IF(S1455&lt;=5,"Late night (0-5)",IF(S1455&lt;=11,"Morning (6-11)",IF(S1455&lt;=17,"Afternoon (12-17)","Evening (18-23)")))</f>
        <v>Evening (18-23)</v>
      </c>
    </row>
    <row r="1456" customFormat="false" ht="15" hidden="false" customHeight="false" outlineLevel="0" collapsed="false">
      <c r="A1456" s="2" t="s">
        <v>2475</v>
      </c>
      <c r="B1456" s="2" t="s">
        <v>324</v>
      </c>
      <c r="C1456" s="2" t="s">
        <v>24</v>
      </c>
      <c r="D1456" s="3" t="n">
        <v>45833</v>
      </c>
      <c r="E1456" s="2" t="s">
        <v>2476</v>
      </c>
      <c r="F1456" s="2" t="s">
        <v>50</v>
      </c>
      <c r="G1456" s="2" t="n">
        <v>3823</v>
      </c>
      <c r="H1456" s="2" t="n">
        <v>0</v>
      </c>
      <c r="I1456" s="2" t="n">
        <v>464</v>
      </c>
      <c r="J1456" s="2" t="n">
        <v>0</v>
      </c>
      <c r="K1456" s="2" t="n">
        <v>1077</v>
      </c>
      <c r="L1456" s="2" t="n">
        <v>879</v>
      </c>
      <c r="M1456" s="2" t="n">
        <v>64</v>
      </c>
      <c r="N1456" s="2" t="n">
        <v>1</v>
      </c>
      <c r="O1456" s="2" t="n">
        <v>11</v>
      </c>
      <c r="P1456" s="2" t="n">
        <v>10</v>
      </c>
      <c r="Q1456" s="2" t="n">
        <v>18</v>
      </c>
      <c r="R1456" s="2" t="n">
        <v>5</v>
      </c>
      <c r="S1456" s="2" t="n">
        <v>3</v>
      </c>
      <c r="T1456" s="2" t="s">
        <v>66</v>
      </c>
      <c r="U1456" s="4" t="n">
        <f aca="false">(M1456+N1456+O1456+P1456)/L1456</f>
        <v>0.0978384527872583</v>
      </c>
      <c r="V1456" s="2" t="str">
        <f aca="false">IF(S1456&lt;=5,"Late night (0-5)",IF(S1456&lt;=11,"Morning (6-11)",IF(S1456&lt;=17,"Afternoon (12-17)","Evening (18-23)")))</f>
        <v>Late night (0-5)</v>
      </c>
    </row>
    <row r="1457" customFormat="false" ht="15" hidden="false" customHeight="false" outlineLevel="0" collapsed="false">
      <c r="A1457" s="2" t="s">
        <v>2477</v>
      </c>
      <c r="B1457" s="2" t="s">
        <v>390</v>
      </c>
      <c r="C1457" s="2" t="s">
        <v>36</v>
      </c>
      <c r="D1457" s="3" t="n">
        <v>45674</v>
      </c>
      <c r="E1457" s="2" t="s">
        <v>2478</v>
      </c>
      <c r="F1457" s="2" t="s">
        <v>26</v>
      </c>
      <c r="G1457" s="2" t="n">
        <v>30232</v>
      </c>
      <c r="H1457" s="2" t="n">
        <v>16</v>
      </c>
      <c r="I1457" s="2" t="n">
        <v>229</v>
      </c>
      <c r="J1457" s="2" t="n">
        <v>1</v>
      </c>
      <c r="K1457" s="2" t="n">
        <v>38187</v>
      </c>
      <c r="L1457" s="2" t="n">
        <v>23384</v>
      </c>
      <c r="M1457" s="2" t="n">
        <v>1996</v>
      </c>
      <c r="N1457" s="2" t="n">
        <v>149</v>
      </c>
      <c r="O1457" s="2" t="n">
        <v>280</v>
      </c>
      <c r="P1457" s="2" t="n">
        <v>788</v>
      </c>
      <c r="Q1457" s="2" t="n">
        <v>360</v>
      </c>
      <c r="R1457" s="2" t="n">
        <v>18</v>
      </c>
      <c r="S1457" s="2" t="n">
        <v>9</v>
      </c>
      <c r="T1457" s="2" t="s">
        <v>96</v>
      </c>
      <c r="U1457" s="4" t="n">
        <f aca="false">(M1457+N1457+O1457+P1457)/L1457</f>
        <v>0.137401642148478</v>
      </c>
      <c r="V1457" s="2" t="str">
        <f aca="false">IF(S1457&lt;=5,"Late night (0-5)",IF(S1457&lt;=11,"Morning (6-11)",IF(S1457&lt;=17,"Afternoon (12-17)","Evening (18-23)")))</f>
        <v>Morning (6-11)</v>
      </c>
    </row>
    <row r="1458" customFormat="false" ht="15" hidden="false" customHeight="false" outlineLevel="0" collapsed="false">
      <c r="A1458" s="2" t="s">
        <v>2479</v>
      </c>
      <c r="B1458" s="2" t="s">
        <v>148</v>
      </c>
      <c r="C1458" s="2" t="s">
        <v>48</v>
      </c>
      <c r="D1458" s="3" t="n">
        <v>45860</v>
      </c>
      <c r="E1458" s="2" t="s">
        <v>506</v>
      </c>
      <c r="F1458" s="2" t="s">
        <v>38</v>
      </c>
      <c r="G1458" s="2" t="n">
        <v>46311</v>
      </c>
      <c r="H1458" s="2" t="n">
        <v>7</v>
      </c>
      <c r="I1458" s="2" t="n">
        <v>104</v>
      </c>
      <c r="J1458" s="2" t="n">
        <v>0</v>
      </c>
      <c r="K1458" s="2" t="n">
        <v>58161</v>
      </c>
      <c r="L1458" s="2" t="n">
        <v>39682</v>
      </c>
      <c r="M1458" s="2" t="n">
        <v>2740</v>
      </c>
      <c r="N1458" s="2" t="n">
        <v>206</v>
      </c>
      <c r="O1458" s="2" t="n">
        <v>453</v>
      </c>
      <c r="P1458" s="2" t="n">
        <v>181</v>
      </c>
      <c r="Q1458" s="2" t="n">
        <v>905</v>
      </c>
      <c r="R1458" s="2" t="n">
        <v>102</v>
      </c>
      <c r="S1458" s="2" t="n">
        <v>20</v>
      </c>
      <c r="T1458" s="2" t="s">
        <v>51</v>
      </c>
      <c r="U1458" s="4" t="n">
        <f aca="false">(M1458+N1458+O1458+P1458)/L1458</f>
        <v>0.0902172269542866</v>
      </c>
      <c r="V1458" s="2" t="str">
        <f aca="false">IF(S1458&lt;=5,"Late night (0-5)",IF(S1458&lt;=11,"Morning (6-11)",IF(S1458&lt;=17,"Afternoon (12-17)","Evening (18-23)")))</f>
        <v>Evening (18-23)</v>
      </c>
    </row>
    <row r="1459" customFormat="false" ht="15" hidden="false" customHeight="false" outlineLevel="0" collapsed="false">
      <c r="A1459" s="2" t="s">
        <v>2480</v>
      </c>
      <c r="B1459" s="2" t="s">
        <v>409</v>
      </c>
      <c r="C1459" s="2" t="s">
        <v>48</v>
      </c>
      <c r="D1459" s="3" t="n">
        <v>45742</v>
      </c>
      <c r="E1459" s="2" t="s">
        <v>2481</v>
      </c>
      <c r="F1459" s="2" t="s">
        <v>26</v>
      </c>
      <c r="G1459" s="2" t="n">
        <v>31525</v>
      </c>
      <c r="H1459" s="2" t="n">
        <v>3</v>
      </c>
      <c r="I1459" s="2" t="n">
        <v>246</v>
      </c>
      <c r="J1459" s="2" t="n">
        <v>0</v>
      </c>
      <c r="K1459" s="2" t="n">
        <v>17107</v>
      </c>
      <c r="L1459" s="2" t="n">
        <v>12043</v>
      </c>
      <c r="M1459" s="2" t="n">
        <v>453</v>
      </c>
      <c r="N1459" s="2" t="n">
        <v>11</v>
      </c>
      <c r="O1459" s="2" t="n">
        <v>38</v>
      </c>
      <c r="P1459" s="2" t="n">
        <v>127</v>
      </c>
      <c r="Q1459" s="2" t="n">
        <v>100</v>
      </c>
      <c r="R1459" s="2" t="n">
        <v>18</v>
      </c>
      <c r="S1459" s="2" t="n">
        <v>23</v>
      </c>
      <c r="T1459" s="2" t="s">
        <v>66</v>
      </c>
      <c r="U1459" s="4" t="n">
        <f aca="false">(M1459+N1459+O1459+P1459)/L1459</f>
        <v>0.0522295109192062</v>
      </c>
      <c r="V1459" s="2" t="str">
        <f aca="false">IF(S1459&lt;=5,"Late night (0-5)",IF(S1459&lt;=11,"Morning (6-11)",IF(S1459&lt;=17,"Afternoon (12-17)","Evening (18-23)")))</f>
        <v>Evening (18-23)</v>
      </c>
    </row>
    <row r="1460" customFormat="false" ht="15" hidden="false" customHeight="false" outlineLevel="0" collapsed="false">
      <c r="A1460" s="2" t="s">
        <v>2482</v>
      </c>
      <c r="B1460" s="2" t="s">
        <v>77</v>
      </c>
      <c r="C1460" s="2" t="s">
        <v>30</v>
      </c>
      <c r="D1460" s="3" t="n">
        <v>45916</v>
      </c>
      <c r="E1460" s="2" t="s">
        <v>2212</v>
      </c>
      <c r="F1460" s="2" t="s">
        <v>26</v>
      </c>
      <c r="G1460" s="2" t="n">
        <v>17548</v>
      </c>
      <c r="H1460" s="2" t="n">
        <v>0</v>
      </c>
      <c r="I1460" s="2" t="n">
        <v>85</v>
      </c>
      <c r="J1460" s="2" t="n">
        <v>0</v>
      </c>
      <c r="K1460" s="2" t="n">
        <v>14972</v>
      </c>
      <c r="L1460" s="2" t="n">
        <v>12138</v>
      </c>
      <c r="M1460" s="2" t="n">
        <v>618</v>
      </c>
      <c r="N1460" s="2" t="n">
        <v>26</v>
      </c>
      <c r="O1460" s="2" t="n">
        <v>97</v>
      </c>
      <c r="P1460" s="2" t="n">
        <v>198</v>
      </c>
      <c r="Q1460" s="2" t="n">
        <v>313</v>
      </c>
      <c r="R1460" s="2" t="n">
        <v>77</v>
      </c>
      <c r="S1460" s="2" t="n">
        <v>20</v>
      </c>
      <c r="T1460" s="2" t="s">
        <v>51</v>
      </c>
      <c r="U1460" s="4" t="n">
        <f aca="false">(M1460+N1460+O1460+P1460)/L1460</f>
        <v>0.0773603559070687</v>
      </c>
      <c r="V1460" s="2" t="str">
        <f aca="false">IF(S1460&lt;=5,"Late night (0-5)",IF(S1460&lt;=11,"Morning (6-11)",IF(S1460&lt;=17,"Afternoon (12-17)","Evening (18-23)")))</f>
        <v>Evening (18-23)</v>
      </c>
    </row>
    <row r="1461" customFormat="false" ht="15" hidden="false" customHeight="false" outlineLevel="0" collapsed="false">
      <c r="A1461" s="2" t="s">
        <v>2483</v>
      </c>
      <c r="B1461" s="2" t="s">
        <v>307</v>
      </c>
      <c r="C1461" s="2" t="s">
        <v>48</v>
      </c>
      <c r="D1461" s="3" t="n">
        <v>45786</v>
      </c>
      <c r="E1461" s="2" t="s">
        <v>317</v>
      </c>
      <c r="F1461" s="2" t="s">
        <v>38</v>
      </c>
      <c r="G1461" s="2" t="n">
        <v>91358</v>
      </c>
      <c r="H1461" s="2" t="n">
        <v>0</v>
      </c>
      <c r="I1461" s="2" t="n">
        <v>158</v>
      </c>
      <c r="J1461" s="2" t="n">
        <v>0</v>
      </c>
      <c r="K1461" s="2" t="n">
        <v>30649</v>
      </c>
      <c r="L1461" s="2" t="n">
        <v>18934</v>
      </c>
      <c r="M1461" s="2" t="n">
        <v>667</v>
      </c>
      <c r="N1461" s="2" t="n">
        <v>38</v>
      </c>
      <c r="O1461" s="2" t="n">
        <v>90</v>
      </c>
      <c r="P1461" s="2" t="n">
        <v>177</v>
      </c>
      <c r="Q1461" s="2" t="n">
        <v>484</v>
      </c>
      <c r="R1461" s="2" t="n">
        <v>107</v>
      </c>
      <c r="S1461" s="2" t="n">
        <v>1</v>
      </c>
      <c r="T1461" s="2" t="s">
        <v>96</v>
      </c>
      <c r="U1461" s="4" t="n">
        <f aca="false">(M1461+N1461+O1461+P1461)/L1461</f>
        <v>0.0513362205556142</v>
      </c>
      <c r="V1461" s="2" t="str">
        <f aca="false">IF(S1461&lt;=5,"Late night (0-5)",IF(S1461&lt;=11,"Morning (6-11)",IF(S1461&lt;=17,"Afternoon (12-17)","Evening (18-23)")))</f>
        <v>Late night (0-5)</v>
      </c>
    </row>
    <row r="1462" customFormat="false" ht="15" hidden="false" customHeight="false" outlineLevel="0" collapsed="false">
      <c r="A1462" s="2" t="s">
        <v>2484</v>
      </c>
      <c r="B1462" s="2" t="s">
        <v>126</v>
      </c>
      <c r="C1462" s="2" t="s">
        <v>36</v>
      </c>
      <c r="D1462" s="3" t="n">
        <v>45895</v>
      </c>
      <c r="E1462" s="2" t="s">
        <v>2097</v>
      </c>
      <c r="F1462" s="2" t="s">
        <v>38</v>
      </c>
      <c r="G1462" s="2" t="n">
        <v>28784</v>
      </c>
      <c r="H1462" s="2" t="n">
        <v>21</v>
      </c>
      <c r="I1462" s="2" t="n">
        <v>111</v>
      </c>
      <c r="J1462" s="2" t="n">
        <v>0</v>
      </c>
      <c r="K1462" s="2" t="n">
        <v>27813</v>
      </c>
      <c r="L1462" s="2" t="n">
        <v>19394</v>
      </c>
      <c r="M1462" s="2" t="n">
        <v>1469</v>
      </c>
      <c r="N1462" s="2" t="n">
        <v>65</v>
      </c>
      <c r="O1462" s="2" t="n">
        <v>256</v>
      </c>
      <c r="P1462" s="2" t="n">
        <v>193</v>
      </c>
      <c r="Q1462" s="2" t="n">
        <v>432</v>
      </c>
      <c r="R1462" s="2" t="n">
        <v>118</v>
      </c>
      <c r="S1462" s="2" t="n">
        <v>13</v>
      </c>
      <c r="T1462" s="2" t="s">
        <v>51</v>
      </c>
      <c r="U1462" s="4" t="n">
        <f aca="false">(M1462+N1462+O1462+P1462)/L1462</f>
        <v>0.102248117974631</v>
      </c>
      <c r="V1462" s="2" t="str">
        <f aca="false">IF(S1462&lt;=5,"Late night (0-5)",IF(S1462&lt;=11,"Morning (6-11)",IF(S1462&lt;=17,"Afternoon (12-17)","Evening (18-23)")))</f>
        <v>Afternoon (12-17)</v>
      </c>
    </row>
    <row r="1463" customFormat="false" ht="15" hidden="false" customHeight="false" outlineLevel="0" collapsed="false">
      <c r="A1463" s="2" t="s">
        <v>2485</v>
      </c>
      <c r="B1463" s="2" t="s">
        <v>426</v>
      </c>
      <c r="C1463" s="2" t="s">
        <v>30</v>
      </c>
      <c r="D1463" s="3" t="n">
        <v>45999</v>
      </c>
      <c r="E1463" s="2" t="s">
        <v>2486</v>
      </c>
      <c r="F1463" s="2" t="s">
        <v>38</v>
      </c>
      <c r="G1463" s="2" t="n">
        <v>40649</v>
      </c>
      <c r="H1463" s="2" t="n">
        <v>11</v>
      </c>
      <c r="I1463" s="2" t="n">
        <v>227</v>
      </c>
      <c r="J1463" s="2" t="n">
        <v>0</v>
      </c>
      <c r="K1463" s="2" t="n">
        <v>58308</v>
      </c>
      <c r="L1463" s="2" t="n">
        <v>37893</v>
      </c>
      <c r="M1463" s="2" t="n">
        <v>3186</v>
      </c>
      <c r="N1463" s="2" t="n">
        <v>71</v>
      </c>
      <c r="O1463" s="2" t="n">
        <v>505</v>
      </c>
      <c r="P1463" s="2" t="n">
        <v>680</v>
      </c>
      <c r="Q1463" s="2" t="n">
        <v>993</v>
      </c>
      <c r="R1463" s="2" t="n">
        <v>242</v>
      </c>
      <c r="S1463" s="2" t="n">
        <v>14</v>
      </c>
      <c r="T1463" s="2" t="s">
        <v>33</v>
      </c>
      <c r="U1463" s="4" t="n">
        <f aca="false">(M1463+N1463+O1463+P1463)/L1463</f>
        <v>0.117224817248568</v>
      </c>
      <c r="V1463" s="2" t="str">
        <f aca="false">IF(S1463&lt;=5,"Late night (0-5)",IF(S1463&lt;=11,"Morning (6-11)",IF(S1463&lt;=17,"Afternoon (12-17)","Evening (18-23)")))</f>
        <v>Afternoon (12-17)</v>
      </c>
    </row>
    <row r="1464" customFormat="false" ht="15" hidden="false" customHeight="false" outlineLevel="0" collapsed="false">
      <c r="A1464" s="2" t="s">
        <v>2487</v>
      </c>
      <c r="B1464" s="2" t="s">
        <v>374</v>
      </c>
      <c r="C1464" s="2" t="s">
        <v>24</v>
      </c>
      <c r="D1464" s="3" t="n">
        <v>45754</v>
      </c>
      <c r="E1464" s="2" t="s">
        <v>2488</v>
      </c>
      <c r="F1464" s="2" t="s">
        <v>32</v>
      </c>
      <c r="G1464" s="2" t="n">
        <v>9509</v>
      </c>
      <c r="H1464" s="2" t="n">
        <v>9</v>
      </c>
      <c r="I1464" s="2" t="n">
        <v>134</v>
      </c>
      <c r="J1464" s="2" t="n">
        <v>0</v>
      </c>
      <c r="K1464" s="2" t="n">
        <v>7088</v>
      </c>
      <c r="L1464" s="2" t="n">
        <v>5022</v>
      </c>
      <c r="M1464" s="2" t="n">
        <v>203</v>
      </c>
      <c r="N1464" s="2" t="n">
        <v>15</v>
      </c>
      <c r="O1464" s="2" t="n">
        <v>25</v>
      </c>
      <c r="P1464" s="2" t="n">
        <v>19</v>
      </c>
      <c r="Q1464" s="2" t="n">
        <v>61</v>
      </c>
      <c r="R1464" s="2" t="n">
        <v>17</v>
      </c>
      <c r="S1464" s="2" t="n">
        <v>4</v>
      </c>
      <c r="T1464" s="2" t="s">
        <v>33</v>
      </c>
      <c r="U1464" s="4" t="n">
        <f aca="false">(M1464+N1464+O1464+P1464)/L1464</f>
        <v>0.0521704500199124</v>
      </c>
      <c r="V1464" s="2" t="str">
        <f aca="false">IF(S1464&lt;=5,"Late night (0-5)",IF(S1464&lt;=11,"Morning (6-11)",IF(S1464&lt;=17,"Afternoon (12-17)","Evening (18-23)")))</f>
        <v>Late night (0-5)</v>
      </c>
    </row>
    <row r="1465" customFormat="false" ht="15" hidden="false" customHeight="false" outlineLevel="0" collapsed="false">
      <c r="A1465" s="2" t="s">
        <v>2489</v>
      </c>
      <c r="B1465" s="2" t="s">
        <v>324</v>
      </c>
      <c r="C1465" s="2" t="s">
        <v>24</v>
      </c>
      <c r="D1465" s="3" t="n">
        <v>45783</v>
      </c>
      <c r="E1465" s="2" t="s">
        <v>297</v>
      </c>
      <c r="F1465" s="2" t="s">
        <v>38</v>
      </c>
      <c r="G1465" s="2" t="n">
        <v>3823</v>
      </c>
      <c r="H1465" s="2" t="n">
        <v>12</v>
      </c>
      <c r="I1465" s="2" t="n">
        <v>235</v>
      </c>
      <c r="J1465" s="2" t="n">
        <v>1</v>
      </c>
      <c r="K1465" s="2" t="n">
        <v>1855</v>
      </c>
      <c r="L1465" s="2" t="n">
        <v>1196</v>
      </c>
      <c r="M1465" s="2" t="n">
        <v>94</v>
      </c>
      <c r="N1465" s="2" t="n">
        <v>4</v>
      </c>
      <c r="O1465" s="2" t="n">
        <v>6</v>
      </c>
      <c r="P1465" s="2" t="n">
        <v>16</v>
      </c>
      <c r="Q1465" s="2" t="n">
        <v>13</v>
      </c>
      <c r="R1465" s="2" t="n">
        <v>2</v>
      </c>
      <c r="S1465" s="2" t="n">
        <v>2</v>
      </c>
      <c r="T1465" s="2" t="s">
        <v>51</v>
      </c>
      <c r="U1465" s="4" t="n">
        <f aca="false">(M1465+N1465+O1465+P1465)/L1465</f>
        <v>0.100334448160535</v>
      </c>
      <c r="V1465" s="2" t="str">
        <f aca="false">IF(S1465&lt;=5,"Late night (0-5)",IF(S1465&lt;=11,"Morning (6-11)",IF(S1465&lt;=17,"Afternoon (12-17)","Evening (18-23)")))</f>
        <v>Late night (0-5)</v>
      </c>
    </row>
    <row r="1466" customFormat="false" ht="15" hidden="false" customHeight="false" outlineLevel="0" collapsed="false">
      <c r="A1466" s="2" t="s">
        <v>2490</v>
      </c>
      <c r="B1466" s="2" t="s">
        <v>40</v>
      </c>
      <c r="C1466" s="2" t="s">
        <v>41</v>
      </c>
      <c r="D1466" s="3" t="n">
        <v>45720</v>
      </c>
      <c r="E1466" s="2" t="s">
        <v>2491</v>
      </c>
      <c r="F1466" s="2" t="s">
        <v>32</v>
      </c>
      <c r="G1466" s="2" t="n">
        <v>23051</v>
      </c>
      <c r="H1466" s="2" t="n">
        <v>9</v>
      </c>
      <c r="I1466" s="2" t="n">
        <v>91</v>
      </c>
      <c r="J1466" s="2" t="n">
        <v>0</v>
      </c>
      <c r="K1466" s="2" t="n">
        <v>21979</v>
      </c>
      <c r="L1466" s="2" t="n">
        <v>14091</v>
      </c>
      <c r="M1466" s="2" t="n">
        <v>554</v>
      </c>
      <c r="N1466" s="2" t="n">
        <v>30</v>
      </c>
      <c r="O1466" s="2" t="n">
        <v>118</v>
      </c>
      <c r="P1466" s="2" t="n">
        <v>55</v>
      </c>
      <c r="Q1466" s="2" t="n">
        <v>338</v>
      </c>
      <c r="R1466" s="2" t="n">
        <v>69</v>
      </c>
      <c r="S1466" s="2" t="n">
        <v>21</v>
      </c>
      <c r="T1466" s="2" t="s">
        <v>51</v>
      </c>
      <c r="U1466" s="4" t="n">
        <f aca="false">(M1466+N1466+O1466+P1466)/L1466</f>
        <v>0.0537222340501029</v>
      </c>
      <c r="V1466" s="2" t="str">
        <f aca="false">IF(S1466&lt;=5,"Late night (0-5)",IF(S1466&lt;=11,"Morning (6-11)",IF(S1466&lt;=17,"Afternoon (12-17)","Evening (18-23)")))</f>
        <v>Evening (18-23)</v>
      </c>
    </row>
    <row r="1467" customFormat="false" ht="15" hidden="false" customHeight="false" outlineLevel="0" collapsed="false">
      <c r="A1467" s="2" t="s">
        <v>2492</v>
      </c>
      <c r="B1467" s="2" t="s">
        <v>360</v>
      </c>
      <c r="C1467" s="2" t="s">
        <v>48</v>
      </c>
      <c r="D1467" s="3" t="n">
        <v>45792</v>
      </c>
      <c r="E1467" s="2" t="s">
        <v>490</v>
      </c>
      <c r="F1467" s="2" t="s">
        <v>38</v>
      </c>
      <c r="G1467" s="2" t="n">
        <v>19542</v>
      </c>
      <c r="H1467" s="2" t="n">
        <v>28</v>
      </c>
      <c r="I1467" s="2" t="n">
        <v>248</v>
      </c>
      <c r="J1467" s="2" t="n">
        <v>0</v>
      </c>
      <c r="K1467" s="2" t="n">
        <v>13699</v>
      </c>
      <c r="L1467" s="2" t="n">
        <v>8681</v>
      </c>
      <c r="M1467" s="2" t="n">
        <v>331</v>
      </c>
      <c r="N1467" s="2" t="n">
        <v>15</v>
      </c>
      <c r="O1467" s="2" t="n">
        <v>60</v>
      </c>
      <c r="P1467" s="2" t="n">
        <v>19</v>
      </c>
      <c r="Q1467" s="2" t="n">
        <v>142</v>
      </c>
      <c r="R1467" s="2" t="n">
        <v>30</v>
      </c>
      <c r="S1467" s="2" t="n">
        <v>3</v>
      </c>
      <c r="T1467" s="2" t="s">
        <v>79</v>
      </c>
      <c r="U1467" s="4" t="n">
        <f aca="false">(M1467+N1467+O1467+P1467)/L1467</f>
        <v>0.0489574933763391</v>
      </c>
      <c r="V1467" s="2" t="str">
        <f aca="false">IF(S1467&lt;=5,"Late night (0-5)",IF(S1467&lt;=11,"Morning (6-11)",IF(S1467&lt;=17,"Afternoon (12-17)","Evening (18-23)")))</f>
        <v>Late night (0-5)</v>
      </c>
    </row>
    <row r="1468" customFormat="false" ht="15" hidden="false" customHeight="false" outlineLevel="0" collapsed="false">
      <c r="A1468" s="2" t="s">
        <v>2493</v>
      </c>
      <c r="B1468" s="2" t="s">
        <v>452</v>
      </c>
      <c r="C1468" s="2" t="s">
        <v>91</v>
      </c>
      <c r="D1468" s="3" t="n">
        <v>45825</v>
      </c>
      <c r="E1468" s="2" t="s">
        <v>718</v>
      </c>
      <c r="F1468" s="2" t="s">
        <v>38</v>
      </c>
      <c r="G1468" s="2" t="n">
        <v>14201</v>
      </c>
      <c r="H1468" s="2" t="n">
        <v>14</v>
      </c>
      <c r="I1468" s="2" t="n">
        <v>355</v>
      </c>
      <c r="J1468" s="2" t="n">
        <v>0</v>
      </c>
      <c r="K1468" s="2" t="n">
        <v>25710</v>
      </c>
      <c r="L1468" s="2" t="n">
        <v>20262</v>
      </c>
      <c r="M1468" s="2" t="n">
        <v>681</v>
      </c>
      <c r="N1468" s="2" t="n">
        <v>36</v>
      </c>
      <c r="O1468" s="2" t="n">
        <v>38</v>
      </c>
      <c r="P1468" s="2" t="n">
        <v>137</v>
      </c>
      <c r="Q1468" s="2" t="n">
        <v>501</v>
      </c>
      <c r="R1468" s="2" t="n">
        <v>127</v>
      </c>
      <c r="S1468" s="2" t="n">
        <v>21</v>
      </c>
      <c r="T1468" s="2" t="s">
        <v>51</v>
      </c>
      <c r="U1468" s="4" t="n">
        <f aca="false">(M1468+N1468+O1468+P1468)/L1468</f>
        <v>0.0440232948376271</v>
      </c>
      <c r="V1468" s="2" t="str">
        <f aca="false">IF(S1468&lt;=5,"Late night (0-5)",IF(S1468&lt;=11,"Morning (6-11)",IF(S1468&lt;=17,"Afternoon (12-17)","Evening (18-23)")))</f>
        <v>Evening (18-23)</v>
      </c>
    </row>
    <row r="1469" customFormat="false" ht="15" hidden="false" customHeight="false" outlineLevel="0" collapsed="false">
      <c r="A1469" s="2" t="s">
        <v>2494</v>
      </c>
      <c r="B1469" s="2" t="s">
        <v>307</v>
      </c>
      <c r="C1469" s="2" t="s">
        <v>48</v>
      </c>
      <c r="D1469" s="3" t="n">
        <v>45779</v>
      </c>
      <c r="E1469" s="2" t="s">
        <v>142</v>
      </c>
      <c r="F1469" s="2" t="s">
        <v>26</v>
      </c>
      <c r="G1469" s="2" t="n">
        <v>91358</v>
      </c>
      <c r="H1469" s="2" t="n">
        <v>8</v>
      </c>
      <c r="I1469" s="2" t="n">
        <v>222</v>
      </c>
      <c r="J1469" s="2" t="n">
        <v>1</v>
      </c>
      <c r="K1469" s="2" t="n">
        <v>140723</v>
      </c>
      <c r="L1469" s="2" t="n">
        <v>88213</v>
      </c>
      <c r="M1469" s="2" t="n">
        <v>7023</v>
      </c>
      <c r="N1469" s="2" t="n">
        <v>287</v>
      </c>
      <c r="O1469" s="2" t="n">
        <v>964</v>
      </c>
      <c r="P1469" s="2" t="n">
        <v>2025</v>
      </c>
      <c r="Q1469" s="2" t="n">
        <v>1109</v>
      </c>
      <c r="R1469" s="2" t="n">
        <v>88</v>
      </c>
      <c r="S1469" s="2" t="n">
        <v>22</v>
      </c>
      <c r="T1469" s="2" t="s">
        <v>96</v>
      </c>
      <c r="U1469" s="4" t="n">
        <f aca="false">(M1469+N1469+O1469+P1469)/L1469</f>
        <v>0.116751499212134</v>
      </c>
      <c r="V1469" s="2" t="str">
        <f aca="false">IF(S1469&lt;=5,"Late night (0-5)",IF(S1469&lt;=11,"Morning (6-11)",IF(S1469&lt;=17,"Afternoon (12-17)","Evening (18-23)")))</f>
        <v>Evening (18-23)</v>
      </c>
    </row>
    <row r="1470" customFormat="false" ht="15" hidden="false" customHeight="false" outlineLevel="0" collapsed="false">
      <c r="A1470" s="2" t="s">
        <v>2495</v>
      </c>
      <c r="B1470" s="2" t="s">
        <v>360</v>
      </c>
      <c r="C1470" s="2" t="s">
        <v>48</v>
      </c>
      <c r="D1470" s="3" t="n">
        <v>45681</v>
      </c>
      <c r="E1470" s="2" t="s">
        <v>697</v>
      </c>
      <c r="F1470" s="2" t="s">
        <v>38</v>
      </c>
      <c r="G1470" s="2" t="n">
        <v>19542</v>
      </c>
      <c r="H1470" s="2" t="n">
        <v>13</v>
      </c>
      <c r="I1470" s="2" t="n">
        <v>193</v>
      </c>
      <c r="J1470" s="2" t="n">
        <v>1</v>
      </c>
      <c r="K1470" s="2" t="n">
        <v>43940</v>
      </c>
      <c r="L1470" s="2" t="n">
        <v>28278</v>
      </c>
      <c r="M1470" s="2" t="n">
        <v>1561</v>
      </c>
      <c r="N1470" s="2" t="n">
        <v>48</v>
      </c>
      <c r="O1470" s="2" t="n">
        <v>136</v>
      </c>
      <c r="P1470" s="2" t="n">
        <v>352</v>
      </c>
      <c r="Q1470" s="2" t="n">
        <v>285</v>
      </c>
      <c r="R1470" s="2" t="n">
        <v>20</v>
      </c>
      <c r="S1470" s="2" t="n">
        <v>17</v>
      </c>
      <c r="T1470" s="2" t="s">
        <v>96</v>
      </c>
      <c r="U1470" s="4" t="n">
        <f aca="false">(M1470+N1470+O1470+P1470)/L1470</f>
        <v>0.0741565881604074</v>
      </c>
      <c r="V1470" s="2" t="str">
        <f aca="false">IF(S1470&lt;=5,"Late night (0-5)",IF(S1470&lt;=11,"Morning (6-11)",IF(S1470&lt;=17,"Afternoon (12-17)","Evening (18-23)")))</f>
        <v>Afternoon (12-17)</v>
      </c>
    </row>
    <row r="1471" customFormat="false" ht="15" hidden="false" customHeight="false" outlineLevel="0" collapsed="false">
      <c r="A1471" s="2" t="s">
        <v>2496</v>
      </c>
      <c r="B1471" s="2" t="s">
        <v>374</v>
      </c>
      <c r="C1471" s="2" t="s">
        <v>24</v>
      </c>
      <c r="D1471" s="3" t="n">
        <v>46005</v>
      </c>
      <c r="E1471" s="2" t="s">
        <v>1055</v>
      </c>
      <c r="F1471" s="2" t="s">
        <v>32</v>
      </c>
      <c r="G1471" s="2" t="n">
        <v>9509</v>
      </c>
      <c r="H1471" s="2" t="n">
        <v>12</v>
      </c>
      <c r="I1471" s="2" t="n">
        <v>240</v>
      </c>
      <c r="J1471" s="2" t="n">
        <v>0</v>
      </c>
      <c r="K1471" s="2" t="n">
        <v>28879</v>
      </c>
      <c r="L1471" s="2" t="n">
        <v>19321</v>
      </c>
      <c r="M1471" s="2" t="n">
        <v>2064</v>
      </c>
      <c r="N1471" s="2" t="n">
        <v>74</v>
      </c>
      <c r="O1471" s="2" t="n">
        <v>477</v>
      </c>
      <c r="P1471" s="2" t="n">
        <v>186</v>
      </c>
      <c r="Q1471" s="2" t="n">
        <v>546</v>
      </c>
      <c r="R1471" s="2" t="n">
        <v>27</v>
      </c>
      <c r="S1471" s="2" t="n">
        <v>19</v>
      </c>
      <c r="T1471" s="2" t="s">
        <v>27</v>
      </c>
      <c r="U1471" s="4" t="n">
        <f aca="false">(M1471+N1471+O1471+P1471)/L1471</f>
        <v>0.144971792350292</v>
      </c>
      <c r="V1471" s="2" t="str">
        <f aca="false">IF(S1471&lt;=5,"Late night (0-5)",IF(S1471&lt;=11,"Morning (6-11)",IF(S1471&lt;=17,"Afternoon (12-17)","Evening (18-23)")))</f>
        <v>Evening (18-23)</v>
      </c>
    </row>
    <row r="1472" customFormat="false" ht="15" hidden="false" customHeight="false" outlineLevel="0" collapsed="false">
      <c r="A1472" s="2" t="s">
        <v>2497</v>
      </c>
      <c r="B1472" s="2" t="s">
        <v>132</v>
      </c>
      <c r="C1472" s="2" t="s">
        <v>36</v>
      </c>
      <c r="D1472" s="3" t="n">
        <v>45941</v>
      </c>
      <c r="E1472" s="2" t="s">
        <v>2498</v>
      </c>
      <c r="F1472" s="2" t="s">
        <v>38</v>
      </c>
      <c r="G1472" s="2" t="n">
        <v>83053</v>
      </c>
      <c r="H1472" s="2" t="n">
        <v>7</v>
      </c>
      <c r="I1472" s="2" t="n">
        <v>137</v>
      </c>
      <c r="J1472" s="2" t="n">
        <v>1</v>
      </c>
      <c r="K1472" s="2" t="n">
        <v>56966</v>
      </c>
      <c r="L1472" s="2" t="n">
        <v>37062</v>
      </c>
      <c r="M1472" s="2" t="n">
        <v>2170</v>
      </c>
      <c r="N1472" s="2" t="n">
        <v>124</v>
      </c>
      <c r="O1472" s="2" t="n">
        <v>217</v>
      </c>
      <c r="P1472" s="2" t="n">
        <v>363</v>
      </c>
      <c r="Q1472" s="2" t="n">
        <v>454</v>
      </c>
      <c r="R1472" s="2" t="n">
        <v>72</v>
      </c>
      <c r="S1472" s="2" t="n">
        <v>18</v>
      </c>
      <c r="T1472" s="2" t="s">
        <v>62</v>
      </c>
      <c r="U1472" s="4" t="n">
        <f aca="false">(M1472+N1472+O1472+P1472)/L1472</f>
        <v>0.0775457341751659</v>
      </c>
      <c r="V1472" s="2" t="str">
        <f aca="false">IF(S1472&lt;=5,"Late night (0-5)",IF(S1472&lt;=11,"Morning (6-11)",IF(S1472&lt;=17,"Afternoon (12-17)","Evening (18-23)")))</f>
        <v>Evening (18-23)</v>
      </c>
    </row>
    <row r="1473" customFormat="false" ht="15" hidden="false" customHeight="false" outlineLevel="0" collapsed="false">
      <c r="A1473" s="2" t="s">
        <v>2499</v>
      </c>
      <c r="B1473" s="2" t="s">
        <v>206</v>
      </c>
      <c r="C1473" s="2" t="s">
        <v>48</v>
      </c>
      <c r="D1473" s="3" t="n">
        <v>45744</v>
      </c>
      <c r="E1473" s="2" t="s">
        <v>99</v>
      </c>
      <c r="F1473" s="2" t="s">
        <v>32</v>
      </c>
      <c r="G1473" s="2" t="n">
        <v>42937</v>
      </c>
      <c r="H1473" s="2" t="n">
        <v>13</v>
      </c>
      <c r="I1473" s="2" t="n">
        <v>280</v>
      </c>
      <c r="J1473" s="2" t="n">
        <v>0</v>
      </c>
      <c r="K1473" s="2" t="n">
        <v>39384</v>
      </c>
      <c r="L1473" s="2" t="n">
        <v>26931</v>
      </c>
      <c r="M1473" s="2" t="n">
        <v>2612</v>
      </c>
      <c r="N1473" s="2" t="n">
        <v>56</v>
      </c>
      <c r="O1473" s="2" t="n">
        <v>635</v>
      </c>
      <c r="P1473" s="2" t="n">
        <v>206</v>
      </c>
      <c r="Q1473" s="2" t="n">
        <v>700</v>
      </c>
      <c r="R1473" s="2" t="n">
        <v>127</v>
      </c>
      <c r="S1473" s="2" t="n">
        <v>9</v>
      </c>
      <c r="T1473" s="2" t="s">
        <v>96</v>
      </c>
      <c r="U1473" s="4" t="n">
        <f aca="false">(M1473+N1473+O1473+P1473)/L1473</f>
        <v>0.130295941480079</v>
      </c>
      <c r="V1473" s="2" t="str">
        <f aca="false">IF(S1473&lt;=5,"Late night (0-5)",IF(S1473&lt;=11,"Morning (6-11)",IF(S1473&lt;=17,"Afternoon (12-17)","Evening (18-23)")))</f>
        <v>Morning (6-11)</v>
      </c>
    </row>
    <row r="1474" customFormat="false" ht="15" hidden="false" customHeight="false" outlineLevel="0" collapsed="false">
      <c r="A1474" s="2" t="s">
        <v>2500</v>
      </c>
      <c r="B1474" s="2" t="s">
        <v>138</v>
      </c>
      <c r="C1474" s="2" t="s">
        <v>41</v>
      </c>
      <c r="D1474" s="3" t="n">
        <v>45925</v>
      </c>
      <c r="E1474" s="2" t="s">
        <v>612</v>
      </c>
      <c r="F1474" s="2" t="s">
        <v>38</v>
      </c>
      <c r="G1474" s="2" t="n">
        <v>18712</v>
      </c>
      <c r="H1474" s="2" t="n">
        <v>11</v>
      </c>
      <c r="I1474" s="2" t="n">
        <v>226</v>
      </c>
      <c r="J1474" s="2" t="n">
        <v>0</v>
      </c>
      <c r="K1474" s="2" t="n">
        <v>18080</v>
      </c>
      <c r="L1474" s="2" t="n">
        <v>10526</v>
      </c>
      <c r="M1474" s="2" t="n">
        <v>944</v>
      </c>
      <c r="N1474" s="2" t="n">
        <v>41</v>
      </c>
      <c r="O1474" s="2" t="n">
        <v>143</v>
      </c>
      <c r="P1474" s="2" t="n">
        <v>209</v>
      </c>
      <c r="Q1474" s="2" t="n">
        <v>98</v>
      </c>
      <c r="R1474" s="2" t="n">
        <v>20</v>
      </c>
      <c r="S1474" s="2" t="n">
        <v>19</v>
      </c>
      <c r="T1474" s="2" t="s">
        <v>79</v>
      </c>
      <c r="U1474" s="4" t="n">
        <f aca="false">(M1474+N1474+O1474+P1474)/L1474</f>
        <v>0.127018810564317</v>
      </c>
      <c r="V1474" s="2" t="str">
        <f aca="false">IF(S1474&lt;=5,"Late night (0-5)",IF(S1474&lt;=11,"Morning (6-11)",IF(S1474&lt;=17,"Afternoon (12-17)","Evening (18-23)")))</f>
        <v>Evening (18-23)</v>
      </c>
    </row>
    <row r="1475" customFormat="false" ht="15" hidden="false" customHeight="false" outlineLevel="0" collapsed="false">
      <c r="A1475" s="2" t="s">
        <v>2501</v>
      </c>
      <c r="B1475" s="2" t="s">
        <v>29</v>
      </c>
      <c r="C1475" s="2" t="s">
        <v>30</v>
      </c>
      <c r="D1475" s="3" t="n">
        <v>46004</v>
      </c>
      <c r="E1475" s="2" t="s">
        <v>2502</v>
      </c>
      <c r="F1475" s="2" t="s">
        <v>38</v>
      </c>
      <c r="G1475" s="2" t="n">
        <v>11612</v>
      </c>
      <c r="H1475" s="2" t="n">
        <v>13</v>
      </c>
      <c r="I1475" s="2" t="n">
        <v>201</v>
      </c>
      <c r="J1475" s="2" t="n">
        <v>0</v>
      </c>
      <c r="K1475" s="2" t="n">
        <v>13917</v>
      </c>
      <c r="L1475" s="2" t="n">
        <v>9085</v>
      </c>
      <c r="M1475" s="2" t="n">
        <v>710</v>
      </c>
      <c r="N1475" s="2" t="n">
        <v>14</v>
      </c>
      <c r="O1475" s="2" t="n">
        <v>84</v>
      </c>
      <c r="P1475" s="2" t="n">
        <v>151</v>
      </c>
      <c r="Q1475" s="2" t="n">
        <v>208</v>
      </c>
      <c r="R1475" s="2" t="n">
        <v>29</v>
      </c>
      <c r="S1475" s="2" t="n">
        <v>10</v>
      </c>
      <c r="T1475" s="2" t="s">
        <v>62</v>
      </c>
      <c r="U1475" s="4" t="n">
        <f aca="false">(M1475+N1475+O1475+P1475)/L1475</f>
        <v>0.105558613098514</v>
      </c>
      <c r="V1475" s="2" t="str">
        <f aca="false">IF(S1475&lt;=5,"Late night (0-5)",IF(S1475&lt;=11,"Morning (6-11)",IF(S1475&lt;=17,"Afternoon (12-17)","Evening (18-23)")))</f>
        <v>Morning (6-11)</v>
      </c>
    </row>
    <row r="1476" customFormat="false" ht="15" hidden="false" customHeight="false" outlineLevel="0" collapsed="false">
      <c r="A1476" s="2" t="s">
        <v>2503</v>
      </c>
      <c r="B1476" s="2" t="s">
        <v>227</v>
      </c>
      <c r="C1476" s="2" t="s">
        <v>54</v>
      </c>
      <c r="D1476" s="3" t="n">
        <v>45731</v>
      </c>
      <c r="E1476" s="2" t="s">
        <v>2504</v>
      </c>
      <c r="F1476" s="2" t="s">
        <v>26</v>
      </c>
      <c r="G1476" s="2" t="n">
        <v>11796</v>
      </c>
      <c r="H1476" s="2" t="n">
        <v>11</v>
      </c>
      <c r="I1476" s="2" t="n">
        <v>108</v>
      </c>
      <c r="J1476" s="2" t="n">
        <v>1</v>
      </c>
      <c r="K1476" s="2" t="n">
        <v>13158</v>
      </c>
      <c r="L1476" s="2" t="n">
        <v>7639</v>
      </c>
      <c r="M1476" s="2" t="n">
        <v>686</v>
      </c>
      <c r="N1476" s="2" t="n">
        <v>32</v>
      </c>
      <c r="O1476" s="2" t="n">
        <v>50</v>
      </c>
      <c r="P1476" s="2" t="n">
        <v>252</v>
      </c>
      <c r="Q1476" s="2" t="n">
        <v>59</v>
      </c>
      <c r="R1476" s="2" t="n">
        <v>17</v>
      </c>
      <c r="S1476" s="2" t="n">
        <v>4</v>
      </c>
      <c r="T1476" s="2" t="s">
        <v>62</v>
      </c>
      <c r="U1476" s="4" t="n">
        <f aca="false">(M1476+N1476+O1476+P1476)/L1476</f>
        <v>0.133525330540647</v>
      </c>
      <c r="V1476" s="2" t="str">
        <f aca="false">IF(S1476&lt;=5,"Late night (0-5)",IF(S1476&lt;=11,"Morning (6-11)",IF(S1476&lt;=17,"Afternoon (12-17)","Evening (18-23)")))</f>
        <v>Late night (0-5)</v>
      </c>
    </row>
    <row r="1477" customFormat="false" ht="15" hidden="false" customHeight="false" outlineLevel="0" collapsed="false">
      <c r="A1477" s="2" t="s">
        <v>2505</v>
      </c>
      <c r="B1477" s="2" t="s">
        <v>319</v>
      </c>
      <c r="C1477" s="2" t="s">
        <v>84</v>
      </c>
      <c r="D1477" s="3" t="n">
        <v>45703</v>
      </c>
      <c r="E1477" s="2" t="s">
        <v>999</v>
      </c>
      <c r="F1477" s="2" t="s">
        <v>38</v>
      </c>
      <c r="G1477" s="2" t="n">
        <v>49810</v>
      </c>
      <c r="H1477" s="2" t="n">
        <v>10</v>
      </c>
      <c r="I1477" s="2" t="n">
        <v>193</v>
      </c>
      <c r="J1477" s="2" t="n">
        <v>0</v>
      </c>
      <c r="K1477" s="2" t="n">
        <v>62079</v>
      </c>
      <c r="L1477" s="2" t="n">
        <v>52769</v>
      </c>
      <c r="M1477" s="2" t="n">
        <v>4712</v>
      </c>
      <c r="N1477" s="2" t="n">
        <v>223</v>
      </c>
      <c r="O1477" s="2" t="n">
        <v>163</v>
      </c>
      <c r="P1477" s="2" t="n">
        <v>1237</v>
      </c>
      <c r="Q1477" s="2" t="n">
        <v>1474</v>
      </c>
      <c r="R1477" s="2" t="n">
        <v>275</v>
      </c>
      <c r="S1477" s="2" t="n">
        <v>22</v>
      </c>
      <c r="T1477" s="2" t="s">
        <v>62</v>
      </c>
      <c r="U1477" s="4" t="n">
        <f aca="false">(M1477+N1477+O1477+P1477)/L1477</f>
        <v>0.120051545414922</v>
      </c>
      <c r="V1477" s="2" t="str">
        <f aca="false">IF(S1477&lt;=5,"Late night (0-5)",IF(S1477&lt;=11,"Morning (6-11)",IF(S1477&lt;=17,"Afternoon (12-17)","Evening (18-23)")))</f>
        <v>Evening (18-23)</v>
      </c>
    </row>
    <row r="1478" customFormat="false" ht="15" hidden="false" customHeight="false" outlineLevel="0" collapsed="false">
      <c r="A1478" s="2" t="s">
        <v>2506</v>
      </c>
      <c r="B1478" s="2" t="s">
        <v>459</v>
      </c>
      <c r="C1478" s="2" t="s">
        <v>84</v>
      </c>
      <c r="D1478" s="3" t="n">
        <v>45901</v>
      </c>
      <c r="E1478" s="2" t="s">
        <v>2306</v>
      </c>
      <c r="F1478" s="2" t="s">
        <v>32</v>
      </c>
      <c r="G1478" s="2" t="n">
        <v>19744</v>
      </c>
      <c r="H1478" s="2" t="n">
        <v>15</v>
      </c>
      <c r="I1478" s="2" t="n">
        <v>310</v>
      </c>
      <c r="J1478" s="2" t="n">
        <v>0</v>
      </c>
      <c r="K1478" s="2" t="n">
        <v>56948</v>
      </c>
      <c r="L1478" s="2" t="n">
        <v>48562</v>
      </c>
      <c r="M1478" s="2" t="n">
        <v>2588</v>
      </c>
      <c r="N1478" s="2" t="n">
        <v>63</v>
      </c>
      <c r="O1478" s="2" t="n">
        <v>425</v>
      </c>
      <c r="P1478" s="2" t="n">
        <v>291</v>
      </c>
      <c r="Q1478" s="2" t="n">
        <v>1318</v>
      </c>
      <c r="R1478" s="2" t="n">
        <v>236</v>
      </c>
      <c r="S1478" s="2" t="n">
        <v>23</v>
      </c>
      <c r="T1478" s="2" t="s">
        <v>33</v>
      </c>
      <c r="U1478" s="4" t="n">
        <f aca="false">(M1478+N1478+O1478+P1478)/L1478</f>
        <v>0.0693340471973971</v>
      </c>
      <c r="V1478" s="2" t="str">
        <f aca="false">IF(S1478&lt;=5,"Late night (0-5)",IF(S1478&lt;=11,"Morning (6-11)",IF(S1478&lt;=17,"Afternoon (12-17)","Evening (18-23)")))</f>
        <v>Evening (18-23)</v>
      </c>
    </row>
    <row r="1479" customFormat="false" ht="15" hidden="false" customHeight="false" outlineLevel="0" collapsed="false">
      <c r="A1479" s="2" t="s">
        <v>2507</v>
      </c>
      <c r="B1479" s="2" t="s">
        <v>40</v>
      </c>
      <c r="C1479" s="2" t="s">
        <v>41</v>
      </c>
      <c r="D1479" s="3" t="n">
        <v>45967</v>
      </c>
      <c r="E1479" s="2" t="s">
        <v>1021</v>
      </c>
      <c r="F1479" s="2" t="s">
        <v>32</v>
      </c>
      <c r="G1479" s="2" t="n">
        <v>23051</v>
      </c>
      <c r="H1479" s="2" t="n">
        <v>6</v>
      </c>
      <c r="I1479" s="2" t="n">
        <v>186</v>
      </c>
      <c r="J1479" s="2" t="n">
        <v>1</v>
      </c>
      <c r="K1479" s="2" t="n">
        <v>11359</v>
      </c>
      <c r="L1479" s="2" t="n">
        <v>9815</v>
      </c>
      <c r="M1479" s="2" t="n">
        <v>548</v>
      </c>
      <c r="N1479" s="2" t="n">
        <v>32</v>
      </c>
      <c r="O1479" s="2" t="n">
        <v>67</v>
      </c>
      <c r="P1479" s="2" t="n">
        <v>164</v>
      </c>
      <c r="Q1479" s="2" t="n">
        <v>273</v>
      </c>
      <c r="R1479" s="2" t="n">
        <v>53</v>
      </c>
      <c r="S1479" s="2" t="n">
        <v>3</v>
      </c>
      <c r="T1479" s="2" t="s">
        <v>79</v>
      </c>
      <c r="U1479" s="4" t="n">
        <f aca="false">(M1479+N1479+O1479+P1479)/L1479</f>
        <v>0.0826286296484972</v>
      </c>
      <c r="V1479" s="2" t="str">
        <f aca="false">IF(S1479&lt;=5,"Late night (0-5)",IF(S1479&lt;=11,"Morning (6-11)",IF(S1479&lt;=17,"Afternoon (12-17)","Evening (18-23)")))</f>
        <v>Late night (0-5)</v>
      </c>
    </row>
    <row r="1480" customFormat="false" ht="15" hidden="false" customHeight="false" outlineLevel="0" collapsed="false">
      <c r="A1480" s="2" t="s">
        <v>2508</v>
      </c>
      <c r="B1480" s="2" t="s">
        <v>310</v>
      </c>
      <c r="C1480" s="2" t="s">
        <v>91</v>
      </c>
      <c r="D1480" s="3" t="n">
        <v>45843</v>
      </c>
      <c r="E1480" s="2" t="s">
        <v>2509</v>
      </c>
      <c r="F1480" s="2" t="s">
        <v>32</v>
      </c>
      <c r="G1480" s="2" t="n">
        <v>56571</v>
      </c>
      <c r="H1480" s="2" t="n">
        <v>11</v>
      </c>
      <c r="I1480" s="2" t="n">
        <v>455</v>
      </c>
      <c r="J1480" s="2" t="n">
        <v>0</v>
      </c>
      <c r="K1480" s="2" t="n">
        <v>100738</v>
      </c>
      <c r="L1480" s="2" t="n">
        <v>70013</v>
      </c>
      <c r="M1480" s="2" t="n">
        <v>6617</v>
      </c>
      <c r="N1480" s="2" t="n">
        <v>160</v>
      </c>
      <c r="O1480" s="2" t="n">
        <v>1263</v>
      </c>
      <c r="P1480" s="2" t="n">
        <v>1859</v>
      </c>
      <c r="Q1480" s="2" t="n">
        <v>1043</v>
      </c>
      <c r="R1480" s="2" t="n">
        <v>302</v>
      </c>
      <c r="S1480" s="2" t="n">
        <v>21</v>
      </c>
      <c r="T1480" s="2" t="s">
        <v>62</v>
      </c>
      <c r="U1480" s="4" t="n">
        <f aca="false">(M1480+N1480+O1480+P1480)/L1480</f>
        <v>0.141388027937669</v>
      </c>
      <c r="V1480" s="2" t="str">
        <f aca="false">IF(S1480&lt;=5,"Late night (0-5)",IF(S1480&lt;=11,"Morning (6-11)",IF(S1480&lt;=17,"Afternoon (12-17)","Evening (18-23)")))</f>
        <v>Evening (18-23)</v>
      </c>
    </row>
    <row r="1481" customFormat="false" ht="15" hidden="false" customHeight="false" outlineLevel="0" collapsed="false">
      <c r="A1481" s="2" t="s">
        <v>2510</v>
      </c>
      <c r="B1481" s="2" t="s">
        <v>129</v>
      </c>
      <c r="C1481" s="2" t="s">
        <v>54</v>
      </c>
      <c r="D1481" s="3" t="n">
        <v>45761</v>
      </c>
      <c r="E1481" s="2" t="s">
        <v>2411</v>
      </c>
      <c r="F1481" s="2" t="s">
        <v>38</v>
      </c>
      <c r="G1481" s="2" t="n">
        <v>10312</v>
      </c>
      <c r="H1481" s="2" t="n">
        <v>12</v>
      </c>
      <c r="I1481" s="2" t="n">
        <v>166</v>
      </c>
      <c r="J1481" s="2" t="n">
        <v>0</v>
      </c>
      <c r="K1481" s="2" t="n">
        <v>4314</v>
      </c>
      <c r="L1481" s="2" t="n">
        <v>3517</v>
      </c>
      <c r="M1481" s="2" t="n">
        <v>157</v>
      </c>
      <c r="N1481" s="2" t="n">
        <v>9</v>
      </c>
      <c r="O1481" s="2" t="n">
        <v>8</v>
      </c>
      <c r="P1481" s="2" t="n">
        <v>11</v>
      </c>
      <c r="Q1481" s="2" t="n">
        <v>24</v>
      </c>
      <c r="R1481" s="2" t="n">
        <v>4</v>
      </c>
      <c r="S1481" s="2" t="n">
        <v>20</v>
      </c>
      <c r="T1481" s="2" t="s">
        <v>33</v>
      </c>
      <c r="U1481" s="4" t="n">
        <f aca="false">(M1481+N1481+O1481+P1481)/L1481</f>
        <v>0.0526016491327836</v>
      </c>
      <c r="V1481" s="2" t="str">
        <f aca="false">IF(S1481&lt;=5,"Late night (0-5)",IF(S1481&lt;=11,"Morning (6-11)",IF(S1481&lt;=17,"Afternoon (12-17)","Evening (18-23)")))</f>
        <v>Evening (18-23)</v>
      </c>
    </row>
    <row r="1482" customFormat="false" ht="15" hidden="false" customHeight="false" outlineLevel="0" collapsed="false">
      <c r="A1482" s="2" t="s">
        <v>2511</v>
      </c>
      <c r="B1482" s="2" t="s">
        <v>47</v>
      </c>
      <c r="C1482" s="2" t="s">
        <v>48</v>
      </c>
      <c r="D1482" s="3" t="n">
        <v>45819</v>
      </c>
      <c r="E1482" s="2" t="s">
        <v>95</v>
      </c>
      <c r="F1482" s="2" t="s">
        <v>32</v>
      </c>
      <c r="G1482" s="2" t="n">
        <v>19609</v>
      </c>
      <c r="H1482" s="2" t="n">
        <v>9</v>
      </c>
      <c r="I1482" s="2" t="n">
        <v>99</v>
      </c>
      <c r="J1482" s="2" t="n">
        <v>1</v>
      </c>
      <c r="K1482" s="2" t="n">
        <v>22050</v>
      </c>
      <c r="L1482" s="2" t="n">
        <v>15769</v>
      </c>
      <c r="M1482" s="2" t="n">
        <v>1470</v>
      </c>
      <c r="N1482" s="2" t="n">
        <v>72</v>
      </c>
      <c r="O1482" s="2" t="n">
        <v>253</v>
      </c>
      <c r="P1482" s="2" t="n">
        <v>436</v>
      </c>
      <c r="Q1482" s="2" t="n">
        <v>138</v>
      </c>
      <c r="R1482" s="2" t="n">
        <v>35</v>
      </c>
      <c r="S1482" s="2" t="n">
        <v>0</v>
      </c>
      <c r="T1482" s="2" t="s">
        <v>66</v>
      </c>
      <c r="U1482" s="4" t="n">
        <f aca="false">(M1482+N1482+O1482+P1482)/L1482</f>
        <v>0.141480119221257</v>
      </c>
      <c r="V1482" s="2" t="str">
        <f aca="false">IF(S1482&lt;=5,"Late night (0-5)",IF(S1482&lt;=11,"Morning (6-11)",IF(S1482&lt;=17,"Afternoon (12-17)","Evening (18-23)")))</f>
        <v>Late night (0-5)</v>
      </c>
    </row>
    <row r="1483" customFormat="false" ht="15" hidden="false" customHeight="false" outlineLevel="0" collapsed="false">
      <c r="A1483" s="2" t="s">
        <v>2512</v>
      </c>
      <c r="B1483" s="2" t="s">
        <v>227</v>
      </c>
      <c r="C1483" s="2" t="s">
        <v>54</v>
      </c>
      <c r="D1483" s="3" t="n">
        <v>45931</v>
      </c>
      <c r="E1483" s="2" t="s">
        <v>1557</v>
      </c>
      <c r="F1483" s="2" t="s">
        <v>26</v>
      </c>
      <c r="G1483" s="2" t="n">
        <v>11796</v>
      </c>
      <c r="H1483" s="2" t="n">
        <v>12</v>
      </c>
      <c r="I1483" s="2" t="n">
        <v>171</v>
      </c>
      <c r="J1483" s="2" t="n">
        <v>1</v>
      </c>
      <c r="K1483" s="2" t="n">
        <v>35875</v>
      </c>
      <c r="L1483" s="2" t="n">
        <v>24035</v>
      </c>
      <c r="M1483" s="2" t="n">
        <v>2101</v>
      </c>
      <c r="N1483" s="2" t="n">
        <v>124</v>
      </c>
      <c r="O1483" s="2" t="n">
        <v>286</v>
      </c>
      <c r="P1483" s="2" t="n">
        <v>351</v>
      </c>
      <c r="Q1483" s="2" t="n">
        <v>679</v>
      </c>
      <c r="R1483" s="2" t="n">
        <v>113</v>
      </c>
      <c r="S1483" s="2" t="n">
        <v>17</v>
      </c>
      <c r="T1483" s="2" t="s">
        <v>66</v>
      </c>
      <c r="U1483" s="4" t="n">
        <f aca="false">(M1483+N1483+O1483+P1483)/L1483</f>
        <v>0.119076346993967</v>
      </c>
      <c r="V1483" s="2" t="str">
        <f aca="false">IF(S1483&lt;=5,"Late night (0-5)",IF(S1483&lt;=11,"Morning (6-11)",IF(S1483&lt;=17,"Afternoon (12-17)","Evening (18-23)")))</f>
        <v>Afternoon (12-17)</v>
      </c>
    </row>
    <row r="1484" customFormat="false" ht="15" hidden="false" customHeight="false" outlineLevel="0" collapsed="false">
      <c r="A1484" s="2" t="s">
        <v>2513</v>
      </c>
      <c r="B1484" s="2" t="s">
        <v>123</v>
      </c>
      <c r="C1484" s="2" t="s">
        <v>24</v>
      </c>
      <c r="D1484" s="3" t="n">
        <v>45860</v>
      </c>
      <c r="E1484" s="2" t="s">
        <v>2514</v>
      </c>
      <c r="F1484" s="2" t="s">
        <v>32</v>
      </c>
      <c r="G1484" s="2" t="n">
        <v>41391</v>
      </c>
      <c r="H1484" s="2" t="n">
        <v>16</v>
      </c>
      <c r="I1484" s="2" t="n">
        <v>152</v>
      </c>
      <c r="J1484" s="2" t="n">
        <v>0</v>
      </c>
      <c r="K1484" s="2" t="n">
        <v>17855</v>
      </c>
      <c r="L1484" s="2" t="n">
        <v>13050</v>
      </c>
      <c r="M1484" s="2" t="n">
        <v>1184</v>
      </c>
      <c r="N1484" s="2" t="n">
        <v>70</v>
      </c>
      <c r="O1484" s="2" t="n">
        <v>184</v>
      </c>
      <c r="P1484" s="2" t="n">
        <v>125</v>
      </c>
      <c r="Q1484" s="2" t="n">
        <v>374</v>
      </c>
      <c r="R1484" s="2" t="n">
        <v>56</v>
      </c>
      <c r="S1484" s="2" t="n">
        <v>8</v>
      </c>
      <c r="T1484" s="2" t="s">
        <v>51</v>
      </c>
      <c r="U1484" s="4" t="n">
        <f aca="false">(M1484+N1484+O1484+P1484)/L1484</f>
        <v>0.119770114942529</v>
      </c>
      <c r="V1484" s="2" t="str">
        <f aca="false">IF(S1484&lt;=5,"Late night (0-5)",IF(S1484&lt;=11,"Morning (6-11)",IF(S1484&lt;=17,"Afternoon (12-17)","Evening (18-23)")))</f>
        <v>Morning (6-11)</v>
      </c>
    </row>
    <row r="1485" customFormat="false" ht="15" hidden="false" customHeight="false" outlineLevel="0" collapsed="false">
      <c r="A1485" s="2" t="s">
        <v>2515</v>
      </c>
      <c r="B1485" s="2" t="s">
        <v>345</v>
      </c>
      <c r="C1485" s="2" t="s">
        <v>30</v>
      </c>
      <c r="D1485" s="3" t="n">
        <v>45773</v>
      </c>
      <c r="E1485" s="2" t="s">
        <v>975</v>
      </c>
      <c r="F1485" s="2" t="s">
        <v>32</v>
      </c>
      <c r="G1485" s="2" t="n">
        <v>8662</v>
      </c>
      <c r="H1485" s="2" t="n">
        <v>11</v>
      </c>
      <c r="I1485" s="2" t="n">
        <v>269</v>
      </c>
      <c r="J1485" s="2" t="n">
        <v>1</v>
      </c>
      <c r="K1485" s="2" t="n">
        <v>18222</v>
      </c>
      <c r="L1485" s="2" t="n">
        <v>10436</v>
      </c>
      <c r="M1485" s="2" t="n">
        <v>1104</v>
      </c>
      <c r="N1485" s="2" t="n">
        <v>84</v>
      </c>
      <c r="O1485" s="2" t="n">
        <v>205</v>
      </c>
      <c r="P1485" s="2" t="n">
        <v>190</v>
      </c>
      <c r="Q1485" s="2" t="n">
        <v>309</v>
      </c>
      <c r="R1485" s="2" t="n">
        <v>32</v>
      </c>
      <c r="S1485" s="2" t="n">
        <v>17</v>
      </c>
      <c r="T1485" s="2" t="s">
        <v>62</v>
      </c>
      <c r="U1485" s="4" t="n">
        <f aca="false">(M1485+N1485+O1485+P1485)/L1485</f>
        <v>0.151686469911844</v>
      </c>
      <c r="V1485" s="2" t="str">
        <f aca="false">IF(S1485&lt;=5,"Late night (0-5)",IF(S1485&lt;=11,"Morning (6-11)",IF(S1485&lt;=17,"Afternoon (12-17)","Evening (18-23)")))</f>
        <v>Afternoon (12-17)</v>
      </c>
    </row>
    <row r="1486" customFormat="false" ht="15" hidden="false" customHeight="false" outlineLevel="0" collapsed="false">
      <c r="A1486" s="2" t="s">
        <v>2516</v>
      </c>
      <c r="B1486" s="2" t="s">
        <v>462</v>
      </c>
      <c r="C1486" s="2" t="s">
        <v>84</v>
      </c>
      <c r="D1486" s="3" t="n">
        <v>45907</v>
      </c>
      <c r="E1486" s="2" t="s">
        <v>2442</v>
      </c>
      <c r="F1486" s="2" t="s">
        <v>38</v>
      </c>
      <c r="G1486" s="2" t="n">
        <v>43510</v>
      </c>
      <c r="H1486" s="2" t="n">
        <v>0</v>
      </c>
      <c r="I1486" s="2" t="n">
        <v>148</v>
      </c>
      <c r="J1486" s="2" t="n">
        <v>1</v>
      </c>
      <c r="K1486" s="2" t="n">
        <v>62325</v>
      </c>
      <c r="L1486" s="2" t="n">
        <v>35694</v>
      </c>
      <c r="M1486" s="2" t="n">
        <v>3207</v>
      </c>
      <c r="N1486" s="2" t="n">
        <v>110</v>
      </c>
      <c r="O1486" s="2" t="n">
        <v>211</v>
      </c>
      <c r="P1486" s="2" t="n">
        <v>468</v>
      </c>
      <c r="Q1486" s="2" t="n">
        <v>576</v>
      </c>
      <c r="R1486" s="2" t="n">
        <v>41</v>
      </c>
      <c r="S1486" s="2" t="n">
        <v>20</v>
      </c>
      <c r="T1486" s="2" t="s">
        <v>27</v>
      </c>
      <c r="U1486" s="4" t="n">
        <f aca="false">(M1486+N1486+O1486+P1486)/L1486</f>
        <v>0.111951588502269</v>
      </c>
      <c r="V1486" s="2" t="str">
        <f aca="false">IF(S1486&lt;=5,"Late night (0-5)",IF(S1486&lt;=11,"Morning (6-11)",IF(S1486&lt;=17,"Afternoon (12-17)","Evening (18-23)")))</f>
        <v>Evening (18-23)</v>
      </c>
    </row>
    <row r="1487" customFormat="false" ht="15" hidden="false" customHeight="false" outlineLevel="0" collapsed="false">
      <c r="A1487" s="2" t="s">
        <v>2517</v>
      </c>
      <c r="B1487" s="2" t="s">
        <v>452</v>
      </c>
      <c r="C1487" s="2" t="s">
        <v>91</v>
      </c>
      <c r="D1487" s="3" t="n">
        <v>45692</v>
      </c>
      <c r="E1487" s="2" t="s">
        <v>1225</v>
      </c>
      <c r="F1487" s="2" t="s">
        <v>32</v>
      </c>
      <c r="G1487" s="2" t="n">
        <v>14201</v>
      </c>
      <c r="H1487" s="2" t="n">
        <v>13</v>
      </c>
      <c r="I1487" s="2" t="n">
        <v>266</v>
      </c>
      <c r="J1487" s="2" t="n">
        <v>0</v>
      </c>
      <c r="K1487" s="2" t="n">
        <v>20368</v>
      </c>
      <c r="L1487" s="2" t="n">
        <v>12000</v>
      </c>
      <c r="M1487" s="2" t="n">
        <v>959</v>
      </c>
      <c r="N1487" s="2" t="n">
        <v>50</v>
      </c>
      <c r="O1487" s="2" t="n">
        <v>55</v>
      </c>
      <c r="P1487" s="2" t="n">
        <v>155</v>
      </c>
      <c r="Q1487" s="2" t="n">
        <v>332</v>
      </c>
      <c r="R1487" s="2" t="n">
        <v>75</v>
      </c>
      <c r="S1487" s="2" t="n">
        <v>17</v>
      </c>
      <c r="T1487" s="2" t="s">
        <v>51</v>
      </c>
      <c r="U1487" s="4" t="n">
        <f aca="false">(M1487+N1487+O1487+P1487)/L1487</f>
        <v>0.101583333333333</v>
      </c>
      <c r="V1487" s="2" t="str">
        <f aca="false">IF(S1487&lt;=5,"Late night (0-5)",IF(S1487&lt;=11,"Morning (6-11)",IF(S1487&lt;=17,"Afternoon (12-17)","Evening (18-23)")))</f>
        <v>Afternoon (12-17)</v>
      </c>
    </row>
    <row r="1488" customFormat="false" ht="15" hidden="false" customHeight="false" outlineLevel="0" collapsed="false">
      <c r="A1488" s="2" t="s">
        <v>2518</v>
      </c>
      <c r="B1488" s="2" t="s">
        <v>243</v>
      </c>
      <c r="C1488" s="2" t="s">
        <v>91</v>
      </c>
      <c r="D1488" s="3" t="n">
        <v>45681</v>
      </c>
      <c r="E1488" s="2" t="s">
        <v>448</v>
      </c>
      <c r="F1488" s="2" t="s">
        <v>50</v>
      </c>
      <c r="G1488" s="2" t="n">
        <v>42046</v>
      </c>
      <c r="H1488" s="2" t="n">
        <v>10</v>
      </c>
      <c r="I1488" s="2" t="n">
        <v>180</v>
      </c>
      <c r="J1488" s="2" t="n">
        <v>0</v>
      </c>
      <c r="K1488" s="2" t="n">
        <v>42133</v>
      </c>
      <c r="L1488" s="2" t="n">
        <v>28843</v>
      </c>
      <c r="M1488" s="2" t="n">
        <v>2045</v>
      </c>
      <c r="N1488" s="2" t="n">
        <v>52</v>
      </c>
      <c r="O1488" s="2" t="n">
        <v>381</v>
      </c>
      <c r="P1488" s="2" t="n">
        <v>469</v>
      </c>
      <c r="Q1488" s="2" t="n">
        <v>213</v>
      </c>
      <c r="R1488" s="2" t="n">
        <v>56</v>
      </c>
      <c r="S1488" s="2" t="n">
        <v>22</v>
      </c>
      <c r="T1488" s="2" t="s">
        <v>96</v>
      </c>
      <c r="U1488" s="4" t="n">
        <f aca="false">(M1488+N1488+O1488+P1488)/L1488</f>
        <v>0.102173837672919</v>
      </c>
      <c r="V1488" s="2" t="str">
        <f aca="false">IF(S1488&lt;=5,"Late night (0-5)",IF(S1488&lt;=11,"Morning (6-11)",IF(S1488&lt;=17,"Afternoon (12-17)","Evening (18-23)")))</f>
        <v>Evening (18-23)</v>
      </c>
    </row>
    <row r="1489" customFormat="false" ht="15" hidden="false" customHeight="false" outlineLevel="0" collapsed="false">
      <c r="A1489" s="2" t="s">
        <v>2519</v>
      </c>
      <c r="B1489" s="2" t="s">
        <v>374</v>
      </c>
      <c r="C1489" s="2" t="s">
        <v>24</v>
      </c>
      <c r="D1489" s="3" t="n">
        <v>45954</v>
      </c>
      <c r="E1489" s="2" t="s">
        <v>2442</v>
      </c>
      <c r="F1489" s="2" t="s">
        <v>26</v>
      </c>
      <c r="G1489" s="2" t="n">
        <v>9509</v>
      </c>
      <c r="H1489" s="2" t="n">
        <v>14</v>
      </c>
      <c r="I1489" s="2" t="n">
        <v>245</v>
      </c>
      <c r="J1489" s="2" t="n">
        <v>0</v>
      </c>
      <c r="K1489" s="2" t="n">
        <v>27978</v>
      </c>
      <c r="L1489" s="2" t="n">
        <v>18123</v>
      </c>
      <c r="M1489" s="2" t="n">
        <v>1511</v>
      </c>
      <c r="N1489" s="2" t="n">
        <v>53</v>
      </c>
      <c r="O1489" s="2" t="n">
        <v>129</v>
      </c>
      <c r="P1489" s="2" t="n">
        <v>267</v>
      </c>
      <c r="Q1489" s="2" t="n">
        <v>346</v>
      </c>
      <c r="R1489" s="2" t="n">
        <v>53</v>
      </c>
      <c r="S1489" s="2" t="n">
        <v>20</v>
      </c>
      <c r="T1489" s="2" t="s">
        <v>96</v>
      </c>
      <c r="U1489" s="4" t="n">
        <f aca="false">(M1489+N1489+O1489+P1489)/L1489</f>
        <v>0.108149864812669</v>
      </c>
      <c r="V1489" s="2" t="str">
        <f aca="false">IF(S1489&lt;=5,"Late night (0-5)",IF(S1489&lt;=11,"Morning (6-11)",IF(S1489&lt;=17,"Afternoon (12-17)","Evening (18-23)")))</f>
        <v>Evening (18-23)</v>
      </c>
    </row>
    <row r="1490" customFormat="false" ht="15" hidden="false" customHeight="false" outlineLevel="0" collapsed="false">
      <c r="A1490" s="2" t="s">
        <v>2520</v>
      </c>
      <c r="B1490" s="2" t="s">
        <v>193</v>
      </c>
      <c r="C1490" s="2" t="s">
        <v>36</v>
      </c>
      <c r="D1490" s="3" t="n">
        <v>45748</v>
      </c>
      <c r="E1490" s="2" t="s">
        <v>301</v>
      </c>
      <c r="F1490" s="2" t="s">
        <v>32</v>
      </c>
      <c r="G1490" s="2" t="n">
        <v>26454</v>
      </c>
      <c r="H1490" s="2" t="n">
        <v>10</v>
      </c>
      <c r="I1490" s="2" t="n">
        <v>284</v>
      </c>
      <c r="J1490" s="2" t="n">
        <v>0</v>
      </c>
      <c r="K1490" s="2" t="n">
        <v>32502</v>
      </c>
      <c r="L1490" s="2" t="n">
        <v>21046</v>
      </c>
      <c r="M1490" s="2" t="n">
        <v>1636</v>
      </c>
      <c r="N1490" s="2" t="n">
        <v>86</v>
      </c>
      <c r="O1490" s="2" t="n">
        <v>319</v>
      </c>
      <c r="P1490" s="2" t="n">
        <v>432</v>
      </c>
      <c r="Q1490" s="2" t="n">
        <v>426</v>
      </c>
      <c r="R1490" s="2" t="n">
        <v>42</v>
      </c>
      <c r="S1490" s="2" t="n">
        <v>16</v>
      </c>
      <c r="T1490" s="2" t="s">
        <v>51</v>
      </c>
      <c r="U1490" s="4" t="n">
        <f aca="false">(M1490+N1490+O1490+P1490)/L1490</f>
        <v>0.117504513921885</v>
      </c>
      <c r="V1490" s="2" t="str">
        <f aca="false">IF(S1490&lt;=5,"Late night (0-5)",IF(S1490&lt;=11,"Morning (6-11)",IF(S1490&lt;=17,"Afternoon (12-17)","Evening (18-23)")))</f>
        <v>Afternoon (12-17)</v>
      </c>
    </row>
    <row r="1491" customFormat="false" ht="15" hidden="false" customHeight="false" outlineLevel="0" collapsed="false">
      <c r="A1491" s="2" t="s">
        <v>2521</v>
      </c>
      <c r="B1491" s="2" t="s">
        <v>374</v>
      </c>
      <c r="C1491" s="2" t="s">
        <v>24</v>
      </c>
      <c r="D1491" s="3" t="n">
        <v>45977</v>
      </c>
      <c r="E1491" s="2" t="s">
        <v>735</v>
      </c>
      <c r="F1491" s="2" t="s">
        <v>26</v>
      </c>
      <c r="G1491" s="2" t="n">
        <v>9509</v>
      </c>
      <c r="H1491" s="2" t="n">
        <v>1</v>
      </c>
      <c r="I1491" s="2" t="n">
        <v>336</v>
      </c>
      <c r="J1491" s="2" t="n">
        <v>0</v>
      </c>
      <c r="K1491" s="2" t="n">
        <v>9313</v>
      </c>
      <c r="L1491" s="2" t="n">
        <v>5568</v>
      </c>
      <c r="M1491" s="2" t="n">
        <v>450</v>
      </c>
      <c r="N1491" s="2" t="n">
        <v>19</v>
      </c>
      <c r="O1491" s="2" t="n">
        <v>47</v>
      </c>
      <c r="P1491" s="2" t="n">
        <v>182</v>
      </c>
      <c r="Q1491" s="2" t="n">
        <v>97</v>
      </c>
      <c r="R1491" s="2" t="n">
        <v>28</v>
      </c>
      <c r="S1491" s="2" t="n">
        <v>5</v>
      </c>
      <c r="T1491" s="2" t="s">
        <v>27</v>
      </c>
      <c r="U1491" s="4" t="n">
        <f aca="false">(M1491+N1491+O1491+P1491)/L1491</f>
        <v>0.125359195402299</v>
      </c>
      <c r="V1491" s="2" t="str">
        <f aca="false">IF(S1491&lt;=5,"Late night (0-5)",IF(S1491&lt;=11,"Morning (6-11)",IF(S1491&lt;=17,"Afternoon (12-17)","Evening (18-23)")))</f>
        <v>Late night (0-5)</v>
      </c>
    </row>
    <row r="1492" customFormat="false" ht="15" hidden="false" customHeight="false" outlineLevel="0" collapsed="false">
      <c r="A1492" s="2" t="s">
        <v>2522</v>
      </c>
      <c r="B1492" s="2" t="s">
        <v>307</v>
      </c>
      <c r="C1492" s="2" t="s">
        <v>48</v>
      </c>
      <c r="D1492" s="3" t="n">
        <v>45819</v>
      </c>
      <c r="E1492" s="2" t="s">
        <v>1481</v>
      </c>
      <c r="F1492" s="2" t="s">
        <v>32</v>
      </c>
      <c r="G1492" s="2" t="n">
        <v>91358</v>
      </c>
      <c r="H1492" s="2" t="n">
        <v>17</v>
      </c>
      <c r="I1492" s="2" t="n">
        <v>156</v>
      </c>
      <c r="J1492" s="2" t="n">
        <v>0</v>
      </c>
      <c r="K1492" s="2" t="n">
        <v>267539</v>
      </c>
      <c r="L1492" s="2" t="n">
        <v>153078</v>
      </c>
      <c r="M1492" s="2" t="n">
        <v>10728</v>
      </c>
      <c r="N1492" s="2" t="n">
        <v>317</v>
      </c>
      <c r="O1492" s="2" t="n">
        <v>2597</v>
      </c>
      <c r="P1492" s="2" t="n">
        <v>1188</v>
      </c>
      <c r="Q1492" s="2" t="n">
        <v>3990</v>
      </c>
      <c r="R1492" s="2" t="n">
        <v>785</v>
      </c>
      <c r="S1492" s="2" t="n">
        <v>13</v>
      </c>
      <c r="T1492" s="2" t="s">
        <v>66</v>
      </c>
      <c r="U1492" s="4" t="n">
        <f aca="false">(M1492+N1492+O1492+P1492)/L1492</f>
        <v>0.0968787154261226</v>
      </c>
      <c r="V1492" s="2" t="str">
        <f aca="false">IF(S1492&lt;=5,"Late night (0-5)",IF(S1492&lt;=11,"Morning (6-11)",IF(S1492&lt;=17,"Afternoon (12-17)","Evening (18-23)")))</f>
        <v>Afternoon (12-17)</v>
      </c>
    </row>
    <row r="1493" customFormat="false" ht="15" hidden="false" customHeight="false" outlineLevel="0" collapsed="false">
      <c r="A1493" s="2" t="s">
        <v>2523</v>
      </c>
      <c r="B1493" s="2" t="s">
        <v>426</v>
      </c>
      <c r="C1493" s="2" t="s">
        <v>30</v>
      </c>
      <c r="D1493" s="3" t="n">
        <v>45851</v>
      </c>
      <c r="E1493" s="2" t="s">
        <v>2524</v>
      </c>
      <c r="F1493" s="2" t="s">
        <v>38</v>
      </c>
      <c r="G1493" s="2" t="n">
        <v>40649</v>
      </c>
      <c r="H1493" s="2" t="n">
        <v>12</v>
      </c>
      <c r="I1493" s="2" t="n">
        <v>130</v>
      </c>
      <c r="J1493" s="2" t="n">
        <v>1</v>
      </c>
      <c r="K1493" s="2" t="n">
        <v>54887</v>
      </c>
      <c r="L1493" s="2" t="n">
        <v>39368</v>
      </c>
      <c r="M1493" s="2" t="n">
        <v>2106</v>
      </c>
      <c r="N1493" s="2" t="n">
        <v>154</v>
      </c>
      <c r="O1493" s="2" t="n">
        <v>255</v>
      </c>
      <c r="P1493" s="2" t="n">
        <v>581</v>
      </c>
      <c r="Q1493" s="2" t="n">
        <v>912</v>
      </c>
      <c r="R1493" s="2" t="n">
        <v>125</v>
      </c>
      <c r="S1493" s="2" t="n">
        <v>22</v>
      </c>
      <c r="T1493" s="2" t="s">
        <v>27</v>
      </c>
      <c r="U1493" s="4" t="n">
        <f aca="false">(M1493+N1493+O1493+P1493)/L1493</f>
        <v>0.0786425523267629</v>
      </c>
      <c r="V1493" s="2" t="str">
        <f aca="false">IF(S1493&lt;=5,"Late night (0-5)",IF(S1493&lt;=11,"Morning (6-11)",IF(S1493&lt;=17,"Afternoon (12-17)","Evening (18-23)")))</f>
        <v>Evening (18-23)</v>
      </c>
    </row>
    <row r="1494" customFormat="false" ht="15" hidden="false" customHeight="false" outlineLevel="0" collapsed="false">
      <c r="A1494" s="2" t="s">
        <v>2525</v>
      </c>
      <c r="B1494" s="2" t="s">
        <v>247</v>
      </c>
      <c r="C1494" s="2" t="s">
        <v>24</v>
      </c>
      <c r="D1494" s="3" t="n">
        <v>45918</v>
      </c>
      <c r="E1494" s="2" t="s">
        <v>2526</v>
      </c>
      <c r="F1494" s="2" t="s">
        <v>26</v>
      </c>
      <c r="G1494" s="2" t="n">
        <v>70847</v>
      </c>
      <c r="H1494" s="2" t="n">
        <v>11</v>
      </c>
      <c r="I1494" s="2" t="n">
        <v>331</v>
      </c>
      <c r="J1494" s="2" t="n">
        <v>1</v>
      </c>
      <c r="K1494" s="2" t="n">
        <v>68357</v>
      </c>
      <c r="L1494" s="2" t="n">
        <v>40495</v>
      </c>
      <c r="M1494" s="2" t="n">
        <v>3007</v>
      </c>
      <c r="N1494" s="2" t="n">
        <v>202</v>
      </c>
      <c r="O1494" s="2" t="n">
        <v>502</v>
      </c>
      <c r="P1494" s="2" t="n">
        <v>601</v>
      </c>
      <c r="Q1494" s="2" t="n">
        <v>714</v>
      </c>
      <c r="R1494" s="2" t="n">
        <v>126</v>
      </c>
      <c r="S1494" s="2" t="n">
        <v>10</v>
      </c>
      <c r="T1494" s="2" t="s">
        <v>79</v>
      </c>
      <c r="U1494" s="4" t="n">
        <f aca="false">(M1494+N1494+O1494+P1494)/L1494</f>
        <v>0.106482281763181</v>
      </c>
      <c r="V1494" s="2" t="str">
        <f aca="false">IF(S1494&lt;=5,"Late night (0-5)",IF(S1494&lt;=11,"Morning (6-11)",IF(S1494&lt;=17,"Afternoon (12-17)","Evening (18-23)")))</f>
        <v>Morning (6-11)</v>
      </c>
    </row>
    <row r="1495" customFormat="false" ht="15" hidden="false" customHeight="false" outlineLevel="0" collapsed="false">
      <c r="A1495" s="2" t="s">
        <v>2527</v>
      </c>
      <c r="B1495" s="2" t="s">
        <v>47</v>
      </c>
      <c r="C1495" s="2" t="s">
        <v>48</v>
      </c>
      <c r="D1495" s="3" t="n">
        <v>45973</v>
      </c>
      <c r="E1495" s="2" t="s">
        <v>2528</v>
      </c>
      <c r="F1495" s="2" t="s">
        <v>38</v>
      </c>
      <c r="G1495" s="2" t="n">
        <v>19609</v>
      </c>
      <c r="H1495" s="2" t="n">
        <v>11</v>
      </c>
      <c r="I1495" s="2" t="n">
        <v>165</v>
      </c>
      <c r="J1495" s="2" t="n">
        <v>0</v>
      </c>
      <c r="K1495" s="2" t="n">
        <v>10483</v>
      </c>
      <c r="L1495" s="2" t="n">
        <v>7663</v>
      </c>
      <c r="M1495" s="2" t="n">
        <v>448</v>
      </c>
      <c r="N1495" s="2" t="n">
        <v>15</v>
      </c>
      <c r="O1495" s="2" t="n">
        <v>15</v>
      </c>
      <c r="P1495" s="2" t="n">
        <v>99</v>
      </c>
      <c r="Q1495" s="2" t="n">
        <v>121</v>
      </c>
      <c r="R1495" s="2" t="n">
        <v>18</v>
      </c>
      <c r="S1495" s="2" t="n">
        <v>11</v>
      </c>
      <c r="T1495" s="2" t="s">
        <v>66</v>
      </c>
      <c r="U1495" s="4" t="n">
        <f aca="false">(M1495+N1495+O1495+P1495)/L1495</f>
        <v>0.075296881117056</v>
      </c>
      <c r="V1495" s="2" t="str">
        <f aca="false">IF(S1495&lt;=5,"Late night (0-5)",IF(S1495&lt;=11,"Morning (6-11)",IF(S1495&lt;=17,"Afternoon (12-17)","Evening (18-23)")))</f>
        <v>Morning (6-11)</v>
      </c>
    </row>
    <row r="1496" customFormat="false" ht="15" hidden="false" customHeight="false" outlineLevel="0" collapsed="false">
      <c r="A1496" s="2" t="s">
        <v>2529</v>
      </c>
      <c r="B1496" s="2" t="s">
        <v>307</v>
      </c>
      <c r="C1496" s="2" t="s">
        <v>48</v>
      </c>
      <c r="D1496" s="3" t="n">
        <v>45767</v>
      </c>
      <c r="E1496" s="2" t="s">
        <v>214</v>
      </c>
      <c r="F1496" s="2" t="s">
        <v>32</v>
      </c>
      <c r="G1496" s="2" t="n">
        <v>91358</v>
      </c>
      <c r="H1496" s="2" t="n">
        <v>5</v>
      </c>
      <c r="I1496" s="2" t="n">
        <v>293</v>
      </c>
      <c r="J1496" s="2" t="n">
        <v>0</v>
      </c>
      <c r="K1496" s="2" t="n">
        <v>101101</v>
      </c>
      <c r="L1496" s="2" t="n">
        <v>66815</v>
      </c>
      <c r="M1496" s="2" t="n">
        <v>3109</v>
      </c>
      <c r="N1496" s="2" t="n">
        <v>201</v>
      </c>
      <c r="O1496" s="2" t="n">
        <v>421</v>
      </c>
      <c r="P1496" s="2" t="n">
        <v>165</v>
      </c>
      <c r="Q1496" s="2" t="n">
        <v>802</v>
      </c>
      <c r="R1496" s="2" t="n">
        <v>106</v>
      </c>
      <c r="S1496" s="2" t="n">
        <v>1</v>
      </c>
      <c r="T1496" s="2" t="s">
        <v>27</v>
      </c>
      <c r="U1496" s="4" t="n">
        <f aca="false">(M1496+N1496+O1496+P1496)/L1496</f>
        <v>0.0583102596722293</v>
      </c>
      <c r="V1496" s="2" t="str">
        <f aca="false">IF(S1496&lt;=5,"Late night (0-5)",IF(S1496&lt;=11,"Morning (6-11)",IF(S1496&lt;=17,"Afternoon (12-17)","Evening (18-23)")))</f>
        <v>Late night (0-5)</v>
      </c>
    </row>
    <row r="1497" customFormat="false" ht="15" hidden="false" customHeight="false" outlineLevel="0" collapsed="false">
      <c r="A1497" s="2" t="s">
        <v>2530</v>
      </c>
      <c r="B1497" s="2" t="s">
        <v>35</v>
      </c>
      <c r="C1497" s="2" t="s">
        <v>36</v>
      </c>
      <c r="D1497" s="3" t="n">
        <v>45695</v>
      </c>
      <c r="E1497" s="2" t="s">
        <v>2531</v>
      </c>
      <c r="F1497" s="2" t="s">
        <v>32</v>
      </c>
      <c r="G1497" s="2" t="n">
        <v>33933</v>
      </c>
      <c r="H1497" s="2" t="n">
        <v>10</v>
      </c>
      <c r="I1497" s="2" t="n">
        <v>113</v>
      </c>
      <c r="J1497" s="2" t="n">
        <v>1</v>
      </c>
      <c r="K1497" s="2" t="n">
        <v>41887</v>
      </c>
      <c r="L1497" s="2" t="n">
        <v>34969</v>
      </c>
      <c r="M1497" s="2" t="n">
        <v>2369</v>
      </c>
      <c r="N1497" s="2" t="n">
        <v>106</v>
      </c>
      <c r="O1497" s="2" t="n">
        <v>421</v>
      </c>
      <c r="P1497" s="2" t="n">
        <v>284</v>
      </c>
      <c r="Q1497" s="2" t="n">
        <v>202</v>
      </c>
      <c r="R1497" s="2" t="n">
        <v>41</v>
      </c>
      <c r="S1497" s="2" t="n">
        <v>17</v>
      </c>
      <c r="T1497" s="2" t="s">
        <v>96</v>
      </c>
      <c r="U1497" s="4" t="n">
        <f aca="false">(M1497+N1497+O1497+P1497)/L1497</f>
        <v>0.0909376876662187</v>
      </c>
      <c r="V1497" s="2" t="str">
        <f aca="false">IF(S1497&lt;=5,"Late night (0-5)",IF(S1497&lt;=11,"Morning (6-11)",IF(S1497&lt;=17,"Afternoon (12-17)","Evening (18-23)")))</f>
        <v>Afternoon (12-17)</v>
      </c>
    </row>
    <row r="1498" customFormat="false" ht="15" hidden="false" customHeight="false" outlineLevel="0" collapsed="false">
      <c r="A1498" s="2" t="s">
        <v>2532</v>
      </c>
      <c r="B1498" s="2" t="s">
        <v>44</v>
      </c>
      <c r="C1498" s="2" t="s">
        <v>36</v>
      </c>
      <c r="D1498" s="3" t="n">
        <v>45756</v>
      </c>
      <c r="E1498" s="2" t="s">
        <v>1703</v>
      </c>
      <c r="F1498" s="2" t="s">
        <v>26</v>
      </c>
      <c r="G1498" s="2" t="n">
        <v>6265</v>
      </c>
      <c r="H1498" s="2" t="n">
        <v>8</v>
      </c>
      <c r="I1498" s="2" t="n">
        <v>211</v>
      </c>
      <c r="J1498" s="2" t="n">
        <v>0</v>
      </c>
      <c r="K1498" s="2" t="n">
        <v>5597</v>
      </c>
      <c r="L1498" s="2" t="n">
        <v>4370</v>
      </c>
      <c r="M1498" s="2" t="n">
        <v>241</v>
      </c>
      <c r="N1498" s="2" t="n">
        <v>12</v>
      </c>
      <c r="O1498" s="2" t="n">
        <v>9</v>
      </c>
      <c r="P1498" s="2" t="n">
        <v>81</v>
      </c>
      <c r="Q1498" s="2" t="n">
        <v>57</v>
      </c>
      <c r="R1498" s="2" t="n">
        <v>6</v>
      </c>
      <c r="S1498" s="2" t="n">
        <v>17</v>
      </c>
      <c r="T1498" s="2" t="s">
        <v>66</v>
      </c>
      <c r="U1498" s="4" t="n">
        <f aca="false">(M1498+N1498+O1498+P1498)/L1498</f>
        <v>0.0784897025171625</v>
      </c>
      <c r="V1498" s="2" t="str">
        <f aca="false">IF(S1498&lt;=5,"Late night (0-5)",IF(S1498&lt;=11,"Morning (6-11)",IF(S1498&lt;=17,"Afternoon (12-17)","Evening (18-23)")))</f>
        <v>Afternoon (12-17)</v>
      </c>
    </row>
    <row r="1499" customFormat="false" ht="15" hidden="false" customHeight="false" outlineLevel="0" collapsed="false">
      <c r="A1499" s="2" t="s">
        <v>2533</v>
      </c>
      <c r="B1499" s="2" t="s">
        <v>53</v>
      </c>
      <c r="C1499" s="2" t="s">
        <v>54</v>
      </c>
      <c r="D1499" s="3" t="n">
        <v>46005</v>
      </c>
      <c r="E1499" s="2" t="s">
        <v>916</v>
      </c>
      <c r="F1499" s="2" t="s">
        <v>50</v>
      </c>
      <c r="G1499" s="2" t="n">
        <v>11318</v>
      </c>
      <c r="H1499" s="2" t="n">
        <v>11</v>
      </c>
      <c r="I1499" s="2" t="n">
        <v>316</v>
      </c>
      <c r="J1499" s="2" t="n">
        <v>0</v>
      </c>
      <c r="K1499" s="2" t="n">
        <v>25985</v>
      </c>
      <c r="L1499" s="2" t="n">
        <v>18004</v>
      </c>
      <c r="M1499" s="2" t="n">
        <v>806</v>
      </c>
      <c r="N1499" s="2" t="n">
        <v>56</v>
      </c>
      <c r="O1499" s="2" t="n">
        <v>122</v>
      </c>
      <c r="P1499" s="2" t="n">
        <v>222</v>
      </c>
      <c r="Q1499" s="2" t="n">
        <v>179</v>
      </c>
      <c r="R1499" s="2" t="n">
        <v>26</v>
      </c>
      <c r="S1499" s="2" t="n">
        <v>13</v>
      </c>
      <c r="T1499" s="2" t="s">
        <v>27</v>
      </c>
      <c r="U1499" s="4" t="n">
        <f aca="false">(M1499+N1499+O1499+P1499)/L1499</f>
        <v>0.066985114419018</v>
      </c>
      <c r="V1499" s="2" t="str">
        <f aca="false">IF(S1499&lt;=5,"Late night (0-5)",IF(S1499&lt;=11,"Morning (6-11)",IF(S1499&lt;=17,"Afternoon (12-17)","Evening (18-23)")))</f>
        <v>Afternoon (12-17)</v>
      </c>
    </row>
    <row r="1500" customFormat="false" ht="15" hidden="false" customHeight="false" outlineLevel="0" collapsed="false">
      <c r="A1500" s="2" t="s">
        <v>2534</v>
      </c>
      <c r="B1500" s="2" t="s">
        <v>111</v>
      </c>
      <c r="C1500" s="2" t="s">
        <v>48</v>
      </c>
      <c r="D1500" s="3" t="n">
        <v>45991</v>
      </c>
      <c r="E1500" s="2" t="s">
        <v>2325</v>
      </c>
      <c r="F1500" s="2" t="s">
        <v>38</v>
      </c>
      <c r="G1500" s="2" t="n">
        <v>16824</v>
      </c>
      <c r="H1500" s="2" t="n">
        <v>17</v>
      </c>
      <c r="I1500" s="2" t="n">
        <v>264</v>
      </c>
      <c r="J1500" s="2" t="n">
        <v>0</v>
      </c>
      <c r="K1500" s="2" t="n">
        <v>8541</v>
      </c>
      <c r="L1500" s="2" t="n">
        <v>4922</v>
      </c>
      <c r="M1500" s="2" t="n">
        <v>263</v>
      </c>
      <c r="N1500" s="2" t="n">
        <v>10</v>
      </c>
      <c r="O1500" s="2" t="n">
        <v>42</v>
      </c>
      <c r="P1500" s="2" t="n">
        <v>54</v>
      </c>
      <c r="Q1500" s="2" t="n">
        <v>78</v>
      </c>
      <c r="R1500" s="2" t="n">
        <v>21</v>
      </c>
      <c r="S1500" s="2" t="n">
        <v>3</v>
      </c>
      <c r="T1500" s="2" t="s">
        <v>27</v>
      </c>
      <c r="U1500" s="4" t="n">
        <f aca="false">(M1500+N1500+O1500+P1500)/L1500</f>
        <v>0.0749695245835026</v>
      </c>
      <c r="V1500" s="2" t="str">
        <f aca="false">IF(S1500&lt;=5,"Late night (0-5)",IF(S1500&lt;=11,"Morning (6-11)",IF(S1500&lt;=17,"Afternoon (12-17)","Evening (18-23)")))</f>
        <v>Late night (0-5)</v>
      </c>
    </row>
    <row r="1501" customFormat="false" ht="15" hidden="false" customHeight="false" outlineLevel="0" collapsed="false">
      <c r="A1501" s="2" t="s">
        <v>2535</v>
      </c>
      <c r="B1501" s="2" t="s">
        <v>129</v>
      </c>
      <c r="C1501" s="2" t="s">
        <v>54</v>
      </c>
      <c r="D1501" s="3" t="n">
        <v>45967</v>
      </c>
      <c r="E1501" s="2" t="s">
        <v>1808</v>
      </c>
      <c r="F1501" s="2" t="s">
        <v>50</v>
      </c>
      <c r="G1501" s="2" t="n">
        <v>10312</v>
      </c>
      <c r="H1501" s="2" t="n">
        <v>20</v>
      </c>
      <c r="I1501" s="2" t="n">
        <v>202</v>
      </c>
      <c r="J1501" s="2" t="n">
        <v>1</v>
      </c>
      <c r="K1501" s="2" t="n">
        <v>23968</v>
      </c>
      <c r="L1501" s="2" t="n">
        <v>14372</v>
      </c>
      <c r="M1501" s="2" t="n">
        <v>1230</v>
      </c>
      <c r="N1501" s="2" t="n">
        <v>36</v>
      </c>
      <c r="O1501" s="2" t="n">
        <v>146</v>
      </c>
      <c r="P1501" s="2" t="n">
        <v>98</v>
      </c>
      <c r="Q1501" s="2" t="n">
        <v>357</v>
      </c>
      <c r="R1501" s="2" t="n">
        <v>54</v>
      </c>
      <c r="S1501" s="2" t="n">
        <v>11</v>
      </c>
      <c r="T1501" s="2" t="s">
        <v>79</v>
      </c>
      <c r="U1501" s="4" t="n">
        <f aca="false">(M1501+N1501+O1501+P1501)/L1501</f>
        <v>0.105065404954077</v>
      </c>
      <c r="V1501" s="2" t="str">
        <f aca="false">IF(S1501&lt;=5,"Late night (0-5)",IF(S1501&lt;=11,"Morning (6-11)",IF(S1501&lt;=17,"Afternoon (12-17)","Evening (18-23)")))</f>
        <v>Morning (6-11)</v>
      </c>
    </row>
    <row r="1502" customFormat="false" ht="15" hidden="false" customHeight="false" outlineLevel="0" collapsed="false">
      <c r="A1502" s="2" t="s">
        <v>2536</v>
      </c>
      <c r="B1502" s="2" t="s">
        <v>206</v>
      </c>
      <c r="C1502" s="2" t="s">
        <v>48</v>
      </c>
      <c r="D1502" s="3" t="n">
        <v>45661</v>
      </c>
      <c r="E1502" s="2" t="s">
        <v>918</v>
      </c>
      <c r="F1502" s="2" t="s">
        <v>38</v>
      </c>
      <c r="G1502" s="2" t="n">
        <v>42937</v>
      </c>
      <c r="H1502" s="2" t="n">
        <v>22</v>
      </c>
      <c r="I1502" s="2" t="n">
        <v>160</v>
      </c>
      <c r="J1502" s="2" t="n">
        <v>0</v>
      </c>
      <c r="K1502" s="2" t="n">
        <v>68455</v>
      </c>
      <c r="L1502" s="2" t="n">
        <v>55374</v>
      </c>
      <c r="M1502" s="2" t="n">
        <v>1674</v>
      </c>
      <c r="N1502" s="2" t="n">
        <v>78</v>
      </c>
      <c r="O1502" s="2" t="n">
        <v>145</v>
      </c>
      <c r="P1502" s="2" t="n">
        <v>153</v>
      </c>
      <c r="Q1502" s="2" t="n">
        <v>901</v>
      </c>
      <c r="R1502" s="2" t="n">
        <v>135</v>
      </c>
      <c r="S1502" s="2" t="n">
        <v>14</v>
      </c>
      <c r="T1502" s="2" t="s">
        <v>62</v>
      </c>
      <c r="U1502" s="4" t="n">
        <f aca="false">(M1502+N1502+O1502+P1502)/L1502</f>
        <v>0.0370209845775996</v>
      </c>
      <c r="V1502" s="2" t="str">
        <f aca="false">IF(S1502&lt;=5,"Late night (0-5)",IF(S1502&lt;=11,"Morning (6-11)",IF(S1502&lt;=17,"Afternoon (12-17)","Evening (18-23)")))</f>
        <v>Afternoon (12-17)</v>
      </c>
    </row>
    <row r="1503" customFormat="false" ht="15" hidden="false" customHeight="false" outlineLevel="0" collapsed="false">
      <c r="A1503" s="2" t="s">
        <v>2537</v>
      </c>
      <c r="B1503" s="2" t="s">
        <v>71</v>
      </c>
      <c r="C1503" s="2" t="s">
        <v>48</v>
      </c>
      <c r="D1503" s="3" t="n">
        <v>45858</v>
      </c>
      <c r="E1503" s="2" t="s">
        <v>2538</v>
      </c>
      <c r="F1503" s="2" t="s">
        <v>38</v>
      </c>
      <c r="G1503" s="2" t="n">
        <v>7316</v>
      </c>
      <c r="H1503" s="2" t="n">
        <v>20</v>
      </c>
      <c r="I1503" s="2" t="n">
        <v>192</v>
      </c>
      <c r="J1503" s="2" t="n">
        <v>0</v>
      </c>
      <c r="K1503" s="2" t="n">
        <v>2457</v>
      </c>
      <c r="L1503" s="2" t="n">
        <v>1846</v>
      </c>
      <c r="M1503" s="2" t="n">
        <v>56</v>
      </c>
      <c r="N1503" s="2" t="n">
        <v>3</v>
      </c>
      <c r="O1503" s="2" t="n">
        <v>3</v>
      </c>
      <c r="P1503" s="2" t="n">
        <v>10</v>
      </c>
      <c r="Q1503" s="2" t="n">
        <v>9</v>
      </c>
      <c r="R1503" s="2" t="n">
        <v>1</v>
      </c>
      <c r="S1503" s="2" t="n">
        <v>15</v>
      </c>
      <c r="T1503" s="2" t="s">
        <v>27</v>
      </c>
      <c r="U1503" s="4" t="n">
        <f aca="false">(M1503+N1503+O1503+P1503)/L1503</f>
        <v>0.0390032502708559</v>
      </c>
      <c r="V1503" s="2" t="str">
        <f aca="false">IF(S1503&lt;=5,"Late night (0-5)",IF(S1503&lt;=11,"Morning (6-11)",IF(S1503&lt;=17,"Afternoon (12-17)","Evening (18-23)")))</f>
        <v>Afternoon (12-17)</v>
      </c>
    </row>
    <row r="1504" customFormat="false" ht="15" hidden="false" customHeight="false" outlineLevel="0" collapsed="false">
      <c r="A1504" s="2" t="s">
        <v>2539</v>
      </c>
      <c r="B1504" s="2" t="s">
        <v>390</v>
      </c>
      <c r="C1504" s="2" t="s">
        <v>36</v>
      </c>
      <c r="D1504" s="3" t="n">
        <v>45705</v>
      </c>
      <c r="E1504" s="2" t="s">
        <v>1524</v>
      </c>
      <c r="F1504" s="2" t="s">
        <v>32</v>
      </c>
      <c r="G1504" s="2" t="n">
        <v>30232</v>
      </c>
      <c r="H1504" s="2" t="n">
        <v>14</v>
      </c>
      <c r="I1504" s="2" t="n">
        <v>312</v>
      </c>
      <c r="J1504" s="2" t="n">
        <v>0</v>
      </c>
      <c r="K1504" s="2" t="n">
        <v>24837</v>
      </c>
      <c r="L1504" s="2" t="n">
        <v>19439</v>
      </c>
      <c r="M1504" s="2" t="n">
        <v>789</v>
      </c>
      <c r="N1504" s="2" t="n">
        <v>34</v>
      </c>
      <c r="O1504" s="2" t="n">
        <v>99</v>
      </c>
      <c r="P1504" s="2" t="n">
        <v>177</v>
      </c>
      <c r="Q1504" s="2" t="n">
        <v>495</v>
      </c>
      <c r="R1504" s="2" t="n">
        <v>52</v>
      </c>
      <c r="S1504" s="2" t="n">
        <v>5</v>
      </c>
      <c r="T1504" s="2" t="s">
        <v>33</v>
      </c>
      <c r="U1504" s="4" t="n">
        <f aca="false">(M1504+N1504+O1504+P1504)/L1504</f>
        <v>0.0565358300324091</v>
      </c>
      <c r="V1504" s="2" t="str">
        <f aca="false">IF(S1504&lt;=5,"Late night (0-5)",IF(S1504&lt;=11,"Morning (6-11)",IF(S1504&lt;=17,"Afternoon (12-17)","Evening (18-23)")))</f>
        <v>Late night (0-5)</v>
      </c>
    </row>
    <row r="1505" customFormat="false" ht="15" hidden="false" customHeight="false" outlineLevel="0" collapsed="false">
      <c r="A1505" s="2" t="s">
        <v>2540</v>
      </c>
      <c r="B1505" s="2" t="s">
        <v>188</v>
      </c>
      <c r="C1505" s="2" t="s">
        <v>30</v>
      </c>
      <c r="D1505" s="3" t="n">
        <v>45677</v>
      </c>
      <c r="E1505" s="2" t="s">
        <v>194</v>
      </c>
      <c r="F1505" s="2" t="s">
        <v>32</v>
      </c>
      <c r="G1505" s="2" t="n">
        <v>38900</v>
      </c>
      <c r="H1505" s="2" t="n">
        <v>8</v>
      </c>
      <c r="I1505" s="2" t="n">
        <v>145</v>
      </c>
      <c r="J1505" s="2" t="n">
        <v>0</v>
      </c>
      <c r="K1505" s="2" t="n">
        <v>114418</v>
      </c>
      <c r="L1505" s="2" t="n">
        <v>68922</v>
      </c>
      <c r="M1505" s="2" t="n">
        <v>3320</v>
      </c>
      <c r="N1505" s="2" t="n">
        <v>214</v>
      </c>
      <c r="O1505" s="2" t="n">
        <v>620</v>
      </c>
      <c r="P1505" s="2" t="n">
        <v>311</v>
      </c>
      <c r="Q1505" s="2" t="n">
        <v>1581</v>
      </c>
      <c r="R1505" s="2" t="n">
        <v>361</v>
      </c>
      <c r="S1505" s="2" t="n">
        <v>21</v>
      </c>
      <c r="T1505" s="2" t="s">
        <v>33</v>
      </c>
      <c r="U1505" s="4" t="n">
        <f aca="false">(M1505+N1505+O1505+P1505)/L1505</f>
        <v>0.0647833783117147</v>
      </c>
      <c r="V1505" s="2" t="str">
        <f aca="false">IF(S1505&lt;=5,"Late night (0-5)",IF(S1505&lt;=11,"Morning (6-11)",IF(S1505&lt;=17,"Afternoon (12-17)","Evening (18-23)")))</f>
        <v>Evening (18-23)</v>
      </c>
    </row>
    <row r="1506" customFormat="false" ht="15" hidden="false" customHeight="false" outlineLevel="0" collapsed="false">
      <c r="A1506" s="2" t="s">
        <v>2541</v>
      </c>
      <c r="B1506" s="2" t="s">
        <v>324</v>
      </c>
      <c r="C1506" s="2" t="s">
        <v>24</v>
      </c>
      <c r="D1506" s="3" t="n">
        <v>45773</v>
      </c>
      <c r="E1506" s="2" t="s">
        <v>117</v>
      </c>
      <c r="F1506" s="2" t="s">
        <v>38</v>
      </c>
      <c r="G1506" s="2" t="n">
        <v>3823</v>
      </c>
      <c r="H1506" s="2" t="n">
        <v>15</v>
      </c>
      <c r="I1506" s="2" t="n">
        <v>78</v>
      </c>
      <c r="J1506" s="2" t="n">
        <v>1</v>
      </c>
      <c r="K1506" s="2" t="n">
        <v>3407</v>
      </c>
      <c r="L1506" s="2" t="n">
        <v>2202</v>
      </c>
      <c r="M1506" s="2" t="n">
        <v>135</v>
      </c>
      <c r="N1506" s="2" t="n">
        <v>10</v>
      </c>
      <c r="O1506" s="2" t="n">
        <v>14</v>
      </c>
      <c r="P1506" s="2" t="n">
        <v>33</v>
      </c>
      <c r="Q1506" s="2" t="n">
        <v>47</v>
      </c>
      <c r="R1506" s="2" t="n">
        <v>8</v>
      </c>
      <c r="S1506" s="2" t="n">
        <v>12</v>
      </c>
      <c r="T1506" s="2" t="s">
        <v>62</v>
      </c>
      <c r="U1506" s="4" t="n">
        <f aca="false">(M1506+N1506+O1506+P1506)/L1506</f>
        <v>0.0871934604904632</v>
      </c>
      <c r="V1506" s="2" t="str">
        <f aca="false">IF(S1506&lt;=5,"Late night (0-5)",IF(S1506&lt;=11,"Morning (6-11)",IF(S1506&lt;=17,"Afternoon (12-17)","Evening (18-23)")))</f>
        <v>Afternoon (12-17)</v>
      </c>
    </row>
    <row r="1507" customFormat="false" ht="15" hidden="false" customHeight="false" outlineLevel="0" collapsed="false">
      <c r="A1507" s="2" t="s">
        <v>2542</v>
      </c>
      <c r="B1507" s="2" t="s">
        <v>57</v>
      </c>
      <c r="C1507" s="2" t="s">
        <v>24</v>
      </c>
      <c r="D1507" s="3" t="n">
        <v>45768</v>
      </c>
      <c r="E1507" s="2" t="s">
        <v>1351</v>
      </c>
      <c r="F1507" s="2" t="s">
        <v>32</v>
      </c>
      <c r="G1507" s="2" t="n">
        <v>31021</v>
      </c>
      <c r="H1507" s="2" t="n">
        <v>14</v>
      </c>
      <c r="I1507" s="2" t="n">
        <v>180</v>
      </c>
      <c r="J1507" s="2" t="n">
        <v>0</v>
      </c>
      <c r="K1507" s="2" t="n">
        <v>20164</v>
      </c>
      <c r="L1507" s="2" t="n">
        <v>17934</v>
      </c>
      <c r="M1507" s="2" t="n">
        <v>1487</v>
      </c>
      <c r="N1507" s="2" t="n">
        <v>103</v>
      </c>
      <c r="O1507" s="2" t="n">
        <v>130</v>
      </c>
      <c r="P1507" s="2" t="n">
        <v>128</v>
      </c>
      <c r="Q1507" s="2" t="n">
        <v>475</v>
      </c>
      <c r="R1507" s="2" t="n">
        <v>121</v>
      </c>
      <c r="S1507" s="2" t="n">
        <v>1</v>
      </c>
      <c r="T1507" s="2" t="s">
        <v>33</v>
      </c>
      <c r="U1507" s="4" t="n">
        <f aca="false">(M1507+N1507+O1507+P1507)/L1507</f>
        <v>0.103044496487119</v>
      </c>
      <c r="V1507" s="2" t="str">
        <f aca="false">IF(S1507&lt;=5,"Late night (0-5)",IF(S1507&lt;=11,"Morning (6-11)",IF(S1507&lt;=17,"Afternoon (12-17)","Evening (18-23)")))</f>
        <v>Late night (0-5)</v>
      </c>
    </row>
    <row r="1508" customFormat="false" ht="15" hidden="false" customHeight="false" outlineLevel="0" collapsed="false">
      <c r="A1508" s="2" t="s">
        <v>2543</v>
      </c>
      <c r="B1508" s="2" t="s">
        <v>462</v>
      </c>
      <c r="C1508" s="2" t="s">
        <v>84</v>
      </c>
      <c r="D1508" s="3" t="n">
        <v>45948</v>
      </c>
      <c r="E1508" s="2" t="s">
        <v>1181</v>
      </c>
      <c r="F1508" s="2" t="s">
        <v>32</v>
      </c>
      <c r="G1508" s="2" t="n">
        <v>43510</v>
      </c>
      <c r="H1508" s="2" t="n">
        <v>8</v>
      </c>
      <c r="I1508" s="2" t="n">
        <v>127</v>
      </c>
      <c r="J1508" s="2" t="n">
        <v>0</v>
      </c>
      <c r="K1508" s="2" t="n">
        <v>56160</v>
      </c>
      <c r="L1508" s="2" t="n">
        <v>49253</v>
      </c>
      <c r="M1508" s="2" t="n">
        <v>2962</v>
      </c>
      <c r="N1508" s="2" t="n">
        <v>219</v>
      </c>
      <c r="O1508" s="2" t="n">
        <v>757</v>
      </c>
      <c r="P1508" s="2" t="n">
        <v>573</v>
      </c>
      <c r="Q1508" s="2" t="n">
        <v>842</v>
      </c>
      <c r="R1508" s="2" t="n">
        <v>251</v>
      </c>
      <c r="S1508" s="2" t="n">
        <v>13</v>
      </c>
      <c r="T1508" s="2" t="s">
        <v>62</v>
      </c>
      <c r="U1508" s="4" t="n">
        <f aca="false">(M1508+N1508+O1508+P1508)/L1508</f>
        <v>0.0915883296448947</v>
      </c>
      <c r="V1508" s="2" t="str">
        <f aca="false">IF(S1508&lt;=5,"Late night (0-5)",IF(S1508&lt;=11,"Morning (6-11)",IF(S1508&lt;=17,"Afternoon (12-17)","Evening (18-23)")))</f>
        <v>Afternoon (12-17)</v>
      </c>
    </row>
    <row r="1509" customFormat="false" ht="15" hidden="false" customHeight="false" outlineLevel="0" collapsed="false">
      <c r="A1509" s="2" t="s">
        <v>2544</v>
      </c>
      <c r="B1509" s="2" t="s">
        <v>243</v>
      </c>
      <c r="C1509" s="2" t="s">
        <v>91</v>
      </c>
      <c r="D1509" s="3" t="n">
        <v>45687</v>
      </c>
      <c r="E1509" s="2" t="s">
        <v>42</v>
      </c>
      <c r="F1509" s="2" t="s">
        <v>50</v>
      </c>
      <c r="G1509" s="2" t="n">
        <v>42046</v>
      </c>
      <c r="H1509" s="2" t="n">
        <v>18</v>
      </c>
      <c r="I1509" s="2" t="n">
        <v>253</v>
      </c>
      <c r="J1509" s="2" t="n">
        <v>1</v>
      </c>
      <c r="K1509" s="2" t="n">
        <v>22531</v>
      </c>
      <c r="L1509" s="2" t="n">
        <v>14893</v>
      </c>
      <c r="M1509" s="2" t="n">
        <v>1170</v>
      </c>
      <c r="N1509" s="2" t="n">
        <v>51</v>
      </c>
      <c r="O1509" s="2" t="n">
        <v>123</v>
      </c>
      <c r="P1509" s="2" t="n">
        <v>230</v>
      </c>
      <c r="Q1509" s="2" t="n">
        <v>272</v>
      </c>
      <c r="R1509" s="2" t="n">
        <v>60</v>
      </c>
      <c r="S1509" s="2" t="n">
        <v>12</v>
      </c>
      <c r="T1509" s="2" t="s">
        <v>79</v>
      </c>
      <c r="U1509" s="4" t="n">
        <f aca="false">(M1509+N1509+O1509+P1509)/L1509</f>
        <v>0.105687235614047</v>
      </c>
      <c r="V1509" s="2" t="str">
        <f aca="false">IF(S1509&lt;=5,"Late night (0-5)",IF(S1509&lt;=11,"Morning (6-11)",IF(S1509&lt;=17,"Afternoon (12-17)","Evening (18-23)")))</f>
        <v>Afternoon (12-17)</v>
      </c>
    </row>
    <row r="1510" customFormat="false" ht="15" hidden="false" customHeight="false" outlineLevel="0" collapsed="false">
      <c r="A1510" s="2" t="s">
        <v>2545</v>
      </c>
      <c r="B1510" s="2" t="s">
        <v>103</v>
      </c>
      <c r="C1510" s="2" t="s">
        <v>36</v>
      </c>
      <c r="D1510" s="3" t="n">
        <v>45838</v>
      </c>
      <c r="E1510" s="2" t="s">
        <v>2258</v>
      </c>
      <c r="F1510" s="2" t="s">
        <v>38</v>
      </c>
      <c r="G1510" s="2" t="n">
        <v>56979</v>
      </c>
      <c r="H1510" s="2" t="n">
        <v>7</v>
      </c>
      <c r="I1510" s="2" t="n">
        <v>128</v>
      </c>
      <c r="J1510" s="2" t="n">
        <v>1</v>
      </c>
      <c r="K1510" s="2" t="n">
        <v>37991</v>
      </c>
      <c r="L1510" s="2" t="n">
        <v>33576</v>
      </c>
      <c r="M1510" s="2" t="n">
        <v>2451</v>
      </c>
      <c r="N1510" s="2" t="n">
        <v>49</v>
      </c>
      <c r="O1510" s="2" t="n">
        <v>454</v>
      </c>
      <c r="P1510" s="2" t="n">
        <v>562</v>
      </c>
      <c r="Q1510" s="2" t="n">
        <v>642</v>
      </c>
      <c r="R1510" s="2" t="n">
        <v>100</v>
      </c>
      <c r="S1510" s="2" t="n">
        <v>23</v>
      </c>
      <c r="T1510" s="2" t="s">
        <v>33</v>
      </c>
      <c r="U1510" s="4" t="n">
        <f aca="false">(M1510+N1510+O1510+P1510)/L1510</f>
        <v>0.104717655468192</v>
      </c>
      <c r="V1510" s="2" t="str">
        <f aca="false">IF(S1510&lt;=5,"Late night (0-5)",IF(S1510&lt;=11,"Morning (6-11)",IF(S1510&lt;=17,"Afternoon (12-17)","Evening (18-23)")))</f>
        <v>Evening (18-23)</v>
      </c>
    </row>
    <row r="1511" customFormat="false" ht="15" hidden="false" customHeight="false" outlineLevel="0" collapsed="false">
      <c r="A1511" s="2" t="s">
        <v>2546</v>
      </c>
      <c r="B1511" s="2" t="s">
        <v>459</v>
      </c>
      <c r="C1511" s="2" t="s">
        <v>84</v>
      </c>
      <c r="D1511" s="3" t="n">
        <v>45940</v>
      </c>
      <c r="E1511" s="2" t="s">
        <v>2547</v>
      </c>
      <c r="F1511" s="2" t="s">
        <v>32</v>
      </c>
      <c r="G1511" s="2" t="n">
        <v>19744</v>
      </c>
      <c r="H1511" s="2" t="n">
        <v>21</v>
      </c>
      <c r="I1511" s="2" t="n">
        <v>48</v>
      </c>
      <c r="J1511" s="2" t="n">
        <v>1</v>
      </c>
      <c r="K1511" s="2" t="n">
        <v>54198</v>
      </c>
      <c r="L1511" s="2" t="n">
        <v>35697</v>
      </c>
      <c r="M1511" s="2" t="n">
        <v>3196</v>
      </c>
      <c r="N1511" s="2" t="n">
        <v>195</v>
      </c>
      <c r="O1511" s="2" t="n">
        <v>368</v>
      </c>
      <c r="P1511" s="2" t="n">
        <v>842</v>
      </c>
      <c r="Q1511" s="2" t="n">
        <v>724</v>
      </c>
      <c r="R1511" s="2" t="n">
        <v>147</v>
      </c>
      <c r="S1511" s="2" t="n">
        <v>9</v>
      </c>
      <c r="T1511" s="2" t="s">
        <v>96</v>
      </c>
      <c r="U1511" s="4" t="n">
        <f aca="false">(M1511+N1511+O1511+P1511)/L1511</f>
        <v>0.128890382945346</v>
      </c>
      <c r="V1511" s="2" t="str">
        <f aca="false">IF(S1511&lt;=5,"Late night (0-5)",IF(S1511&lt;=11,"Morning (6-11)",IF(S1511&lt;=17,"Afternoon (12-17)","Evening (18-23)")))</f>
        <v>Morning (6-11)</v>
      </c>
    </row>
    <row r="1512" customFormat="false" ht="15" hidden="false" customHeight="false" outlineLevel="0" collapsed="false">
      <c r="A1512" s="2" t="s">
        <v>2548</v>
      </c>
      <c r="B1512" s="2" t="s">
        <v>64</v>
      </c>
      <c r="C1512" s="2" t="s">
        <v>36</v>
      </c>
      <c r="D1512" s="3" t="n">
        <v>46008</v>
      </c>
      <c r="E1512" s="2" t="s">
        <v>1476</v>
      </c>
      <c r="F1512" s="2" t="s">
        <v>38</v>
      </c>
      <c r="G1512" s="2" t="n">
        <v>43781</v>
      </c>
      <c r="H1512" s="2" t="n">
        <v>6</v>
      </c>
      <c r="I1512" s="2" t="n">
        <v>300</v>
      </c>
      <c r="J1512" s="2" t="n">
        <v>0</v>
      </c>
      <c r="K1512" s="2" t="n">
        <v>24522</v>
      </c>
      <c r="L1512" s="2" t="n">
        <v>16926</v>
      </c>
      <c r="M1512" s="2" t="n">
        <v>1141</v>
      </c>
      <c r="N1512" s="2" t="n">
        <v>80</v>
      </c>
      <c r="O1512" s="2" t="n">
        <v>170</v>
      </c>
      <c r="P1512" s="2" t="n">
        <v>86</v>
      </c>
      <c r="Q1512" s="2" t="n">
        <v>239</v>
      </c>
      <c r="R1512" s="2" t="n">
        <v>44</v>
      </c>
      <c r="S1512" s="2" t="n">
        <v>22</v>
      </c>
      <c r="T1512" s="2" t="s">
        <v>66</v>
      </c>
      <c r="U1512" s="4" t="n">
        <f aca="false">(M1512+N1512+O1512+P1512)/L1512</f>
        <v>0.087262200165426</v>
      </c>
      <c r="V1512" s="2" t="str">
        <f aca="false">IF(S1512&lt;=5,"Late night (0-5)",IF(S1512&lt;=11,"Morning (6-11)",IF(S1512&lt;=17,"Afternoon (12-17)","Evening (18-23)")))</f>
        <v>Evening (18-23)</v>
      </c>
    </row>
    <row r="1513" customFormat="false" ht="15" hidden="false" customHeight="false" outlineLevel="0" collapsed="false">
      <c r="A1513" s="2" t="s">
        <v>2549</v>
      </c>
      <c r="B1513" s="2" t="s">
        <v>220</v>
      </c>
      <c r="C1513" s="2" t="s">
        <v>48</v>
      </c>
      <c r="D1513" s="3" t="n">
        <v>45989</v>
      </c>
      <c r="E1513" s="2" t="s">
        <v>2041</v>
      </c>
      <c r="F1513" s="2" t="s">
        <v>26</v>
      </c>
      <c r="G1513" s="2" t="n">
        <v>18917</v>
      </c>
      <c r="H1513" s="2" t="n">
        <v>16</v>
      </c>
      <c r="I1513" s="2" t="n">
        <v>10</v>
      </c>
      <c r="J1513" s="2" t="n">
        <v>1</v>
      </c>
      <c r="K1513" s="2" t="n">
        <v>19082</v>
      </c>
      <c r="L1513" s="2" t="n">
        <v>12191</v>
      </c>
      <c r="M1513" s="2" t="n">
        <v>915</v>
      </c>
      <c r="N1513" s="2" t="n">
        <v>35</v>
      </c>
      <c r="O1513" s="2" t="n">
        <v>89</v>
      </c>
      <c r="P1513" s="2" t="n">
        <v>371</v>
      </c>
      <c r="Q1513" s="2" t="n">
        <v>235</v>
      </c>
      <c r="R1513" s="2" t="n">
        <v>41</v>
      </c>
      <c r="S1513" s="2" t="n">
        <v>22</v>
      </c>
      <c r="T1513" s="2" t="s">
        <v>96</v>
      </c>
      <c r="U1513" s="4" t="n">
        <f aca="false">(M1513+N1513+O1513+P1513)/L1513</f>
        <v>0.115659092773357</v>
      </c>
      <c r="V1513" s="2" t="str">
        <f aca="false">IF(S1513&lt;=5,"Late night (0-5)",IF(S1513&lt;=11,"Morning (6-11)",IF(S1513&lt;=17,"Afternoon (12-17)","Evening (18-23)")))</f>
        <v>Evening (18-23)</v>
      </c>
    </row>
    <row r="1514" customFormat="false" ht="15" hidden="false" customHeight="false" outlineLevel="0" collapsed="false">
      <c r="A1514" s="2" t="s">
        <v>2550</v>
      </c>
      <c r="B1514" s="2" t="s">
        <v>71</v>
      </c>
      <c r="C1514" s="2" t="s">
        <v>48</v>
      </c>
      <c r="D1514" s="3" t="n">
        <v>45749</v>
      </c>
      <c r="E1514" s="2" t="s">
        <v>1837</v>
      </c>
      <c r="F1514" s="2" t="s">
        <v>26</v>
      </c>
      <c r="G1514" s="2" t="n">
        <v>7316</v>
      </c>
      <c r="H1514" s="2" t="n">
        <v>12</v>
      </c>
      <c r="I1514" s="2" t="n">
        <v>195</v>
      </c>
      <c r="J1514" s="2" t="n">
        <v>0</v>
      </c>
      <c r="K1514" s="2" t="n">
        <v>5029</v>
      </c>
      <c r="L1514" s="2" t="n">
        <v>3059</v>
      </c>
      <c r="M1514" s="2" t="n">
        <v>251</v>
      </c>
      <c r="N1514" s="2" t="n">
        <v>9</v>
      </c>
      <c r="O1514" s="2" t="n">
        <v>27</v>
      </c>
      <c r="P1514" s="2" t="n">
        <v>18</v>
      </c>
      <c r="Q1514" s="2" t="n">
        <v>72</v>
      </c>
      <c r="R1514" s="2" t="n">
        <v>9</v>
      </c>
      <c r="S1514" s="2" t="n">
        <v>0</v>
      </c>
      <c r="T1514" s="2" t="s">
        <v>66</v>
      </c>
      <c r="U1514" s="4" t="n">
        <f aca="false">(M1514+N1514+O1514+P1514)/L1514</f>
        <v>0.099705786204642</v>
      </c>
      <c r="V1514" s="2" t="str">
        <f aca="false">IF(S1514&lt;=5,"Late night (0-5)",IF(S1514&lt;=11,"Morning (6-11)",IF(S1514&lt;=17,"Afternoon (12-17)","Evening (18-23)")))</f>
        <v>Late night (0-5)</v>
      </c>
    </row>
    <row r="1515" customFormat="false" ht="15" hidden="false" customHeight="false" outlineLevel="0" collapsed="false">
      <c r="A1515" s="2" t="s">
        <v>2551</v>
      </c>
      <c r="B1515" s="2" t="s">
        <v>141</v>
      </c>
      <c r="C1515" s="2" t="s">
        <v>48</v>
      </c>
      <c r="D1515" s="3" t="n">
        <v>45949</v>
      </c>
      <c r="E1515" s="2" t="s">
        <v>747</v>
      </c>
      <c r="F1515" s="2" t="s">
        <v>26</v>
      </c>
      <c r="G1515" s="2" t="n">
        <v>16119</v>
      </c>
      <c r="H1515" s="2" t="n">
        <v>10</v>
      </c>
      <c r="I1515" s="2" t="n">
        <v>261</v>
      </c>
      <c r="J1515" s="2" t="n">
        <v>1</v>
      </c>
      <c r="K1515" s="2" t="n">
        <v>15386</v>
      </c>
      <c r="L1515" s="2" t="n">
        <v>10186</v>
      </c>
      <c r="M1515" s="2" t="n">
        <v>626</v>
      </c>
      <c r="N1515" s="2" t="n">
        <v>43</v>
      </c>
      <c r="O1515" s="2" t="n">
        <v>38</v>
      </c>
      <c r="P1515" s="2" t="n">
        <v>222</v>
      </c>
      <c r="Q1515" s="2" t="n">
        <v>54</v>
      </c>
      <c r="R1515" s="2" t="n">
        <v>10</v>
      </c>
      <c r="S1515" s="2" t="n">
        <v>17</v>
      </c>
      <c r="T1515" s="2" t="s">
        <v>27</v>
      </c>
      <c r="U1515" s="4" t="n">
        <f aca="false">(M1515+N1515+O1515+P1515)/L1515</f>
        <v>0.0912036128018849</v>
      </c>
      <c r="V1515" s="2" t="str">
        <f aca="false">IF(S1515&lt;=5,"Late night (0-5)",IF(S1515&lt;=11,"Morning (6-11)",IF(S1515&lt;=17,"Afternoon (12-17)","Evening (18-23)")))</f>
        <v>Afternoon (12-17)</v>
      </c>
    </row>
    <row r="1516" customFormat="false" ht="15" hidden="false" customHeight="false" outlineLevel="0" collapsed="false">
      <c r="A1516" s="2" t="s">
        <v>2552</v>
      </c>
      <c r="B1516" s="2" t="s">
        <v>23</v>
      </c>
      <c r="C1516" s="2" t="s">
        <v>24</v>
      </c>
      <c r="D1516" s="3" t="n">
        <v>45989</v>
      </c>
      <c r="E1516" s="2" t="s">
        <v>1510</v>
      </c>
      <c r="F1516" s="2" t="s">
        <v>38</v>
      </c>
      <c r="G1516" s="2" t="n">
        <v>63447</v>
      </c>
      <c r="H1516" s="2" t="n">
        <v>15</v>
      </c>
      <c r="I1516" s="2" t="n">
        <v>271</v>
      </c>
      <c r="J1516" s="2" t="n">
        <v>1</v>
      </c>
      <c r="K1516" s="2" t="n">
        <v>113954</v>
      </c>
      <c r="L1516" s="2" t="n">
        <v>63887</v>
      </c>
      <c r="M1516" s="2" t="n">
        <v>3974</v>
      </c>
      <c r="N1516" s="2" t="n">
        <v>253</v>
      </c>
      <c r="O1516" s="2" t="n">
        <v>641</v>
      </c>
      <c r="P1516" s="2" t="n">
        <v>548</v>
      </c>
      <c r="Q1516" s="2" t="n">
        <v>1595</v>
      </c>
      <c r="R1516" s="2" t="n">
        <v>463</v>
      </c>
      <c r="S1516" s="2" t="n">
        <v>8</v>
      </c>
      <c r="T1516" s="2" t="s">
        <v>96</v>
      </c>
      <c r="U1516" s="4" t="n">
        <f aca="false">(M1516+N1516+O1516+P1516)/L1516</f>
        <v>0.0847746802948957</v>
      </c>
      <c r="V1516" s="2" t="str">
        <f aca="false">IF(S1516&lt;=5,"Late night (0-5)",IF(S1516&lt;=11,"Morning (6-11)",IF(S1516&lt;=17,"Afternoon (12-17)","Evening (18-23)")))</f>
        <v>Morning (6-11)</v>
      </c>
    </row>
    <row r="1517" customFormat="false" ht="15" hidden="false" customHeight="false" outlineLevel="0" collapsed="false">
      <c r="A1517" s="2" t="s">
        <v>2553</v>
      </c>
      <c r="B1517" s="2" t="s">
        <v>83</v>
      </c>
      <c r="C1517" s="2" t="s">
        <v>84</v>
      </c>
      <c r="D1517" s="3" t="n">
        <v>45806</v>
      </c>
      <c r="E1517" s="2" t="s">
        <v>69</v>
      </c>
      <c r="F1517" s="2" t="s">
        <v>38</v>
      </c>
      <c r="G1517" s="2" t="n">
        <v>17918</v>
      </c>
      <c r="H1517" s="2" t="n">
        <v>17</v>
      </c>
      <c r="I1517" s="2" t="n">
        <v>61</v>
      </c>
      <c r="J1517" s="2" t="n">
        <v>0</v>
      </c>
      <c r="K1517" s="2" t="n">
        <v>25254</v>
      </c>
      <c r="L1517" s="2" t="n">
        <v>14917</v>
      </c>
      <c r="M1517" s="2" t="n">
        <v>1047</v>
      </c>
      <c r="N1517" s="2" t="n">
        <v>29</v>
      </c>
      <c r="O1517" s="2" t="n">
        <v>163</v>
      </c>
      <c r="P1517" s="2" t="n">
        <v>313</v>
      </c>
      <c r="Q1517" s="2" t="n">
        <v>89</v>
      </c>
      <c r="R1517" s="2" t="n">
        <v>9</v>
      </c>
      <c r="S1517" s="2" t="n">
        <v>21</v>
      </c>
      <c r="T1517" s="2" t="s">
        <v>79</v>
      </c>
      <c r="U1517" s="4" t="n">
        <f aca="false">(M1517+N1517+O1517+P1517)/L1517</f>
        <v>0.104042367768318</v>
      </c>
      <c r="V1517" s="2" t="str">
        <f aca="false">IF(S1517&lt;=5,"Late night (0-5)",IF(S1517&lt;=11,"Morning (6-11)",IF(S1517&lt;=17,"Afternoon (12-17)","Evening (18-23)")))</f>
        <v>Evening (18-23)</v>
      </c>
    </row>
    <row r="1518" customFormat="false" ht="15" hidden="false" customHeight="false" outlineLevel="0" collapsed="false">
      <c r="A1518" s="2" t="s">
        <v>2554</v>
      </c>
      <c r="B1518" s="2" t="s">
        <v>123</v>
      </c>
      <c r="C1518" s="2" t="s">
        <v>24</v>
      </c>
      <c r="D1518" s="3" t="n">
        <v>45847</v>
      </c>
      <c r="E1518" s="2" t="s">
        <v>627</v>
      </c>
      <c r="F1518" s="2" t="s">
        <v>26</v>
      </c>
      <c r="G1518" s="2" t="n">
        <v>41391</v>
      </c>
      <c r="H1518" s="2" t="n">
        <v>10</v>
      </c>
      <c r="I1518" s="2" t="n">
        <v>10</v>
      </c>
      <c r="J1518" s="2" t="n">
        <v>0</v>
      </c>
      <c r="K1518" s="2" t="n">
        <v>10718</v>
      </c>
      <c r="L1518" s="2" t="n">
        <v>6226</v>
      </c>
      <c r="M1518" s="2" t="n">
        <v>298</v>
      </c>
      <c r="N1518" s="2" t="n">
        <v>18</v>
      </c>
      <c r="O1518" s="2" t="n">
        <v>29</v>
      </c>
      <c r="P1518" s="2" t="n">
        <v>83</v>
      </c>
      <c r="Q1518" s="2" t="n">
        <v>186</v>
      </c>
      <c r="R1518" s="2" t="n">
        <v>55</v>
      </c>
      <c r="S1518" s="2" t="n">
        <v>23</v>
      </c>
      <c r="T1518" s="2" t="s">
        <v>66</v>
      </c>
      <c r="U1518" s="4" t="n">
        <f aca="false">(M1518+N1518+O1518+P1518)/L1518</f>
        <v>0.0687439768711854</v>
      </c>
      <c r="V1518" s="2" t="str">
        <f aca="false">IF(S1518&lt;=5,"Late night (0-5)",IF(S1518&lt;=11,"Morning (6-11)",IF(S1518&lt;=17,"Afternoon (12-17)","Evening (18-23)")))</f>
        <v>Evening (18-23)</v>
      </c>
    </row>
    <row r="1519" customFormat="false" ht="15" hidden="false" customHeight="false" outlineLevel="0" collapsed="false">
      <c r="A1519" s="2" t="s">
        <v>2555</v>
      </c>
      <c r="B1519" s="2" t="s">
        <v>154</v>
      </c>
      <c r="C1519" s="2" t="s">
        <v>41</v>
      </c>
      <c r="D1519" s="3" t="n">
        <v>45770</v>
      </c>
      <c r="E1519" s="2" t="s">
        <v>2556</v>
      </c>
      <c r="F1519" s="2" t="s">
        <v>26</v>
      </c>
      <c r="G1519" s="2" t="n">
        <v>33644</v>
      </c>
      <c r="H1519" s="2" t="n">
        <v>12</v>
      </c>
      <c r="I1519" s="2" t="n">
        <v>183</v>
      </c>
      <c r="J1519" s="2" t="n">
        <v>0</v>
      </c>
      <c r="K1519" s="2" t="n">
        <v>32869</v>
      </c>
      <c r="L1519" s="2" t="n">
        <v>22429</v>
      </c>
      <c r="M1519" s="2" t="n">
        <v>1632</v>
      </c>
      <c r="N1519" s="2" t="n">
        <v>76</v>
      </c>
      <c r="O1519" s="2" t="n">
        <v>144</v>
      </c>
      <c r="P1519" s="2" t="n">
        <v>381</v>
      </c>
      <c r="Q1519" s="2" t="n">
        <v>207</v>
      </c>
      <c r="R1519" s="2" t="n">
        <v>51</v>
      </c>
      <c r="S1519" s="2" t="n">
        <v>15</v>
      </c>
      <c r="T1519" s="2" t="s">
        <v>66</v>
      </c>
      <c r="U1519" s="4" t="n">
        <f aca="false">(M1519+N1519+O1519+P1519)/L1519</f>
        <v>0.0995586071603727</v>
      </c>
      <c r="V1519" s="2" t="str">
        <f aca="false">IF(S1519&lt;=5,"Late night (0-5)",IF(S1519&lt;=11,"Morning (6-11)",IF(S1519&lt;=17,"Afternoon (12-17)","Evening (18-23)")))</f>
        <v>Afternoon (12-17)</v>
      </c>
    </row>
    <row r="1520" customFormat="false" ht="15" hidden="false" customHeight="false" outlineLevel="0" collapsed="false">
      <c r="A1520" s="2" t="s">
        <v>2557</v>
      </c>
      <c r="B1520" s="2" t="s">
        <v>68</v>
      </c>
      <c r="C1520" s="2" t="s">
        <v>54</v>
      </c>
      <c r="D1520" s="3" t="n">
        <v>45896</v>
      </c>
      <c r="E1520" s="2" t="s">
        <v>2558</v>
      </c>
      <c r="F1520" s="2" t="s">
        <v>38</v>
      </c>
      <c r="G1520" s="2" t="n">
        <v>35922</v>
      </c>
      <c r="H1520" s="2" t="n">
        <v>2</v>
      </c>
      <c r="I1520" s="2" t="n">
        <v>316</v>
      </c>
      <c r="J1520" s="2" t="n">
        <v>0</v>
      </c>
      <c r="K1520" s="2" t="n">
        <v>17812</v>
      </c>
      <c r="L1520" s="2" t="n">
        <v>15918</v>
      </c>
      <c r="M1520" s="2" t="n">
        <v>1261</v>
      </c>
      <c r="N1520" s="2" t="n">
        <v>40</v>
      </c>
      <c r="O1520" s="2" t="n">
        <v>206</v>
      </c>
      <c r="P1520" s="2" t="n">
        <v>285</v>
      </c>
      <c r="Q1520" s="2" t="n">
        <v>465</v>
      </c>
      <c r="R1520" s="2" t="n">
        <v>135</v>
      </c>
      <c r="S1520" s="2" t="n">
        <v>4</v>
      </c>
      <c r="T1520" s="2" t="s">
        <v>66</v>
      </c>
      <c r="U1520" s="4" t="n">
        <f aca="false">(M1520+N1520+O1520+P1520)/L1520</f>
        <v>0.112576956904134</v>
      </c>
      <c r="V1520" s="2" t="str">
        <f aca="false">IF(S1520&lt;=5,"Late night (0-5)",IF(S1520&lt;=11,"Morning (6-11)",IF(S1520&lt;=17,"Afternoon (12-17)","Evening (18-23)")))</f>
        <v>Late night (0-5)</v>
      </c>
    </row>
    <row r="1521" customFormat="false" ht="15" hidden="false" customHeight="false" outlineLevel="0" collapsed="false">
      <c r="A1521" s="2" t="s">
        <v>2559</v>
      </c>
      <c r="B1521" s="2" t="s">
        <v>83</v>
      </c>
      <c r="C1521" s="2" t="s">
        <v>84</v>
      </c>
      <c r="D1521" s="3" t="n">
        <v>46008</v>
      </c>
      <c r="E1521" s="2" t="s">
        <v>1140</v>
      </c>
      <c r="F1521" s="2" t="s">
        <v>32</v>
      </c>
      <c r="G1521" s="2" t="n">
        <v>17918</v>
      </c>
      <c r="H1521" s="2" t="n">
        <v>9</v>
      </c>
      <c r="I1521" s="2" t="n">
        <v>182</v>
      </c>
      <c r="J1521" s="2" t="n">
        <v>0</v>
      </c>
      <c r="K1521" s="2" t="n">
        <v>14604</v>
      </c>
      <c r="L1521" s="2" t="n">
        <v>10280</v>
      </c>
      <c r="M1521" s="2" t="n">
        <v>652</v>
      </c>
      <c r="N1521" s="2" t="n">
        <v>32</v>
      </c>
      <c r="O1521" s="2" t="n">
        <v>121</v>
      </c>
      <c r="P1521" s="2" t="n">
        <v>35</v>
      </c>
      <c r="Q1521" s="2" t="n">
        <v>267</v>
      </c>
      <c r="R1521" s="2" t="n">
        <v>78</v>
      </c>
      <c r="S1521" s="2" t="n">
        <v>12</v>
      </c>
      <c r="T1521" s="2" t="s">
        <v>66</v>
      </c>
      <c r="U1521" s="4" t="n">
        <f aca="false">(M1521+N1521+O1521+P1521)/L1521</f>
        <v>0.0817120622568093</v>
      </c>
      <c r="V1521" s="2" t="str">
        <f aca="false">IF(S1521&lt;=5,"Late night (0-5)",IF(S1521&lt;=11,"Morning (6-11)",IF(S1521&lt;=17,"Afternoon (12-17)","Evening (18-23)")))</f>
        <v>Afternoon (12-17)</v>
      </c>
    </row>
    <row r="1522" customFormat="false" ht="15" hidden="false" customHeight="false" outlineLevel="0" collapsed="false">
      <c r="A1522" s="2" t="s">
        <v>2560</v>
      </c>
      <c r="B1522" s="2" t="s">
        <v>141</v>
      </c>
      <c r="C1522" s="2" t="s">
        <v>48</v>
      </c>
      <c r="D1522" s="3" t="n">
        <v>45925</v>
      </c>
      <c r="E1522" s="2" t="s">
        <v>2561</v>
      </c>
      <c r="F1522" s="2" t="s">
        <v>50</v>
      </c>
      <c r="G1522" s="2" t="n">
        <v>16119</v>
      </c>
      <c r="H1522" s="2" t="n">
        <v>14</v>
      </c>
      <c r="I1522" s="2" t="n">
        <v>199</v>
      </c>
      <c r="J1522" s="2" t="n">
        <v>1</v>
      </c>
      <c r="K1522" s="2" t="n">
        <v>18998</v>
      </c>
      <c r="L1522" s="2" t="n">
        <v>14815</v>
      </c>
      <c r="M1522" s="2" t="n">
        <v>1266</v>
      </c>
      <c r="N1522" s="2" t="n">
        <v>65</v>
      </c>
      <c r="O1522" s="2" t="n">
        <v>57</v>
      </c>
      <c r="P1522" s="2" t="n">
        <v>139</v>
      </c>
      <c r="Q1522" s="2" t="n">
        <v>409</v>
      </c>
      <c r="R1522" s="2" t="n">
        <v>121</v>
      </c>
      <c r="S1522" s="2" t="n">
        <v>7</v>
      </c>
      <c r="T1522" s="2" t="s">
        <v>79</v>
      </c>
      <c r="U1522" s="4" t="n">
        <f aca="false">(M1522+N1522+O1522+P1522)/L1522</f>
        <v>0.103071211609855</v>
      </c>
      <c r="V1522" s="2" t="str">
        <f aca="false">IF(S1522&lt;=5,"Late night (0-5)",IF(S1522&lt;=11,"Morning (6-11)",IF(S1522&lt;=17,"Afternoon (12-17)","Evening (18-23)")))</f>
        <v>Morning (6-11)</v>
      </c>
    </row>
    <row r="1523" customFormat="false" ht="15" hidden="false" customHeight="false" outlineLevel="0" collapsed="false">
      <c r="A1523" s="2" t="s">
        <v>2562</v>
      </c>
      <c r="B1523" s="2" t="s">
        <v>220</v>
      </c>
      <c r="C1523" s="2" t="s">
        <v>48</v>
      </c>
      <c r="D1523" s="3" t="n">
        <v>45832</v>
      </c>
      <c r="E1523" s="2" t="s">
        <v>1385</v>
      </c>
      <c r="F1523" s="2" t="s">
        <v>38</v>
      </c>
      <c r="G1523" s="2" t="n">
        <v>18917</v>
      </c>
      <c r="H1523" s="2" t="n">
        <v>12</v>
      </c>
      <c r="I1523" s="2" t="n">
        <v>165</v>
      </c>
      <c r="J1523" s="2" t="n">
        <v>0</v>
      </c>
      <c r="K1523" s="2" t="n">
        <v>11651</v>
      </c>
      <c r="L1523" s="2" t="n">
        <v>6634</v>
      </c>
      <c r="M1523" s="2" t="n">
        <v>267</v>
      </c>
      <c r="N1523" s="2" t="n">
        <v>17</v>
      </c>
      <c r="O1523" s="2" t="n">
        <v>21</v>
      </c>
      <c r="P1523" s="2" t="n">
        <v>34</v>
      </c>
      <c r="Q1523" s="2" t="n">
        <v>101</v>
      </c>
      <c r="R1523" s="2" t="n">
        <v>26</v>
      </c>
      <c r="S1523" s="2" t="n">
        <v>23</v>
      </c>
      <c r="T1523" s="2" t="s">
        <v>51</v>
      </c>
      <c r="U1523" s="4" t="n">
        <f aca="false">(M1523+N1523+O1523+P1523)/L1523</f>
        <v>0.05110039192041</v>
      </c>
      <c r="V1523" s="2" t="str">
        <f aca="false">IF(S1523&lt;=5,"Late night (0-5)",IF(S1523&lt;=11,"Morning (6-11)",IF(S1523&lt;=17,"Afternoon (12-17)","Evening (18-23)")))</f>
        <v>Evening (18-23)</v>
      </c>
    </row>
    <row r="1524" customFormat="false" ht="15" hidden="false" customHeight="false" outlineLevel="0" collapsed="false">
      <c r="A1524" s="2" t="s">
        <v>2563</v>
      </c>
      <c r="B1524" s="2" t="s">
        <v>126</v>
      </c>
      <c r="C1524" s="2" t="s">
        <v>36</v>
      </c>
      <c r="D1524" s="3" t="n">
        <v>45692</v>
      </c>
      <c r="E1524" s="2" t="s">
        <v>879</v>
      </c>
      <c r="F1524" s="2" t="s">
        <v>26</v>
      </c>
      <c r="G1524" s="2" t="n">
        <v>28784</v>
      </c>
      <c r="H1524" s="2" t="n">
        <v>20</v>
      </c>
      <c r="I1524" s="2" t="n">
        <v>143</v>
      </c>
      <c r="J1524" s="2" t="n">
        <v>0</v>
      </c>
      <c r="K1524" s="2" t="n">
        <v>16537</v>
      </c>
      <c r="L1524" s="2" t="n">
        <v>9403</v>
      </c>
      <c r="M1524" s="2" t="n">
        <v>727</v>
      </c>
      <c r="N1524" s="2" t="n">
        <v>15</v>
      </c>
      <c r="O1524" s="2" t="n">
        <v>122</v>
      </c>
      <c r="P1524" s="2" t="n">
        <v>247</v>
      </c>
      <c r="Q1524" s="2" t="n">
        <v>168</v>
      </c>
      <c r="R1524" s="2" t="n">
        <v>29</v>
      </c>
      <c r="S1524" s="2" t="n">
        <v>2</v>
      </c>
      <c r="T1524" s="2" t="s">
        <v>51</v>
      </c>
      <c r="U1524" s="4" t="n">
        <f aca="false">(M1524+N1524+O1524+P1524)/L1524</f>
        <v>0.118153780708285</v>
      </c>
      <c r="V1524" s="2" t="str">
        <f aca="false">IF(S1524&lt;=5,"Late night (0-5)",IF(S1524&lt;=11,"Morning (6-11)",IF(S1524&lt;=17,"Afternoon (12-17)","Evening (18-23)")))</f>
        <v>Late night (0-5)</v>
      </c>
    </row>
    <row r="1525" customFormat="false" ht="15" hidden="false" customHeight="false" outlineLevel="0" collapsed="false">
      <c r="A1525" s="2" t="s">
        <v>2564</v>
      </c>
      <c r="B1525" s="2" t="s">
        <v>123</v>
      </c>
      <c r="C1525" s="2" t="s">
        <v>24</v>
      </c>
      <c r="D1525" s="3" t="n">
        <v>45997</v>
      </c>
      <c r="E1525" s="2" t="s">
        <v>1769</v>
      </c>
      <c r="F1525" s="2" t="s">
        <v>26</v>
      </c>
      <c r="G1525" s="2" t="n">
        <v>41391</v>
      </c>
      <c r="H1525" s="2" t="n">
        <v>18</v>
      </c>
      <c r="I1525" s="2" t="n">
        <v>168</v>
      </c>
      <c r="J1525" s="2" t="n">
        <v>0</v>
      </c>
      <c r="K1525" s="2" t="n">
        <v>89637</v>
      </c>
      <c r="L1525" s="2" t="n">
        <v>70605</v>
      </c>
      <c r="M1525" s="2" t="n">
        <v>5683</v>
      </c>
      <c r="N1525" s="2" t="n">
        <v>366</v>
      </c>
      <c r="O1525" s="2" t="n">
        <v>762</v>
      </c>
      <c r="P1525" s="2" t="n">
        <v>475</v>
      </c>
      <c r="Q1525" s="2" t="n">
        <v>577</v>
      </c>
      <c r="R1525" s="2" t="n">
        <v>100</v>
      </c>
      <c r="S1525" s="2" t="n">
        <v>21</v>
      </c>
      <c r="T1525" s="2" t="s">
        <v>62</v>
      </c>
      <c r="U1525" s="4" t="n">
        <f aca="false">(M1525+N1525+O1525+P1525)/L1525</f>
        <v>0.103193824799943</v>
      </c>
      <c r="V1525" s="2" t="str">
        <f aca="false">IF(S1525&lt;=5,"Late night (0-5)",IF(S1525&lt;=11,"Morning (6-11)",IF(S1525&lt;=17,"Afternoon (12-17)","Evening (18-23)")))</f>
        <v>Evening (18-23)</v>
      </c>
    </row>
    <row r="1526" customFormat="false" ht="15" hidden="false" customHeight="false" outlineLevel="0" collapsed="false">
      <c r="A1526" s="2" t="s">
        <v>2565</v>
      </c>
      <c r="B1526" s="2" t="s">
        <v>60</v>
      </c>
      <c r="C1526" s="2" t="s">
        <v>41</v>
      </c>
      <c r="D1526" s="3" t="n">
        <v>45925</v>
      </c>
      <c r="E1526" s="2" t="s">
        <v>2566</v>
      </c>
      <c r="F1526" s="2" t="s">
        <v>32</v>
      </c>
      <c r="G1526" s="2" t="n">
        <v>7512</v>
      </c>
      <c r="H1526" s="2" t="n">
        <v>11</v>
      </c>
      <c r="I1526" s="2" t="n">
        <v>127</v>
      </c>
      <c r="J1526" s="2" t="n">
        <v>1</v>
      </c>
      <c r="K1526" s="2" t="n">
        <v>10910</v>
      </c>
      <c r="L1526" s="2" t="n">
        <v>6604</v>
      </c>
      <c r="M1526" s="2" t="n">
        <v>679</v>
      </c>
      <c r="N1526" s="2" t="n">
        <v>32</v>
      </c>
      <c r="O1526" s="2" t="n">
        <v>167</v>
      </c>
      <c r="P1526" s="2" t="n">
        <v>88</v>
      </c>
      <c r="Q1526" s="2" t="n">
        <v>149</v>
      </c>
      <c r="R1526" s="2" t="n">
        <v>28</v>
      </c>
      <c r="S1526" s="2" t="n">
        <v>13</v>
      </c>
      <c r="T1526" s="2" t="s">
        <v>79</v>
      </c>
      <c r="U1526" s="4" t="n">
        <f aca="false">(M1526+N1526+O1526+P1526)/L1526</f>
        <v>0.146274984857662</v>
      </c>
      <c r="V1526" s="2" t="str">
        <f aca="false">IF(S1526&lt;=5,"Late night (0-5)",IF(S1526&lt;=11,"Morning (6-11)",IF(S1526&lt;=17,"Afternoon (12-17)","Evening (18-23)")))</f>
        <v>Afternoon (12-17)</v>
      </c>
    </row>
    <row r="1527" customFormat="false" ht="15" hidden="false" customHeight="false" outlineLevel="0" collapsed="false">
      <c r="A1527" s="2" t="s">
        <v>2567</v>
      </c>
      <c r="B1527" s="2" t="s">
        <v>74</v>
      </c>
      <c r="C1527" s="2" t="s">
        <v>30</v>
      </c>
      <c r="D1527" s="3" t="n">
        <v>45895</v>
      </c>
      <c r="E1527" s="2" t="s">
        <v>2558</v>
      </c>
      <c r="F1527" s="2" t="s">
        <v>26</v>
      </c>
      <c r="G1527" s="2" t="n">
        <v>20432</v>
      </c>
      <c r="H1527" s="2" t="n">
        <v>13</v>
      </c>
      <c r="I1527" s="2" t="n">
        <v>271</v>
      </c>
      <c r="J1527" s="2" t="n">
        <v>1</v>
      </c>
      <c r="K1527" s="2" t="n">
        <v>10798</v>
      </c>
      <c r="L1527" s="2" t="n">
        <v>7700</v>
      </c>
      <c r="M1527" s="2" t="n">
        <v>586</v>
      </c>
      <c r="N1527" s="2" t="n">
        <v>37</v>
      </c>
      <c r="O1527" s="2" t="n">
        <v>20</v>
      </c>
      <c r="P1527" s="2" t="n">
        <v>157</v>
      </c>
      <c r="Q1527" s="2" t="n">
        <v>68</v>
      </c>
      <c r="R1527" s="2" t="n">
        <v>19</v>
      </c>
      <c r="S1527" s="2" t="n">
        <v>4</v>
      </c>
      <c r="T1527" s="2" t="s">
        <v>51</v>
      </c>
      <c r="U1527" s="4" t="n">
        <f aca="false">(M1527+N1527+O1527+P1527)/L1527</f>
        <v>0.103896103896104</v>
      </c>
      <c r="V1527" s="2" t="str">
        <f aca="false">IF(S1527&lt;=5,"Late night (0-5)",IF(S1527&lt;=11,"Morning (6-11)",IF(S1527&lt;=17,"Afternoon (12-17)","Evening (18-23)")))</f>
        <v>Late night (0-5)</v>
      </c>
    </row>
    <row r="1528" customFormat="false" ht="15" hidden="false" customHeight="false" outlineLevel="0" collapsed="false">
      <c r="A1528" s="2" t="s">
        <v>2568</v>
      </c>
      <c r="B1528" s="2" t="s">
        <v>126</v>
      </c>
      <c r="C1528" s="2" t="s">
        <v>36</v>
      </c>
      <c r="D1528" s="3" t="n">
        <v>45829</v>
      </c>
      <c r="E1528" s="2" t="s">
        <v>1289</v>
      </c>
      <c r="F1528" s="2" t="s">
        <v>32</v>
      </c>
      <c r="G1528" s="2" t="n">
        <v>28784</v>
      </c>
      <c r="H1528" s="2" t="n">
        <v>11</v>
      </c>
      <c r="I1528" s="2" t="n">
        <v>310</v>
      </c>
      <c r="J1528" s="2" t="n">
        <v>0</v>
      </c>
      <c r="K1528" s="2" t="n">
        <v>31213</v>
      </c>
      <c r="L1528" s="2" t="n">
        <v>19575</v>
      </c>
      <c r="M1528" s="2" t="n">
        <v>1407</v>
      </c>
      <c r="N1528" s="2" t="n">
        <v>108</v>
      </c>
      <c r="O1528" s="2" t="n">
        <v>319</v>
      </c>
      <c r="P1528" s="2" t="n">
        <v>279</v>
      </c>
      <c r="Q1528" s="2" t="n">
        <v>200</v>
      </c>
      <c r="R1528" s="2" t="n">
        <v>22</v>
      </c>
      <c r="S1528" s="2" t="n">
        <v>11</v>
      </c>
      <c r="T1528" s="2" t="s">
        <v>62</v>
      </c>
      <c r="U1528" s="4" t="n">
        <f aca="false">(M1528+N1528+O1528+P1528)/L1528</f>
        <v>0.10794380587484</v>
      </c>
      <c r="V1528" s="2" t="str">
        <f aca="false">IF(S1528&lt;=5,"Late night (0-5)",IF(S1528&lt;=11,"Morning (6-11)",IF(S1528&lt;=17,"Afternoon (12-17)","Evening (18-23)")))</f>
        <v>Morning (6-11)</v>
      </c>
    </row>
    <row r="1529" customFormat="false" ht="15" hidden="false" customHeight="false" outlineLevel="0" collapsed="false">
      <c r="A1529" s="2" t="s">
        <v>2569</v>
      </c>
      <c r="B1529" s="2" t="s">
        <v>181</v>
      </c>
      <c r="C1529" s="2" t="s">
        <v>91</v>
      </c>
      <c r="D1529" s="3" t="n">
        <v>45732</v>
      </c>
      <c r="E1529" s="2" t="s">
        <v>379</v>
      </c>
      <c r="F1529" s="2" t="s">
        <v>32</v>
      </c>
      <c r="G1529" s="2" t="n">
        <v>31658</v>
      </c>
      <c r="H1529" s="2" t="n">
        <v>17</v>
      </c>
      <c r="I1529" s="2" t="n">
        <v>10</v>
      </c>
      <c r="J1529" s="2" t="n">
        <v>0</v>
      </c>
      <c r="K1529" s="2" t="n">
        <v>40676</v>
      </c>
      <c r="L1529" s="2" t="n">
        <v>27917</v>
      </c>
      <c r="M1529" s="2" t="n">
        <v>1986</v>
      </c>
      <c r="N1529" s="2" t="n">
        <v>132</v>
      </c>
      <c r="O1529" s="2" t="n">
        <v>253</v>
      </c>
      <c r="P1529" s="2" t="n">
        <v>146</v>
      </c>
      <c r="Q1529" s="2" t="n">
        <v>612</v>
      </c>
      <c r="R1529" s="2" t="n">
        <v>80</v>
      </c>
      <c r="S1529" s="2" t="n">
        <v>14</v>
      </c>
      <c r="T1529" s="2" t="s">
        <v>27</v>
      </c>
      <c r="U1529" s="4" t="n">
        <f aca="false">(M1529+N1529+O1529+P1529)/L1529</f>
        <v>0.0901601174911344</v>
      </c>
      <c r="V1529" s="2" t="str">
        <f aca="false">IF(S1529&lt;=5,"Late night (0-5)",IF(S1529&lt;=11,"Morning (6-11)",IF(S1529&lt;=17,"Afternoon (12-17)","Evening (18-23)")))</f>
        <v>Afternoon (12-17)</v>
      </c>
    </row>
    <row r="1530" customFormat="false" ht="15" hidden="false" customHeight="false" outlineLevel="0" collapsed="false">
      <c r="A1530" s="2" t="s">
        <v>2570</v>
      </c>
      <c r="B1530" s="2" t="s">
        <v>164</v>
      </c>
      <c r="C1530" s="2" t="s">
        <v>36</v>
      </c>
      <c r="D1530" s="3" t="n">
        <v>45852</v>
      </c>
      <c r="E1530" s="2" t="s">
        <v>2571</v>
      </c>
      <c r="F1530" s="2" t="s">
        <v>32</v>
      </c>
      <c r="G1530" s="2" t="n">
        <v>44230</v>
      </c>
      <c r="H1530" s="2" t="n">
        <v>13</v>
      </c>
      <c r="I1530" s="2" t="n">
        <v>289</v>
      </c>
      <c r="J1530" s="2" t="n">
        <v>0</v>
      </c>
      <c r="K1530" s="2" t="n">
        <v>68451</v>
      </c>
      <c r="L1530" s="2" t="n">
        <v>57028</v>
      </c>
      <c r="M1530" s="2" t="n">
        <v>3236</v>
      </c>
      <c r="N1530" s="2" t="n">
        <v>102</v>
      </c>
      <c r="O1530" s="2" t="n">
        <v>167</v>
      </c>
      <c r="P1530" s="2" t="n">
        <v>609</v>
      </c>
      <c r="Q1530" s="2" t="n">
        <v>1283</v>
      </c>
      <c r="R1530" s="2" t="n">
        <v>271</v>
      </c>
      <c r="S1530" s="2" t="n">
        <v>14</v>
      </c>
      <c r="T1530" s="2" t="s">
        <v>33</v>
      </c>
      <c r="U1530" s="4" t="n">
        <f aca="false">(M1530+N1530+O1530+P1530)/L1530</f>
        <v>0.0721400014028197</v>
      </c>
      <c r="V1530" s="2" t="str">
        <f aca="false">IF(S1530&lt;=5,"Late night (0-5)",IF(S1530&lt;=11,"Morning (6-11)",IF(S1530&lt;=17,"Afternoon (12-17)","Evening (18-23)")))</f>
        <v>Afternoon (12-17)</v>
      </c>
    </row>
    <row r="1531" customFormat="false" ht="15" hidden="false" customHeight="false" outlineLevel="0" collapsed="false">
      <c r="A1531" s="2" t="s">
        <v>2572</v>
      </c>
      <c r="B1531" s="2" t="s">
        <v>345</v>
      </c>
      <c r="C1531" s="2" t="s">
        <v>30</v>
      </c>
      <c r="D1531" s="3" t="n">
        <v>45968</v>
      </c>
      <c r="E1531" s="2" t="s">
        <v>1476</v>
      </c>
      <c r="F1531" s="2" t="s">
        <v>32</v>
      </c>
      <c r="G1531" s="2" t="n">
        <v>8662</v>
      </c>
      <c r="H1531" s="2" t="n">
        <v>10</v>
      </c>
      <c r="I1531" s="2" t="n">
        <v>152</v>
      </c>
      <c r="J1531" s="2" t="n">
        <v>0</v>
      </c>
      <c r="K1531" s="2" t="n">
        <v>21565</v>
      </c>
      <c r="L1531" s="2" t="n">
        <v>19117</v>
      </c>
      <c r="M1531" s="2" t="n">
        <v>1126</v>
      </c>
      <c r="N1531" s="2" t="n">
        <v>68</v>
      </c>
      <c r="O1531" s="2" t="n">
        <v>116</v>
      </c>
      <c r="P1531" s="2" t="n">
        <v>183</v>
      </c>
      <c r="Q1531" s="2" t="n">
        <v>540</v>
      </c>
      <c r="R1531" s="2" t="n">
        <v>138</v>
      </c>
      <c r="S1531" s="2" t="n">
        <v>22</v>
      </c>
      <c r="T1531" s="2" t="s">
        <v>96</v>
      </c>
      <c r="U1531" s="4" t="n">
        <f aca="false">(M1531+N1531+O1531+P1531)/L1531</f>
        <v>0.0780980279332531</v>
      </c>
      <c r="V1531" s="2" t="str">
        <f aca="false">IF(S1531&lt;=5,"Late night (0-5)",IF(S1531&lt;=11,"Morning (6-11)",IF(S1531&lt;=17,"Afternoon (12-17)","Evening (18-23)")))</f>
        <v>Evening (18-23)</v>
      </c>
    </row>
    <row r="1532" customFormat="false" ht="15" hidden="false" customHeight="false" outlineLevel="0" collapsed="false">
      <c r="A1532" s="2" t="s">
        <v>2573</v>
      </c>
      <c r="B1532" s="2" t="s">
        <v>35</v>
      </c>
      <c r="C1532" s="2" t="s">
        <v>36</v>
      </c>
      <c r="D1532" s="3" t="n">
        <v>45845</v>
      </c>
      <c r="E1532" s="2" t="s">
        <v>152</v>
      </c>
      <c r="F1532" s="2" t="s">
        <v>32</v>
      </c>
      <c r="G1532" s="2" t="n">
        <v>33933</v>
      </c>
      <c r="H1532" s="2" t="n">
        <v>9</v>
      </c>
      <c r="I1532" s="2" t="n">
        <v>146</v>
      </c>
      <c r="J1532" s="2" t="n">
        <v>1</v>
      </c>
      <c r="K1532" s="2" t="n">
        <v>10091</v>
      </c>
      <c r="L1532" s="2" t="n">
        <v>8338</v>
      </c>
      <c r="M1532" s="2" t="n">
        <v>611</v>
      </c>
      <c r="N1532" s="2" t="n">
        <v>46</v>
      </c>
      <c r="O1532" s="2" t="n">
        <v>58</v>
      </c>
      <c r="P1532" s="2" t="n">
        <v>200</v>
      </c>
      <c r="Q1532" s="2" t="n">
        <v>213</v>
      </c>
      <c r="R1532" s="2" t="n">
        <v>35</v>
      </c>
      <c r="S1532" s="2" t="n">
        <v>3</v>
      </c>
      <c r="T1532" s="2" t="s">
        <v>33</v>
      </c>
      <c r="U1532" s="4" t="n">
        <f aca="false">(M1532+N1532+O1532+P1532)/L1532</f>
        <v>0.109738546414008</v>
      </c>
      <c r="V1532" s="2" t="str">
        <f aca="false">IF(S1532&lt;=5,"Late night (0-5)",IF(S1532&lt;=11,"Morning (6-11)",IF(S1532&lt;=17,"Afternoon (12-17)","Evening (18-23)")))</f>
        <v>Late night (0-5)</v>
      </c>
    </row>
    <row r="1533" customFormat="false" ht="15" hidden="false" customHeight="false" outlineLevel="0" collapsed="false">
      <c r="A1533" s="2" t="s">
        <v>2574</v>
      </c>
      <c r="B1533" s="2" t="s">
        <v>114</v>
      </c>
      <c r="C1533" s="2" t="s">
        <v>84</v>
      </c>
      <c r="D1533" s="3" t="n">
        <v>45696</v>
      </c>
      <c r="E1533" s="2" t="s">
        <v>2575</v>
      </c>
      <c r="F1533" s="2" t="s">
        <v>32</v>
      </c>
      <c r="G1533" s="2" t="n">
        <v>64307</v>
      </c>
      <c r="H1533" s="2" t="n">
        <v>14</v>
      </c>
      <c r="I1533" s="2" t="n">
        <v>127</v>
      </c>
      <c r="J1533" s="2" t="n">
        <v>1</v>
      </c>
      <c r="K1533" s="2" t="n">
        <v>133109</v>
      </c>
      <c r="L1533" s="2" t="n">
        <v>98024</v>
      </c>
      <c r="M1533" s="2" t="n">
        <v>3879</v>
      </c>
      <c r="N1533" s="2" t="n">
        <v>153</v>
      </c>
      <c r="O1533" s="2" t="n">
        <v>1034</v>
      </c>
      <c r="P1533" s="2" t="n">
        <v>1083</v>
      </c>
      <c r="Q1533" s="2" t="n">
        <v>1691</v>
      </c>
      <c r="R1533" s="2" t="n">
        <v>488</v>
      </c>
      <c r="S1533" s="2" t="n">
        <v>10</v>
      </c>
      <c r="T1533" s="2" t="s">
        <v>62</v>
      </c>
      <c r="U1533" s="4" t="n">
        <f aca="false">(M1533+N1533+O1533+P1533)/L1533</f>
        <v>0.0627295356239288</v>
      </c>
      <c r="V1533" s="2" t="str">
        <f aca="false">IF(S1533&lt;=5,"Late night (0-5)",IF(S1533&lt;=11,"Morning (6-11)",IF(S1533&lt;=17,"Afternoon (12-17)","Evening (18-23)")))</f>
        <v>Morning (6-11)</v>
      </c>
    </row>
    <row r="1534" customFormat="false" ht="15" hidden="false" customHeight="false" outlineLevel="0" collapsed="false">
      <c r="A1534" s="2" t="s">
        <v>2576</v>
      </c>
      <c r="B1534" s="2" t="s">
        <v>106</v>
      </c>
      <c r="C1534" s="2" t="s">
        <v>91</v>
      </c>
      <c r="D1534" s="3" t="n">
        <v>45706</v>
      </c>
      <c r="E1534" s="2" t="s">
        <v>2290</v>
      </c>
      <c r="F1534" s="2" t="s">
        <v>50</v>
      </c>
      <c r="G1534" s="2" t="n">
        <v>59477</v>
      </c>
      <c r="H1534" s="2" t="n">
        <v>7</v>
      </c>
      <c r="I1534" s="2" t="n">
        <v>162</v>
      </c>
      <c r="J1534" s="2" t="n">
        <v>0</v>
      </c>
      <c r="K1534" s="2" t="n">
        <v>45421</v>
      </c>
      <c r="L1534" s="2" t="n">
        <v>32697</v>
      </c>
      <c r="M1534" s="2" t="n">
        <v>2212</v>
      </c>
      <c r="N1534" s="2" t="n">
        <v>77</v>
      </c>
      <c r="O1534" s="2" t="n">
        <v>277</v>
      </c>
      <c r="P1534" s="2" t="n">
        <v>224</v>
      </c>
      <c r="Q1534" s="2" t="n">
        <v>913</v>
      </c>
      <c r="R1534" s="2" t="n">
        <v>161</v>
      </c>
      <c r="S1534" s="2" t="n">
        <v>22</v>
      </c>
      <c r="T1534" s="2" t="s">
        <v>51</v>
      </c>
      <c r="U1534" s="4" t="n">
        <f aca="false">(M1534+N1534+O1534+P1534)/L1534</f>
        <v>0.0853289292595651</v>
      </c>
      <c r="V1534" s="2" t="str">
        <f aca="false">IF(S1534&lt;=5,"Late night (0-5)",IF(S1534&lt;=11,"Morning (6-11)",IF(S1534&lt;=17,"Afternoon (12-17)","Evening (18-23)")))</f>
        <v>Evening (18-23)</v>
      </c>
    </row>
    <row r="1535" customFormat="false" ht="15" hidden="false" customHeight="false" outlineLevel="0" collapsed="false">
      <c r="A1535" s="2" t="s">
        <v>2577</v>
      </c>
      <c r="B1535" s="2" t="s">
        <v>132</v>
      </c>
      <c r="C1535" s="2" t="s">
        <v>36</v>
      </c>
      <c r="D1535" s="3" t="n">
        <v>45927</v>
      </c>
      <c r="E1535" s="2" t="s">
        <v>2578</v>
      </c>
      <c r="F1535" s="2" t="s">
        <v>32</v>
      </c>
      <c r="G1535" s="2" t="n">
        <v>83053</v>
      </c>
      <c r="H1535" s="2" t="n">
        <v>16</v>
      </c>
      <c r="I1535" s="2" t="n">
        <v>10</v>
      </c>
      <c r="J1535" s="2" t="n">
        <v>0</v>
      </c>
      <c r="K1535" s="2" t="n">
        <v>278879</v>
      </c>
      <c r="L1535" s="2" t="n">
        <v>171538</v>
      </c>
      <c r="M1535" s="2" t="n">
        <v>8522</v>
      </c>
      <c r="N1535" s="2" t="n">
        <v>201</v>
      </c>
      <c r="O1535" s="2" t="n">
        <v>1358</v>
      </c>
      <c r="P1535" s="2" t="n">
        <v>857</v>
      </c>
      <c r="Q1535" s="2" t="n">
        <v>3856</v>
      </c>
      <c r="R1535" s="2" t="n">
        <v>536</v>
      </c>
      <c r="S1535" s="2" t="n">
        <v>17</v>
      </c>
      <c r="T1535" s="2" t="s">
        <v>62</v>
      </c>
      <c r="U1535" s="4" t="n">
        <f aca="false">(M1535+N1535+O1535+P1535)/L1535</f>
        <v>0.0637642971236694</v>
      </c>
      <c r="V1535" s="2" t="str">
        <f aca="false">IF(S1535&lt;=5,"Late night (0-5)",IF(S1535&lt;=11,"Morning (6-11)",IF(S1535&lt;=17,"Afternoon (12-17)","Evening (18-23)")))</f>
        <v>Afternoon (12-17)</v>
      </c>
    </row>
    <row r="1536" customFormat="false" ht="15" hidden="false" customHeight="false" outlineLevel="0" collapsed="false">
      <c r="A1536" s="2" t="s">
        <v>2579</v>
      </c>
      <c r="B1536" s="2" t="s">
        <v>264</v>
      </c>
      <c r="C1536" s="2" t="s">
        <v>36</v>
      </c>
      <c r="D1536" s="3" t="n">
        <v>45977</v>
      </c>
      <c r="E1536" s="2" t="s">
        <v>165</v>
      </c>
      <c r="F1536" s="2" t="s">
        <v>38</v>
      </c>
      <c r="G1536" s="2" t="n">
        <v>22362</v>
      </c>
      <c r="H1536" s="2" t="n">
        <v>3</v>
      </c>
      <c r="I1536" s="2" t="n">
        <v>249</v>
      </c>
      <c r="J1536" s="2" t="n">
        <v>0</v>
      </c>
      <c r="K1536" s="2" t="n">
        <v>7447</v>
      </c>
      <c r="L1536" s="2" t="n">
        <v>6244</v>
      </c>
      <c r="M1536" s="2" t="n">
        <v>230</v>
      </c>
      <c r="N1536" s="2" t="n">
        <v>15</v>
      </c>
      <c r="O1536" s="2" t="n">
        <v>31</v>
      </c>
      <c r="P1536" s="2" t="n">
        <v>41</v>
      </c>
      <c r="Q1536" s="2" t="n">
        <v>172</v>
      </c>
      <c r="R1536" s="2" t="n">
        <v>36</v>
      </c>
      <c r="S1536" s="2" t="n">
        <v>9</v>
      </c>
      <c r="T1536" s="2" t="s">
        <v>27</v>
      </c>
      <c r="U1536" s="4" t="n">
        <f aca="false">(M1536+N1536+O1536+P1536)/L1536</f>
        <v>0.0507687379884689</v>
      </c>
      <c r="V1536" s="2" t="str">
        <f aca="false">IF(S1536&lt;=5,"Late night (0-5)",IF(S1536&lt;=11,"Morning (6-11)",IF(S1536&lt;=17,"Afternoon (12-17)","Evening (18-23)")))</f>
        <v>Morning (6-11)</v>
      </c>
    </row>
    <row r="1537" customFormat="false" ht="15" hidden="false" customHeight="false" outlineLevel="0" collapsed="false">
      <c r="A1537" s="2" t="s">
        <v>2580</v>
      </c>
      <c r="B1537" s="2" t="s">
        <v>53</v>
      </c>
      <c r="C1537" s="2" t="s">
        <v>54</v>
      </c>
      <c r="D1537" s="3" t="n">
        <v>45779</v>
      </c>
      <c r="E1537" s="2" t="s">
        <v>1285</v>
      </c>
      <c r="F1537" s="2" t="s">
        <v>32</v>
      </c>
      <c r="G1537" s="2" t="n">
        <v>11318</v>
      </c>
      <c r="H1537" s="2" t="n">
        <v>2</v>
      </c>
      <c r="I1537" s="2" t="n">
        <v>236</v>
      </c>
      <c r="J1537" s="2" t="n">
        <v>1</v>
      </c>
      <c r="K1537" s="2" t="n">
        <v>11935</v>
      </c>
      <c r="L1537" s="2" t="n">
        <v>10769</v>
      </c>
      <c r="M1537" s="2" t="n">
        <v>596</v>
      </c>
      <c r="N1537" s="2" t="n">
        <v>30</v>
      </c>
      <c r="O1537" s="2" t="n">
        <v>99</v>
      </c>
      <c r="P1537" s="2" t="n">
        <v>169</v>
      </c>
      <c r="Q1537" s="2" t="n">
        <v>280</v>
      </c>
      <c r="R1537" s="2" t="n">
        <v>66</v>
      </c>
      <c r="S1537" s="2" t="n">
        <v>6</v>
      </c>
      <c r="T1537" s="2" t="s">
        <v>96</v>
      </c>
      <c r="U1537" s="4" t="n">
        <f aca="false">(M1537+N1537+O1537+P1537)/L1537</f>
        <v>0.0830160646299564</v>
      </c>
      <c r="V1537" s="2" t="str">
        <f aca="false">IF(S1537&lt;=5,"Late night (0-5)",IF(S1537&lt;=11,"Morning (6-11)",IF(S1537&lt;=17,"Afternoon (12-17)","Evening (18-23)")))</f>
        <v>Morning (6-11)</v>
      </c>
    </row>
    <row r="1538" customFormat="false" ht="15" hidden="false" customHeight="false" outlineLevel="0" collapsed="false">
      <c r="A1538" s="2" t="s">
        <v>2581</v>
      </c>
      <c r="B1538" s="2" t="s">
        <v>247</v>
      </c>
      <c r="C1538" s="2" t="s">
        <v>24</v>
      </c>
      <c r="D1538" s="3" t="n">
        <v>46007</v>
      </c>
      <c r="E1538" s="2" t="s">
        <v>2481</v>
      </c>
      <c r="F1538" s="2" t="s">
        <v>26</v>
      </c>
      <c r="G1538" s="2" t="n">
        <v>70847</v>
      </c>
      <c r="H1538" s="2" t="n">
        <v>19</v>
      </c>
      <c r="I1538" s="2" t="n">
        <v>128</v>
      </c>
      <c r="J1538" s="2" t="n">
        <v>1</v>
      </c>
      <c r="K1538" s="2" t="n">
        <v>54110</v>
      </c>
      <c r="L1538" s="2" t="n">
        <v>30570</v>
      </c>
      <c r="M1538" s="2" t="n">
        <v>1698</v>
      </c>
      <c r="N1538" s="2" t="n">
        <v>69</v>
      </c>
      <c r="O1538" s="2" t="n">
        <v>153</v>
      </c>
      <c r="P1538" s="2" t="n">
        <v>344</v>
      </c>
      <c r="Q1538" s="2" t="n">
        <v>875</v>
      </c>
      <c r="R1538" s="2" t="n">
        <v>57</v>
      </c>
      <c r="S1538" s="2" t="n">
        <v>23</v>
      </c>
      <c r="T1538" s="2" t="s">
        <v>51</v>
      </c>
      <c r="U1538" s="4" t="n">
        <f aca="false">(M1538+N1538+O1538+P1538)/L1538</f>
        <v>0.0740595354923127</v>
      </c>
      <c r="V1538" s="2" t="str">
        <f aca="false">IF(S1538&lt;=5,"Late night (0-5)",IF(S1538&lt;=11,"Morning (6-11)",IF(S1538&lt;=17,"Afternoon (12-17)","Evening (18-23)")))</f>
        <v>Evening (18-23)</v>
      </c>
    </row>
    <row r="1539" customFormat="false" ht="15" hidden="false" customHeight="false" outlineLevel="0" collapsed="false">
      <c r="A1539" s="2" t="s">
        <v>2582</v>
      </c>
      <c r="B1539" s="2" t="s">
        <v>132</v>
      </c>
      <c r="C1539" s="2" t="s">
        <v>36</v>
      </c>
      <c r="D1539" s="3" t="n">
        <v>45781</v>
      </c>
      <c r="E1539" s="2" t="s">
        <v>2583</v>
      </c>
      <c r="F1539" s="2" t="s">
        <v>38</v>
      </c>
      <c r="G1539" s="2" t="n">
        <v>83053</v>
      </c>
      <c r="H1539" s="2" t="n">
        <v>10</v>
      </c>
      <c r="I1539" s="2" t="n">
        <v>253</v>
      </c>
      <c r="J1539" s="2" t="n">
        <v>0</v>
      </c>
      <c r="K1539" s="2" t="n">
        <v>94434</v>
      </c>
      <c r="L1539" s="2" t="n">
        <v>57514</v>
      </c>
      <c r="M1539" s="2" t="n">
        <v>2075</v>
      </c>
      <c r="N1539" s="2" t="n">
        <v>108</v>
      </c>
      <c r="O1539" s="2" t="n">
        <v>179</v>
      </c>
      <c r="P1539" s="2" t="n">
        <v>497</v>
      </c>
      <c r="Q1539" s="2" t="n">
        <v>1514</v>
      </c>
      <c r="R1539" s="2" t="n">
        <v>251</v>
      </c>
      <c r="S1539" s="2" t="n">
        <v>21</v>
      </c>
      <c r="T1539" s="2" t="s">
        <v>27</v>
      </c>
      <c r="U1539" s="4" t="n">
        <f aca="false">(M1539+N1539+O1539+P1539)/L1539</f>
        <v>0.0497096359147338</v>
      </c>
      <c r="V1539" s="2" t="str">
        <f aca="false">IF(S1539&lt;=5,"Late night (0-5)",IF(S1539&lt;=11,"Morning (6-11)",IF(S1539&lt;=17,"Afternoon (12-17)","Evening (18-23)")))</f>
        <v>Evening (18-23)</v>
      </c>
    </row>
    <row r="1540" customFormat="false" ht="15" hidden="false" customHeight="false" outlineLevel="0" collapsed="false">
      <c r="A1540" s="2" t="s">
        <v>2584</v>
      </c>
      <c r="B1540" s="2" t="s">
        <v>111</v>
      </c>
      <c r="C1540" s="2" t="s">
        <v>48</v>
      </c>
      <c r="D1540" s="3" t="n">
        <v>45666</v>
      </c>
      <c r="E1540" s="2" t="s">
        <v>1947</v>
      </c>
      <c r="F1540" s="2" t="s">
        <v>38</v>
      </c>
      <c r="G1540" s="2" t="n">
        <v>16824</v>
      </c>
      <c r="H1540" s="2" t="n">
        <v>8</v>
      </c>
      <c r="I1540" s="2" t="n">
        <v>214</v>
      </c>
      <c r="J1540" s="2" t="n">
        <v>0</v>
      </c>
      <c r="K1540" s="2" t="n">
        <v>3901</v>
      </c>
      <c r="L1540" s="2" t="n">
        <v>2502</v>
      </c>
      <c r="M1540" s="2" t="n">
        <v>201</v>
      </c>
      <c r="N1540" s="2" t="n">
        <v>11</v>
      </c>
      <c r="O1540" s="2" t="n">
        <v>9</v>
      </c>
      <c r="P1540" s="2" t="n">
        <v>57</v>
      </c>
      <c r="Q1540" s="2" t="n">
        <v>53</v>
      </c>
      <c r="R1540" s="2" t="n">
        <v>14</v>
      </c>
      <c r="S1540" s="2" t="n">
        <v>10</v>
      </c>
      <c r="T1540" s="2" t="s">
        <v>79</v>
      </c>
      <c r="U1540" s="4" t="n">
        <f aca="false">(M1540+N1540+O1540+P1540)/L1540</f>
        <v>0.111111111111111</v>
      </c>
      <c r="V1540" s="2" t="str">
        <f aca="false">IF(S1540&lt;=5,"Late night (0-5)",IF(S1540&lt;=11,"Morning (6-11)",IF(S1540&lt;=17,"Afternoon (12-17)","Evening (18-23)")))</f>
        <v>Morning (6-11)</v>
      </c>
    </row>
    <row r="1541" customFormat="false" ht="15" hidden="false" customHeight="false" outlineLevel="0" collapsed="false">
      <c r="A1541" s="2" t="s">
        <v>2585</v>
      </c>
      <c r="B1541" s="2" t="s">
        <v>94</v>
      </c>
      <c r="C1541" s="2" t="s">
        <v>30</v>
      </c>
      <c r="D1541" s="3" t="n">
        <v>45666</v>
      </c>
      <c r="E1541" s="2" t="s">
        <v>1629</v>
      </c>
      <c r="F1541" s="2" t="s">
        <v>26</v>
      </c>
      <c r="G1541" s="2" t="n">
        <v>58559</v>
      </c>
      <c r="H1541" s="2" t="n">
        <v>22</v>
      </c>
      <c r="I1541" s="2" t="n">
        <v>127</v>
      </c>
      <c r="J1541" s="2" t="n">
        <v>0</v>
      </c>
      <c r="K1541" s="2" t="n">
        <v>79518</v>
      </c>
      <c r="L1541" s="2" t="n">
        <v>49648</v>
      </c>
      <c r="M1541" s="2" t="n">
        <v>3664</v>
      </c>
      <c r="N1541" s="2" t="n">
        <v>233</v>
      </c>
      <c r="O1541" s="2" t="n">
        <v>235</v>
      </c>
      <c r="P1541" s="2" t="n">
        <v>832</v>
      </c>
      <c r="Q1541" s="2" t="n">
        <v>1255</v>
      </c>
      <c r="R1541" s="2" t="n">
        <v>182</v>
      </c>
      <c r="S1541" s="2" t="n">
        <v>17</v>
      </c>
      <c r="T1541" s="2" t="s">
        <v>79</v>
      </c>
      <c r="U1541" s="4" t="n">
        <f aca="false">(M1541+N1541+O1541+P1541)/L1541</f>
        <v>0.0999838865613922</v>
      </c>
      <c r="V1541" s="2" t="str">
        <f aca="false">IF(S1541&lt;=5,"Late night (0-5)",IF(S1541&lt;=11,"Morning (6-11)",IF(S1541&lt;=17,"Afternoon (12-17)","Evening (18-23)")))</f>
        <v>Afternoon (12-17)</v>
      </c>
    </row>
    <row r="1542" customFormat="false" ht="15" hidden="false" customHeight="false" outlineLevel="0" collapsed="false">
      <c r="A1542" s="2" t="s">
        <v>2586</v>
      </c>
      <c r="B1542" s="2" t="s">
        <v>264</v>
      </c>
      <c r="C1542" s="2" t="s">
        <v>36</v>
      </c>
      <c r="D1542" s="3" t="n">
        <v>45662</v>
      </c>
      <c r="E1542" s="2" t="s">
        <v>2587</v>
      </c>
      <c r="F1542" s="2" t="s">
        <v>38</v>
      </c>
      <c r="G1542" s="2" t="n">
        <v>22362</v>
      </c>
      <c r="H1542" s="2" t="n">
        <v>0</v>
      </c>
      <c r="I1542" s="2" t="n">
        <v>182</v>
      </c>
      <c r="J1542" s="2" t="n">
        <v>1</v>
      </c>
      <c r="K1542" s="2" t="n">
        <v>12118</v>
      </c>
      <c r="L1542" s="2" t="n">
        <v>7982</v>
      </c>
      <c r="M1542" s="2" t="n">
        <v>501</v>
      </c>
      <c r="N1542" s="2" t="n">
        <v>15</v>
      </c>
      <c r="O1542" s="2" t="n">
        <v>90</v>
      </c>
      <c r="P1542" s="2" t="n">
        <v>144</v>
      </c>
      <c r="Q1542" s="2" t="n">
        <v>90</v>
      </c>
      <c r="R1542" s="2" t="n">
        <v>9</v>
      </c>
      <c r="S1542" s="2" t="n">
        <v>9</v>
      </c>
      <c r="T1542" s="2" t="s">
        <v>27</v>
      </c>
      <c r="U1542" s="4" t="n">
        <f aca="false">(M1542+N1542+O1542+P1542)/L1542</f>
        <v>0.0939614131796542</v>
      </c>
      <c r="V1542" s="2" t="str">
        <f aca="false">IF(S1542&lt;=5,"Late night (0-5)",IF(S1542&lt;=11,"Morning (6-11)",IF(S1542&lt;=17,"Afternoon (12-17)","Evening (18-23)")))</f>
        <v>Morning (6-11)</v>
      </c>
    </row>
    <row r="1543" customFormat="false" ht="15" hidden="false" customHeight="false" outlineLevel="0" collapsed="false">
      <c r="A1543" s="2" t="s">
        <v>2588</v>
      </c>
      <c r="B1543" s="2" t="s">
        <v>126</v>
      </c>
      <c r="C1543" s="2" t="s">
        <v>36</v>
      </c>
      <c r="D1543" s="3" t="n">
        <v>45933</v>
      </c>
      <c r="E1543" s="2" t="s">
        <v>1335</v>
      </c>
      <c r="F1543" s="2" t="s">
        <v>38</v>
      </c>
      <c r="G1543" s="2" t="n">
        <v>28784</v>
      </c>
      <c r="H1543" s="2" t="n">
        <v>4</v>
      </c>
      <c r="I1543" s="2" t="n">
        <v>209</v>
      </c>
      <c r="J1543" s="2" t="n">
        <v>1</v>
      </c>
      <c r="K1543" s="2" t="n">
        <v>5449</v>
      </c>
      <c r="L1543" s="2" t="n">
        <v>3543</v>
      </c>
      <c r="M1543" s="2" t="n">
        <v>315</v>
      </c>
      <c r="N1543" s="2" t="n">
        <v>19</v>
      </c>
      <c r="O1543" s="2" t="n">
        <v>48</v>
      </c>
      <c r="P1543" s="2" t="n">
        <v>21</v>
      </c>
      <c r="Q1543" s="2" t="n">
        <v>42</v>
      </c>
      <c r="R1543" s="2" t="n">
        <v>8</v>
      </c>
      <c r="S1543" s="2" t="n">
        <v>4</v>
      </c>
      <c r="T1543" s="2" t="s">
        <v>96</v>
      </c>
      <c r="U1543" s="4" t="n">
        <f aca="false">(M1543+N1543+O1543+P1543)/L1543</f>
        <v>0.113745413491391</v>
      </c>
      <c r="V1543" s="2" t="str">
        <f aca="false">IF(S1543&lt;=5,"Late night (0-5)",IF(S1543&lt;=11,"Morning (6-11)",IF(S1543&lt;=17,"Afternoon (12-17)","Evening (18-23)")))</f>
        <v>Late night (0-5)</v>
      </c>
    </row>
    <row r="1544" customFormat="false" ht="15" hidden="false" customHeight="false" outlineLevel="0" collapsed="false">
      <c r="A1544" s="2" t="s">
        <v>2589</v>
      </c>
      <c r="B1544" s="2" t="s">
        <v>29</v>
      </c>
      <c r="C1544" s="2" t="s">
        <v>30</v>
      </c>
      <c r="D1544" s="3" t="n">
        <v>45997</v>
      </c>
      <c r="E1544" s="2" t="s">
        <v>555</v>
      </c>
      <c r="F1544" s="2" t="s">
        <v>38</v>
      </c>
      <c r="G1544" s="2" t="n">
        <v>11612</v>
      </c>
      <c r="H1544" s="2" t="n">
        <v>9</v>
      </c>
      <c r="I1544" s="2" t="n">
        <v>302</v>
      </c>
      <c r="J1544" s="2" t="n">
        <v>0</v>
      </c>
      <c r="K1544" s="2" t="n">
        <v>15938</v>
      </c>
      <c r="L1544" s="2" t="n">
        <v>13832</v>
      </c>
      <c r="M1544" s="2" t="n">
        <v>751</v>
      </c>
      <c r="N1544" s="2" t="n">
        <v>50</v>
      </c>
      <c r="O1544" s="2" t="n">
        <v>90</v>
      </c>
      <c r="P1544" s="2" t="n">
        <v>178</v>
      </c>
      <c r="Q1544" s="2" t="n">
        <v>195</v>
      </c>
      <c r="R1544" s="2" t="n">
        <v>54</v>
      </c>
      <c r="S1544" s="2" t="n">
        <v>14</v>
      </c>
      <c r="T1544" s="2" t="s">
        <v>62</v>
      </c>
      <c r="U1544" s="4" t="n">
        <f aca="false">(M1544+N1544+O1544+P1544)/L1544</f>
        <v>0.0772845575477155</v>
      </c>
      <c r="V1544" s="2" t="str">
        <f aca="false">IF(S1544&lt;=5,"Late night (0-5)",IF(S1544&lt;=11,"Morning (6-11)",IF(S1544&lt;=17,"Afternoon (12-17)","Evening (18-23)")))</f>
        <v>Afternoon (12-17)</v>
      </c>
    </row>
    <row r="1545" customFormat="false" ht="15" hidden="false" customHeight="false" outlineLevel="0" collapsed="false">
      <c r="A1545" s="2" t="s">
        <v>2590</v>
      </c>
      <c r="B1545" s="2" t="s">
        <v>138</v>
      </c>
      <c r="C1545" s="2" t="s">
        <v>41</v>
      </c>
      <c r="D1545" s="3" t="n">
        <v>45972</v>
      </c>
      <c r="E1545" s="2" t="s">
        <v>1713</v>
      </c>
      <c r="F1545" s="2" t="s">
        <v>32</v>
      </c>
      <c r="G1545" s="2" t="n">
        <v>18712</v>
      </c>
      <c r="H1545" s="2" t="n">
        <v>5</v>
      </c>
      <c r="I1545" s="2" t="n">
        <v>245</v>
      </c>
      <c r="J1545" s="2" t="n">
        <v>1</v>
      </c>
      <c r="K1545" s="2" t="n">
        <v>50059</v>
      </c>
      <c r="L1545" s="2" t="n">
        <v>36929</v>
      </c>
      <c r="M1545" s="2" t="n">
        <v>2777</v>
      </c>
      <c r="N1545" s="2" t="n">
        <v>221</v>
      </c>
      <c r="O1545" s="2" t="n">
        <v>432</v>
      </c>
      <c r="P1545" s="2" t="n">
        <v>538</v>
      </c>
      <c r="Q1545" s="2" t="n">
        <v>1033</v>
      </c>
      <c r="R1545" s="2" t="n">
        <v>176</v>
      </c>
      <c r="S1545" s="2" t="n">
        <v>8</v>
      </c>
      <c r="T1545" s="2" t="s">
        <v>51</v>
      </c>
      <c r="U1545" s="4" t="n">
        <f aca="false">(M1545+N1545+O1545+P1545)/L1545</f>
        <v>0.107449429987273</v>
      </c>
      <c r="V1545" s="2" t="str">
        <f aca="false">IF(S1545&lt;=5,"Late night (0-5)",IF(S1545&lt;=11,"Morning (6-11)",IF(S1545&lt;=17,"Afternoon (12-17)","Evening (18-23)")))</f>
        <v>Morning (6-11)</v>
      </c>
    </row>
    <row r="1546" customFormat="false" ht="15" hidden="false" customHeight="false" outlineLevel="0" collapsed="false">
      <c r="A1546" s="2" t="s">
        <v>2591</v>
      </c>
      <c r="B1546" s="2" t="s">
        <v>206</v>
      </c>
      <c r="C1546" s="2" t="s">
        <v>48</v>
      </c>
      <c r="D1546" s="3" t="n">
        <v>46008</v>
      </c>
      <c r="E1546" s="2" t="s">
        <v>391</v>
      </c>
      <c r="F1546" s="2" t="s">
        <v>26</v>
      </c>
      <c r="G1546" s="2" t="n">
        <v>42937</v>
      </c>
      <c r="H1546" s="2" t="n">
        <v>9</v>
      </c>
      <c r="I1546" s="2" t="n">
        <v>96</v>
      </c>
      <c r="J1546" s="2" t="n">
        <v>0</v>
      </c>
      <c r="K1546" s="2" t="n">
        <v>96761</v>
      </c>
      <c r="L1546" s="2" t="n">
        <v>55463</v>
      </c>
      <c r="M1546" s="2" t="n">
        <v>2555</v>
      </c>
      <c r="N1546" s="2" t="n">
        <v>72</v>
      </c>
      <c r="O1546" s="2" t="n">
        <v>379</v>
      </c>
      <c r="P1546" s="2" t="n">
        <v>324</v>
      </c>
      <c r="Q1546" s="2" t="n">
        <v>1593</v>
      </c>
      <c r="R1546" s="2" t="n">
        <v>340</v>
      </c>
      <c r="S1546" s="2" t="n">
        <v>20</v>
      </c>
      <c r="T1546" s="2" t="s">
        <v>66</v>
      </c>
      <c r="U1546" s="4" t="n">
        <f aca="false">(M1546+N1546+O1546+P1546)/L1546</f>
        <v>0.0600400266844563</v>
      </c>
      <c r="V1546" s="2" t="str">
        <f aca="false">IF(S1546&lt;=5,"Late night (0-5)",IF(S1546&lt;=11,"Morning (6-11)",IF(S1546&lt;=17,"Afternoon (12-17)","Evening (18-23)")))</f>
        <v>Evening (18-23)</v>
      </c>
    </row>
    <row r="1547" customFormat="false" ht="15" hidden="false" customHeight="false" outlineLevel="0" collapsed="false">
      <c r="A1547" s="2" t="s">
        <v>2592</v>
      </c>
      <c r="B1547" s="2" t="s">
        <v>23</v>
      </c>
      <c r="C1547" s="2" t="s">
        <v>24</v>
      </c>
      <c r="D1547" s="3" t="n">
        <v>45735</v>
      </c>
      <c r="E1547" s="2" t="s">
        <v>756</v>
      </c>
      <c r="F1547" s="2" t="s">
        <v>32</v>
      </c>
      <c r="G1547" s="2" t="n">
        <v>63447</v>
      </c>
      <c r="H1547" s="2" t="n">
        <v>11</v>
      </c>
      <c r="I1547" s="2" t="n">
        <v>44</v>
      </c>
      <c r="J1547" s="2" t="n">
        <v>1</v>
      </c>
      <c r="K1547" s="2" t="n">
        <v>72108</v>
      </c>
      <c r="L1547" s="2" t="n">
        <v>43835</v>
      </c>
      <c r="M1547" s="2" t="n">
        <v>1976</v>
      </c>
      <c r="N1547" s="2" t="n">
        <v>78</v>
      </c>
      <c r="O1547" s="2" t="n">
        <v>181</v>
      </c>
      <c r="P1547" s="2" t="n">
        <v>153</v>
      </c>
      <c r="Q1547" s="2" t="n">
        <v>1136</v>
      </c>
      <c r="R1547" s="2" t="n">
        <v>74</v>
      </c>
      <c r="S1547" s="2" t="n">
        <v>10</v>
      </c>
      <c r="T1547" s="2" t="s">
        <v>66</v>
      </c>
      <c r="U1547" s="4" t="n">
        <f aca="false">(M1547+N1547+O1547+P1547)/L1547</f>
        <v>0.0544770160830387</v>
      </c>
      <c r="V1547" s="2" t="str">
        <f aca="false">IF(S1547&lt;=5,"Late night (0-5)",IF(S1547&lt;=11,"Morning (6-11)",IF(S1547&lt;=17,"Afternoon (12-17)","Evening (18-23)")))</f>
        <v>Morning (6-11)</v>
      </c>
    </row>
    <row r="1548" customFormat="false" ht="15" hidden="false" customHeight="false" outlineLevel="0" collapsed="false">
      <c r="A1548" s="2" t="s">
        <v>2593</v>
      </c>
      <c r="B1548" s="2" t="s">
        <v>57</v>
      </c>
      <c r="C1548" s="2" t="s">
        <v>24</v>
      </c>
      <c r="D1548" s="3" t="n">
        <v>45766</v>
      </c>
      <c r="E1548" s="2" t="s">
        <v>2318</v>
      </c>
      <c r="F1548" s="2" t="s">
        <v>26</v>
      </c>
      <c r="G1548" s="2" t="n">
        <v>31021</v>
      </c>
      <c r="H1548" s="2" t="n">
        <v>19</v>
      </c>
      <c r="I1548" s="2" t="n">
        <v>10</v>
      </c>
      <c r="J1548" s="2" t="n">
        <v>0</v>
      </c>
      <c r="K1548" s="2" t="n">
        <v>38022</v>
      </c>
      <c r="L1548" s="2" t="n">
        <v>21761</v>
      </c>
      <c r="M1548" s="2" t="n">
        <v>1280</v>
      </c>
      <c r="N1548" s="2" t="n">
        <v>45</v>
      </c>
      <c r="O1548" s="2" t="n">
        <v>90</v>
      </c>
      <c r="P1548" s="2" t="n">
        <v>208</v>
      </c>
      <c r="Q1548" s="2" t="n">
        <v>308</v>
      </c>
      <c r="R1548" s="2" t="n">
        <v>70</v>
      </c>
      <c r="S1548" s="2" t="n">
        <v>5</v>
      </c>
      <c r="T1548" s="2" t="s">
        <v>62</v>
      </c>
      <c r="U1548" s="4" t="n">
        <f aca="false">(M1548+N1548+O1548+P1548)/L1548</f>
        <v>0.0745829695326502</v>
      </c>
      <c r="V1548" s="2" t="str">
        <f aca="false">IF(S1548&lt;=5,"Late night (0-5)",IF(S1548&lt;=11,"Morning (6-11)",IF(S1548&lt;=17,"Afternoon (12-17)","Evening (18-23)")))</f>
        <v>Late night (0-5)</v>
      </c>
    </row>
    <row r="1549" customFormat="false" ht="15" hidden="false" customHeight="false" outlineLevel="0" collapsed="false">
      <c r="A1549" s="2" t="s">
        <v>2594</v>
      </c>
      <c r="B1549" s="2" t="s">
        <v>111</v>
      </c>
      <c r="C1549" s="2" t="s">
        <v>48</v>
      </c>
      <c r="D1549" s="3" t="n">
        <v>45674</v>
      </c>
      <c r="E1549" s="2" t="s">
        <v>2595</v>
      </c>
      <c r="F1549" s="2" t="s">
        <v>32</v>
      </c>
      <c r="G1549" s="2" t="n">
        <v>16824</v>
      </c>
      <c r="H1549" s="2" t="n">
        <v>20</v>
      </c>
      <c r="I1549" s="2" t="n">
        <v>204</v>
      </c>
      <c r="J1549" s="2" t="n">
        <v>1</v>
      </c>
      <c r="K1549" s="2" t="n">
        <v>19015</v>
      </c>
      <c r="L1549" s="2" t="n">
        <v>11871</v>
      </c>
      <c r="M1549" s="2" t="n">
        <v>961</v>
      </c>
      <c r="N1549" s="2" t="n">
        <v>49</v>
      </c>
      <c r="O1549" s="2" t="n">
        <v>182</v>
      </c>
      <c r="P1549" s="2" t="n">
        <v>201</v>
      </c>
      <c r="Q1549" s="2" t="n">
        <v>304</v>
      </c>
      <c r="R1549" s="2" t="n">
        <v>60</v>
      </c>
      <c r="S1549" s="2" t="n">
        <v>2</v>
      </c>
      <c r="T1549" s="2" t="s">
        <v>96</v>
      </c>
      <c r="U1549" s="4" t="n">
        <f aca="false">(M1549+N1549+O1549+P1549)/L1549</f>
        <v>0.117344789823941</v>
      </c>
      <c r="V1549" s="2" t="str">
        <f aca="false">IF(S1549&lt;=5,"Late night (0-5)",IF(S1549&lt;=11,"Morning (6-11)",IF(S1549&lt;=17,"Afternoon (12-17)","Evening (18-23)")))</f>
        <v>Late night (0-5)</v>
      </c>
    </row>
    <row r="1550" customFormat="false" ht="15" hidden="false" customHeight="false" outlineLevel="0" collapsed="false">
      <c r="A1550" s="2" t="s">
        <v>2596</v>
      </c>
      <c r="B1550" s="2" t="s">
        <v>151</v>
      </c>
      <c r="C1550" s="2" t="s">
        <v>36</v>
      </c>
      <c r="D1550" s="3" t="n">
        <v>45667</v>
      </c>
      <c r="E1550" s="2" t="s">
        <v>2172</v>
      </c>
      <c r="F1550" s="2" t="s">
        <v>26</v>
      </c>
      <c r="G1550" s="2" t="n">
        <v>19247</v>
      </c>
      <c r="H1550" s="2" t="n">
        <v>9</v>
      </c>
      <c r="I1550" s="2" t="n">
        <v>259</v>
      </c>
      <c r="J1550" s="2" t="n">
        <v>0</v>
      </c>
      <c r="K1550" s="2" t="n">
        <v>8262</v>
      </c>
      <c r="L1550" s="2" t="n">
        <v>5314</v>
      </c>
      <c r="M1550" s="2" t="n">
        <v>365</v>
      </c>
      <c r="N1550" s="2" t="n">
        <v>25</v>
      </c>
      <c r="O1550" s="2" t="n">
        <v>21</v>
      </c>
      <c r="P1550" s="2" t="n">
        <v>64</v>
      </c>
      <c r="Q1550" s="2" t="n">
        <v>33</v>
      </c>
      <c r="R1550" s="2" t="n">
        <v>4</v>
      </c>
      <c r="S1550" s="2" t="n">
        <v>3</v>
      </c>
      <c r="T1550" s="2" t="s">
        <v>96</v>
      </c>
      <c r="U1550" s="4" t="n">
        <f aca="false">(M1550+N1550+O1550+P1550)/L1550</f>
        <v>0.0893865261573203</v>
      </c>
      <c r="V1550" s="2" t="str">
        <f aca="false">IF(S1550&lt;=5,"Late night (0-5)",IF(S1550&lt;=11,"Morning (6-11)",IF(S1550&lt;=17,"Afternoon (12-17)","Evening (18-23)")))</f>
        <v>Late night (0-5)</v>
      </c>
    </row>
    <row r="1551" customFormat="false" ht="15" hidden="false" customHeight="false" outlineLevel="0" collapsed="false">
      <c r="A1551" s="2" t="s">
        <v>2597</v>
      </c>
      <c r="B1551" s="2" t="s">
        <v>371</v>
      </c>
      <c r="C1551" s="2" t="s">
        <v>48</v>
      </c>
      <c r="D1551" s="3" t="n">
        <v>45908</v>
      </c>
      <c r="E1551" s="2" t="s">
        <v>1608</v>
      </c>
      <c r="F1551" s="2" t="s">
        <v>32</v>
      </c>
      <c r="G1551" s="2" t="n">
        <v>42479</v>
      </c>
      <c r="H1551" s="2" t="n">
        <v>6</v>
      </c>
      <c r="I1551" s="2" t="n">
        <v>286</v>
      </c>
      <c r="J1551" s="2" t="n">
        <v>0</v>
      </c>
      <c r="K1551" s="2" t="n">
        <v>39920</v>
      </c>
      <c r="L1551" s="2" t="n">
        <v>32573</v>
      </c>
      <c r="M1551" s="2" t="n">
        <v>2936</v>
      </c>
      <c r="N1551" s="2" t="n">
        <v>85</v>
      </c>
      <c r="O1551" s="2" t="n">
        <v>483</v>
      </c>
      <c r="P1551" s="2" t="n">
        <v>683</v>
      </c>
      <c r="Q1551" s="2" t="n">
        <v>693</v>
      </c>
      <c r="R1551" s="2" t="n">
        <v>71</v>
      </c>
      <c r="S1551" s="2" t="n">
        <v>10</v>
      </c>
      <c r="T1551" s="2" t="s">
        <v>33</v>
      </c>
      <c r="U1551" s="4" t="n">
        <f aca="false">(M1551+N1551+O1551+P1551)/L1551</f>
        <v>0.128542044024192</v>
      </c>
      <c r="V1551" s="2" t="str">
        <f aca="false">IF(S1551&lt;=5,"Late night (0-5)",IF(S1551&lt;=11,"Morning (6-11)",IF(S1551&lt;=17,"Afternoon (12-17)","Evening (18-23)")))</f>
        <v>Morning (6-11)</v>
      </c>
    </row>
    <row r="1552" customFormat="false" ht="15" hidden="false" customHeight="false" outlineLevel="0" collapsed="false">
      <c r="A1552" s="2" t="s">
        <v>2598</v>
      </c>
      <c r="B1552" s="2" t="s">
        <v>141</v>
      </c>
      <c r="C1552" s="2" t="s">
        <v>48</v>
      </c>
      <c r="D1552" s="3" t="n">
        <v>45849</v>
      </c>
      <c r="E1552" s="2" t="s">
        <v>2456</v>
      </c>
      <c r="F1552" s="2" t="s">
        <v>26</v>
      </c>
      <c r="G1552" s="2" t="n">
        <v>16119</v>
      </c>
      <c r="H1552" s="2" t="n">
        <v>8</v>
      </c>
      <c r="I1552" s="2" t="n">
        <v>162</v>
      </c>
      <c r="J1552" s="2" t="n">
        <v>1</v>
      </c>
      <c r="K1552" s="2" t="n">
        <v>25148</v>
      </c>
      <c r="L1552" s="2" t="n">
        <v>16476</v>
      </c>
      <c r="M1552" s="2" t="n">
        <v>1445</v>
      </c>
      <c r="N1552" s="2" t="n">
        <v>36</v>
      </c>
      <c r="O1552" s="2" t="n">
        <v>216</v>
      </c>
      <c r="P1552" s="2" t="n">
        <v>451</v>
      </c>
      <c r="Q1552" s="2" t="n">
        <v>358</v>
      </c>
      <c r="R1552" s="2" t="n">
        <v>64</v>
      </c>
      <c r="S1552" s="2" t="n">
        <v>22</v>
      </c>
      <c r="T1552" s="2" t="s">
        <v>96</v>
      </c>
      <c r="U1552" s="4" t="n">
        <f aca="false">(M1552+N1552+O1552+P1552)/L1552</f>
        <v>0.130371449380918</v>
      </c>
      <c r="V1552" s="2" t="str">
        <f aca="false">IF(S1552&lt;=5,"Late night (0-5)",IF(S1552&lt;=11,"Morning (6-11)",IF(S1552&lt;=17,"Afternoon (12-17)","Evening (18-23)")))</f>
        <v>Evening (18-23)</v>
      </c>
    </row>
    <row r="1553" customFormat="false" ht="15" hidden="false" customHeight="false" outlineLevel="0" collapsed="false">
      <c r="A1553" s="2" t="s">
        <v>2599</v>
      </c>
      <c r="B1553" s="2" t="s">
        <v>327</v>
      </c>
      <c r="C1553" s="2" t="s">
        <v>91</v>
      </c>
      <c r="D1553" s="3" t="n">
        <v>45730</v>
      </c>
      <c r="E1553" s="2" t="s">
        <v>1962</v>
      </c>
      <c r="F1553" s="2" t="s">
        <v>26</v>
      </c>
      <c r="G1553" s="2" t="n">
        <v>16943</v>
      </c>
      <c r="H1553" s="2" t="n">
        <v>0</v>
      </c>
      <c r="I1553" s="2" t="n">
        <v>153</v>
      </c>
      <c r="J1553" s="2" t="n">
        <v>1</v>
      </c>
      <c r="K1553" s="2" t="n">
        <v>13323</v>
      </c>
      <c r="L1553" s="2" t="n">
        <v>8294</v>
      </c>
      <c r="M1553" s="2" t="n">
        <v>397</v>
      </c>
      <c r="N1553" s="2" t="n">
        <v>11</v>
      </c>
      <c r="O1553" s="2" t="n">
        <v>73</v>
      </c>
      <c r="P1553" s="2" t="n">
        <v>147</v>
      </c>
      <c r="Q1553" s="2" t="n">
        <v>169</v>
      </c>
      <c r="R1553" s="2" t="n">
        <v>41</v>
      </c>
      <c r="S1553" s="2" t="n">
        <v>19</v>
      </c>
      <c r="T1553" s="2" t="s">
        <v>96</v>
      </c>
      <c r="U1553" s="4" t="n">
        <f aca="false">(M1553+N1553+O1553+P1553)/L1553</f>
        <v>0.0757173860622137</v>
      </c>
      <c r="V1553" s="2" t="str">
        <f aca="false">IF(S1553&lt;=5,"Late night (0-5)",IF(S1553&lt;=11,"Morning (6-11)",IF(S1553&lt;=17,"Afternoon (12-17)","Evening (18-23)")))</f>
        <v>Evening (18-23)</v>
      </c>
    </row>
    <row r="1554" customFormat="false" ht="15" hidden="false" customHeight="false" outlineLevel="0" collapsed="false">
      <c r="A1554" s="2" t="s">
        <v>2600</v>
      </c>
      <c r="B1554" s="2" t="s">
        <v>87</v>
      </c>
      <c r="C1554" s="2" t="s">
        <v>36</v>
      </c>
      <c r="D1554" s="3" t="n">
        <v>45932</v>
      </c>
      <c r="E1554" s="2" t="s">
        <v>1885</v>
      </c>
      <c r="F1554" s="2" t="s">
        <v>26</v>
      </c>
      <c r="G1554" s="2" t="n">
        <v>25592</v>
      </c>
      <c r="H1554" s="2" t="n">
        <v>15</v>
      </c>
      <c r="I1554" s="2" t="n">
        <v>146</v>
      </c>
      <c r="J1554" s="2" t="n">
        <v>1</v>
      </c>
      <c r="K1554" s="2" t="n">
        <v>12952</v>
      </c>
      <c r="L1554" s="2" t="n">
        <v>7315</v>
      </c>
      <c r="M1554" s="2" t="n">
        <v>307</v>
      </c>
      <c r="N1554" s="2" t="n">
        <v>17</v>
      </c>
      <c r="O1554" s="2" t="n">
        <v>12</v>
      </c>
      <c r="P1554" s="2" t="n">
        <v>49</v>
      </c>
      <c r="Q1554" s="2" t="n">
        <v>49</v>
      </c>
      <c r="R1554" s="2" t="n">
        <v>6</v>
      </c>
      <c r="S1554" s="2" t="n">
        <v>1</v>
      </c>
      <c r="T1554" s="2" t="s">
        <v>79</v>
      </c>
      <c r="U1554" s="4" t="n">
        <f aca="false">(M1554+N1554+O1554+P1554)/L1554</f>
        <v>0.0526315789473684</v>
      </c>
      <c r="V1554" s="2" t="str">
        <f aca="false">IF(S1554&lt;=5,"Late night (0-5)",IF(S1554&lt;=11,"Morning (6-11)",IF(S1554&lt;=17,"Afternoon (12-17)","Evening (18-23)")))</f>
        <v>Late night (0-5)</v>
      </c>
    </row>
    <row r="1555" customFormat="false" ht="15" hidden="false" customHeight="false" outlineLevel="0" collapsed="false">
      <c r="A1555" s="2" t="s">
        <v>2601</v>
      </c>
      <c r="B1555" s="2" t="s">
        <v>77</v>
      </c>
      <c r="C1555" s="2" t="s">
        <v>30</v>
      </c>
      <c r="D1555" s="3" t="n">
        <v>45692</v>
      </c>
      <c r="E1555" s="2" t="s">
        <v>2602</v>
      </c>
      <c r="F1555" s="2" t="s">
        <v>38</v>
      </c>
      <c r="G1555" s="2" t="n">
        <v>17548</v>
      </c>
      <c r="H1555" s="2" t="n">
        <v>12</v>
      </c>
      <c r="I1555" s="2" t="n">
        <v>290</v>
      </c>
      <c r="J1555" s="2" t="n">
        <v>1</v>
      </c>
      <c r="K1555" s="2" t="n">
        <v>12672</v>
      </c>
      <c r="L1555" s="2" t="n">
        <v>7907</v>
      </c>
      <c r="M1555" s="2" t="n">
        <v>506</v>
      </c>
      <c r="N1555" s="2" t="n">
        <v>25</v>
      </c>
      <c r="O1555" s="2" t="n">
        <v>84</v>
      </c>
      <c r="P1555" s="2" t="n">
        <v>111</v>
      </c>
      <c r="Q1555" s="2" t="n">
        <v>94</v>
      </c>
      <c r="R1555" s="2" t="n">
        <v>27</v>
      </c>
      <c r="S1555" s="2" t="n">
        <v>11</v>
      </c>
      <c r="T1555" s="2" t="s">
        <v>51</v>
      </c>
      <c r="U1555" s="4" t="n">
        <f aca="false">(M1555+N1555+O1555+P1555)/L1555</f>
        <v>0.0918173770077147</v>
      </c>
      <c r="V1555" s="2" t="str">
        <f aca="false">IF(S1555&lt;=5,"Late night (0-5)",IF(S1555&lt;=11,"Morning (6-11)",IF(S1555&lt;=17,"Afternoon (12-17)","Evening (18-23)")))</f>
        <v>Morning (6-11)</v>
      </c>
    </row>
    <row r="1556" customFormat="false" ht="15" hidden="false" customHeight="false" outlineLevel="0" collapsed="false">
      <c r="A1556" s="2" t="s">
        <v>2603</v>
      </c>
      <c r="B1556" s="2" t="s">
        <v>181</v>
      </c>
      <c r="C1556" s="2" t="s">
        <v>91</v>
      </c>
      <c r="D1556" s="3" t="n">
        <v>45886</v>
      </c>
      <c r="E1556" s="2" t="s">
        <v>1187</v>
      </c>
      <c r="F1556" s="2" t="s">
        <v>26</v>
      </c>
      <c r="G1556" s="2" t="n">
        <v>31658</v>
      </c>
      <c r="H1556" s="2" t="n">
        <v>12</v>
      </c>
      <c r="I1556" s="2" t="n">
        <v>182</v>
      </c>
      <c r="J1556" s="2" t="n">
        <v>0</v>
      </c>
      <c r="K1556" s="2" t="n">
        <v>18029</v>
      </c>
      <c r="L1556" s="2" t="n">
        <v>14288</v>
      </c>
      <c r="M1556" s="2" t="n">
        <v>992</v>
      </c>
      <c r="N1556" s="2" t="n">
        <v>43</v>
      </c>
      <c r="O1556" s="2" t="n">
        <v>145</v>
      </c>
      <c r="P1556" s="2" t="n">
        <v>300</v>
      </c>
      <c r="Q1556" s="2" t="n">
        <v>287</v>
      </c>
      <c r="R1556" s="2" t="n">
        <v>25</v>
      </c>
      <c r="S1556" s="2" t="n">
        <v>17</v>
      </c>
      <c r="T1556" s="2" t="s">
        <v>27</v>
      </c>
      <c r="U1556" s="4" t="n">
        <f aca="false">(M1556+N1556+O1556+P1556)/L1556</f>
        <v>0.103583426651736</v>
      </c>
      <c r="V1556" s="2" t="str">
        <f aca="false">IF(S1556&lt;=5,"Late night (0-5)",IF(S1556&lt;=11,"Morning (6-11)",IF(S1556&lt;=17,"Afternoon (12-17)","Evening (18-23)")))</f>
        <v>Afternoon (12-17)</v>
      </c>
    </row>
    <row r="1557" customFormat="false" ht="15" hidden="false" customHeight="false" outlineLevel="0" collapsed="false">
      <c r="A1557" s="2" t="s">
        <v>2604</v>
      </c>
      <c r="B1557" s="2" t="s">
        <v>193</v>
      </c>
      <c r="C1557" s="2" t="s">
        <v>36</v>
      </c>
      <c r="D1557" s="3" t="n">
        <v>45791</v>
      </c>
      <c r="E1557" s="2" t="s">
        <v>2605</v>
      </c>
      <c r="F1557" s="2" t="s">
        <v>38</v>
      </c>
      <c r="G1557" s="2" t="n">
        <v>26454</v>
      </c>
      <c r="H1557" s="2" t="n">
        <v>15</v>
      </c>
      <c r="I1557" s="2" t="n">
        <v>199</v>
      </c>
      <c r="J1557" s="2" t="n">
        <v>0</v>
      </c>
      <c r="K1557" s="2" t="n">
        <v>19311</v>
      </c>
      <c r="L1557" s="2" t="n">
        <v>11516</v>
      </c>
      <c r="M1557" s="2" t="n">
        <v>813</v>
      </c>
      <c r="N1557" s="2" t="n">
        <v>46</v>
      </c>
      <c r="O1557" s="2" t="n">
        <v>153</v>
      </c>
      <c r="P1557" s="2" t="n">
        <v>58</v>
      </c>
      <c r="Q1557" s="2" t="n">
        <v>332</v>
      </c>
      <c r="R1557" s="2" t="n">
        <v>24</v>
      </c>
      <c r="S1557" s="2" t="n">
        <v>8</v>
      </c>
      <c r="T1557" s="2" t="s">
        <v>66</v>
      </c>
      <c r="U1557" s="4" t="n">
        <f aca="false">(M1557+N1557+O1557+P1557)/L1557</f>
        <v>0.0929142063216395</v>
      </c>
      <c r="V1557" s="2" t="str">
        <f aca="false">IF(S1557&lt;=5,"Late night (0-5)",IF(S1557&lt;=11,"Morning (6-11)",IF(S1557&lt;=17,"Afternoon (12-17)","Evening (18-23)")))</f>
        <v>Morning (6-11)</v>
      </c>
    </row>
    <row r="1558" customFormat="false" ht="15" hidden="false" customHeight="false" outlineLevel="0" collapsed="false">
      <c r="A1558" s="2" t="s">
        <v>2606</v>
      </c>
      <c r="B1558" s="2" t="s">
        <v>409</v>
      </c>
      <c r="C1558" s="2" t="s">
        <v>48</v>
      </c>
      <c r="D1558" s="3" t="n">
        <v>45709</v>
      </c>
      <c r="E1558" s="2" t="s">
        <v>1169</v>
      </c>
      <c r="F1558" s="2" t="s">
        <v>38</v>
      </c>
      <c r="G1558" s="2" t="n">
        <v>31525</v>
      </c>
      <c r="H1558" s="2" t="n">
        <v>17</v>
      </c>
      <c r="I1558" s="2" t="n">
        <v>140</v>
      </c>
      <c r="J1558" s="2" t="n">
        <v>0</v>
      </c>
      <c r="K1558" s="2" t="n">
        <v>11440</v>
      </c>
      <c r="L1558" s="2" t="n">
        <v>8153</v>
      </c>
      <c r="M1558" s="2" t="n">
        <v>550</v>
      </c>
      <c r="N1558" s="2" t="n">
        <v>25</v>
      </c>
      <c r="O1558" s="2" t="n">
        <v>87</v>
      </c>
      <c r="P1558" s="2" t="n">
        <v>160</v>
      </c>
      <c r="Q1558" s="2" t="n">
        <v>236</v>
      </c>
      <c r="R1558" s="2" t="n">
        <v>60</v>
      </c>
      <c r="S1558" s="2" t="n">
        <v>0</v>
      </c>
      <c r="T1558" s="2" t="s">
        <v>96</v>
      </c>
      <c r="U1558" s="4" t="n">
        <f aca="false">(M1558+N1558+O1558+P1558)/L1558</f>
        <v>0.100821783392616</v>
      </c>
      <c r="V1558" s="2" t="str">
        <f aca="false">IF(S1558&lt;=5,"Late night (0-5)",IF(S1558&lt;=11,"Morning (6-11)",IF(S1558&lt;=17,"Afternoon (12-17)","Evening (18-23)")))</f>
        <v>Late night (0-5)</v>
      </c>
    </row>
    <row r="1559" customFormat="false" ht="15" hidden="false" customHeight="false" outlineLevel="0" collapsed="false">
      <c r="A1559" s="2" t="s">
        <v>2607</v>
      </c>
      <c r="B1559" s="2" t="s">
        <v>47</v>
      </c>
      <c r="C1559" s="2" t="s">
        <v>48</v>
      </c>
      <c r="D1559" s="3" t="n">
        <v>45678</v>
      </c>
      <c r="E1559" s="2" t="s">
        <v>2526</v>
      </c>
      <c r="F1559" s="2" t="s">
        <v>32</v>
      </c>
      <c r="G1559" s="2" t="n">
        <v>19609</v>
      </c>
      <c r="H1559" s="2" t="n">
        <v>15</v>
      </c>
      <c r="I1559" s="2" t="n">
        <v>160</v>
      </c>
      <c r="J1559" s="2" t="n">
        <v>1</v>
      </c>
      <c r="K1559" s="2" t="n">
        <v>92322</v>
      </c>
      <c r="L1559" s="2" t="n">
        <v>55926</v>
      </c>
      <c r="M1559" s="2" t="n">
        <v>3404</v>
      </c>
      <c r="N1559" s="2" t="n">
        <v>169</v>
      </c>
      <c r="O1559" s="2" t="n">
        <v>738</v>
      </c>
      <c r="P1559" s="2" t="n">
        <v>869</v>
      </c>
      <c r="Q1559" s="2" t="n">
        <v>700</v>
      </c>
      <c r="R1559" s="2" t="n">
        <v>71</v>
      </c>
      <c r="S1559" s="2" t="n">
        <v>10</v>
      </c>
      <c r="T1559" s="2" t="s">
        <v>51</v>
      </c>
      <c r="U1559" s="4" t="n">
        <f aca="false">(M1559+N1559+O1559+P1559)/L1559</f>
        <v>0.092622393877624</v>
      </c>
      <c r="V1559" s="2" t="str">
        <f aca="false">IF(S1559&lt;=5,"Late night (0-5)",IF(S1559&lt;=11,"Morning (6-11)",IF(S1559&lt;=17,"Afternoon (12-17)","Evening (18-23)")))</f>
        <v>Morning (6-11)</v>
      </c>
    </row>
    <row r="1560" customFormat="false" ht="15" hidden="false" customHeight="false" outlineLevel="0" collapsed="false">
      <c r="A1560" s="2" t="s">
        <v>2608</v>
      </c>
      <c r="B1560" s="2" t="s">
        <v>220</v>
      </c>
      <c r="C1560" s="2" t="s">
        <v>48</v>
      </c>
      <c r="D1560" s="3" t="n">
        <v>45693</v>
      </c>
      <c r="E1560" s="2" t="s">
        <v>1599</v>
      </c>
      <c r="F1560" s="2" t="s">
        <v>26</v>
      </c>
      <c r="G1560" s="2" t="n">
        <v>18917</v>
      </c>
      <c r="H1560" s="2" t="n">
        <v>13</v>
      </c>
      <c r="I1560" s="2" t="n">
        <v>302</v>
      </c>
      <c r="J1560" s="2" t="n">
        <v>1</v>
      </c>
      <c r="K1560" s="2" t="n">
        <v>15297</v>
      </c>
      <c r="L1560" s="2" t="n">
        <v>13587</v>
      </c>
      <c r="M1560" s="2" t="n">
        <v>530</v>
      </c>
      <c r="N1560" s="2" t="n">
        <v>10</v>
      </c>
      <c r="O1560" s="2" t="n">
        <v>65</v>
      </c>
      <c r="P1560" s="2" t="n">
        <v>148</v>
      </c>
      <c r="Q1560" s="2" t="n">
        <v>248</v>
      </c>
      <c r="R1560" s="2" t="n">
        <v>38</v>
      </c>
      <c r="S1560" s="2" t="n">
        <v>9</v>
      </c>
      <c r="T1560" s="2" t="s">
        <v>66</v>
      </c>
      <c r="U1560" s="4" t="n">
        <f aca="false">(M1560+N1560+O1560+P1560)/L1560</f>
        <v>0.0554206226540075</v>
      </c>
      <c r="V1560" s="2" t="str">
        <f aca="false">IF(S1560&lt;=5,"Late night (0-5)",IF(S1560&lt;=11,"Morning (6-11)",IF(S1560&lt;=17,"Afternoon (12-17)","Evening (18-23)")))</f>
        <v>Morning (6-11)</v>
      </c>
    </row>
    <row r="1561" customFormat="false" ht="15" hidden="false" customHeight="false" outlineLevel="0" collapsed="false">
      <c r="A1561" s="2" t="s">
        <v>2609</v>
      </c>
      <c r="B1561" s="2" t="s">
        <v>220</v>
      </c>
      <c r="C1561" s="2" t="s">
        <v>48</v>
      </c>
      <c r="D1561" s="3" t="n">
        <v>45968</v>
      </c>
      <c r="E1561" s="2" t="s">
        <v>2474</v>
      </c>
      <c r="F1561" s="2" t="s">
        <v>26</v>
      </c>
      <c r="G1561" s="2" t="n">
        <v>18917</v>
      </c>
      <c r="H1561" s="2" t="n">
        <v>0</v>
      </c>
      <c r="I1561" s="2" t="n">
        <v>198</v>
      </c>
      <c r="J1561" s="2" t="n">
        <v>0</v>
      </c>
      <c r="K1561" s="2" t="n">
        <v>9354</v>
      </c>
      <c r="L1561" s="2" t="n">
        <v>8146</v>
      </c>
      <c r="M1561" s="2" t="n">
        <v>564</v>
      </c>
      <c r="N1561" s="2" t="n">
        <v>16</v>
      </c>
      <c r="O1561" s="2" t="n">
        <v>37</v>
      </c>
      <c r="P1561" s="2" t="n">
        <v>210</v>
      </c>
      <c r="Q1561" s="2" t="n">
        <v>223</v>
      </c>
      <c r="R1561" s="2" t="n">
        <v>15</v>
      </c>
      <c r="S1561" s="2" t="n">
        <v>23</v>
      </c>
      <c r="T1561" s="2" t="s">
        <v>96</v>
      </c>
      <c r="U1561" s="4" t="n">
        <f aca="false">(M1561+N1561+O1561+P1561)/L1561</f>
        <v>0.10152221949423</v>
      </c>
      <c r="V1561" s="2" t="str">
        <f aca="false">IF(S1561&lt;=5,"Late night (0-5)",IF(S1561&lt;=11,"Morning (6-11)",IF(S1561&lt;=17,"Afternoon (12-17)","Evening (18-23)")))</f>
        <v>Evening (18-23)</v>
      </c>
    </row>
    <row r="1562" customFormat="false" ht="15" hidden="false" customHeight="false" outlineLevel="0" collapsed="false">
      <c r="A1562" s="2" t="s">
        <v>2610</v>
      </c>
      <c r="B1562" s="2" t="s">
        <v>90</v>
      </c>
      <c r="C1562" s="2" t="s">
        <v>91</v>
      </c>
      <c r="D1562" s="3" t="n">
        <v>45818</v>
      </c>
      <c r="E1562" s="2" t="s">
        <v>1138</v>
      </c>
      <c r="F1562" s="2" t="s">
        <v>50</v>
      </c>
      <c r="G1562" s="2" t="n">
        <v>54788</v>
      </c>
      <c r="H1562" s="2" t="n">
        <v>7</v>
      </c>
      <c r="I1562" s="2" t="n">
        <v>37</v>
      </c>
      <c r="J1562" s="2" t="n">
        <v>1</v>
      </c>
      <c r="K1562" s="2" t="n">
        <v>42217</v>
      </c>
      <c r="L1562" s="2" t="n">
        <v>33622</v>
      </c>
      <c r="M1562" s="2" t="n">
        <v>1475</v>
      </c>
      <c r="N1562" s="2" t="n">
        <v>78</v>
      </c>
      <c r="O1562" s="2" t="n">
        <v>52</v>
      </c>
      <c r="P1562" s="2" t="n">
        <v>227</v>
      </c>
      <c r="Q1562" s="2" t="n">
        <v>840</v>
      </c>
      <c r="R1562" s="2" t="n">
        <v>47</v>
      </c>
      <c r="S1562" s="2" t="n">
        <v>17</v>
      </c>
      <c r="T1562" s="2" t="s">
        <v>51</v>
      </c>
      <c r="U1562" s="4" t="n">
        <f aca="false">(M1562+N1562+O1562+P1562)/L1562</f>
        <v>0.05448813277021</v>
      </c>
      <c r="V1562" s="2" t="str">
        <f aca="false">IF(S1562&lt;=5,"Late night (0-5)",IF(S1562&lt;=11,"Morning (6-11)",IF(S1562&lt;=17,"Afternoon (12-17)","Evening (18-23)")))</f>
        <v>Afternoon (12-17)</v>
      </c>
    </row>
    <row r="1563" customFormat="false" ht="15" hidden="false" customHeight="false" outlineLevel="0" collapsed="false">
      <c r="A1563" s="2" t="s">
        <v>2611</v>
      </c>
      <c r="B1563" s="2" t="s">
        <v>151</v>
      </c>
      <c r="C1563" s="2" t="s">
        <v>36</v>
      </c>
      <c r="D1563" s="3" t="n">
        <v>45979</v>
      </c>
      <c r="E1563" s="2" t="s">
        <v>2376</v>
      </c>
      <c r="F1563" s="2" t="s">
        <v>32</v>
      </c>
      <c r="G1563" s="2" t="n">
        <v>19247</v>
      </c>
      <c r="H1563" s="2" t="n">
        <v>16</v>
      </c>
      <c r="I1563" s="2" t="n">
        <v>258</v>
      </c>
      <c r="J1563" s="2" t="n">
        <v>0</v>
      </c>
      <c r="K1563" s="2" t="n">
        <v>15468</v>
      </c>
      <c r="L1563" s="2" t="n">
        <v>9562</v>
      </c>
      <c r="M1563" s="2" t="n">
        <v>996</v>
      </c>
      <c r="N1563" s="2" t="n">
        <v>58</v>
      </c>
      <c r="O1563" s="2" t="n">
        <v>289</v>
      </c>
      <c r="P1563" s="2" t="n">
        <v>297</v>
      </c>
      <c r="Q1563" s="2" t="n">
        <v>239</v>
      </c>
      <c r="R1563" s="2" t="n">
        <v>71</v>
      </c>
      <c r="S1563" s="2" t="n">
        <v>11</v>
      </c>
      <c r="T1563" s="2" t="s">
        <v>51</v>
      </c>
      <c r="U1563" s="4" t="n">
        <f aca="false">(M1563+N1563+O1563+P1563)/L1563</f>
        <v>0.171512235933905</v>
      </c>
      <c r="V1563" s="2" t="str">
        <f aca="false">IF(S1563&lt;=5,"Late night (0-5)",IF(S1563&lt;=11,"Morning (6-11)",IF(S1563&lt;=17,"Afternoon (12-17)","Evening (18-23)")))</f>
        <v>Morning (6-11)</v>
      </c>
    </row>
    <row r="1564" customFormat="false" ht="15" hidden="false" customHeight="false" outlineLevel="0" collapsed="false">
      <c r="A1564" s="2" t="s">
        <v>2612</v>
      </c>
      <c r="B1564" s="2" t="s">
        <v>111</v>
      </c>
      <c r="C1564" s="2" t="s">
        <v>48</v>
      </c>
      <c r="D1564" s="3" t="n">
        <v>45978</v>
      </c>
      <c r="E1564" s="2" t="s">
        <v>434</v>
      </c>
      <c r="F1564" s="2" t="s">
        <v>38</v>
      </c>
      <c r="G1564" s="2" t="n">
        <v>16824</v>
      </c>
      <c r="H1564" s="2" t="n">
        <v>25</v>
      </c>
      <c r="I1564" s="2" t="n">
        <v>262</v>
      </c>
      <c r="J1564" s="2" t="n">
        <v>1</v>
      </c>
      <c r="K1564" s="2" t="n">
        <v>47075</v>
      </c>
      <c r="L1564" s="2" t="n">
        <v>34962</v>
      </c>
      <c r="M1564" s="2" t="n">
        <v>2105</v>
      </c>
      <c r="N1564" s="2" t="n">
        <v>114</v>
      </c>
      <c r="O1564" s="2" t="n">
        <v>417</v>
      </c>
      <c r="P1564" s="2" t="n">
        <v>578</v>
      </c>
      <c r="Q1564" s="2" t="n">
        <v>783</v>
      </c>
      <c r="R1564" s="2" t="n">
        <v>69</v>
      </c>
      <c r="S1564" s="2" t="n">
        <v>20</v>
      </c>
      <c r="T1564" s="2" t="s">
        <v>33</v>
      </c>
      <c r="U1564" s="4" t="n">
        <f aca="false">(M1564+N1564+O1564+P1564)/L1564</f>
        <v>0.0919283793833305</v>
      </c>
      <c r="V1564" s="2" t="str">
        <f aca="false">IF(S1564&lt;=5,"Late night (0-5)",IF(S1564&lt;=11,"Morning (6-11)",IF(S1564&lt;=17,"Afternoon (12-17)","Evening (18-23)")))</f>
        <v>Evening (18-23)</v>
      </c>
    </row>
    <row r="1565" customFormat="false" ht="15" hidden="false" customHeight="false" outlineLevel="0" collapsed="false">
      <c r="A1565" s="2" t="s">
        <v>2613</v>
      </c>
      <c r="B1565" s="2" t="s">
        <v>319</v>
      </c>
      <c r="C1565" s="2" t="s">
        <v>84</v>
      </c>
      <c r="D1565" s="3" t="n">
        <v>45666</v>
      </c>
      <c r="E1565" s="2" t="s">
        <v>2145</v>
      </c>
      <c r="F1565" s="2" t="s">
        <v>26</v>
      </c>
      <c r="G1565" s="2" t="n">
        <v>49810</v>
      </c>
      <c r="H1565" s="2" t="n">
        <v>0</v>
      </c>
      <c r="I1565" s="2" t="n">
        <v>144</v>
      </c>
      <c r="J1565" s="2" t="n">
        <v>1</v>
      </c>
      <c r="K1565" s="2" t="n">
        <v>20703</v>
      </c>
      <c r="L1565" s="2" t="n">
        <v>18192</v>
      </c>
      <c r="M1565" s="2" t="n">
        <v>872</v>
      </c>
      <c r="N1565" s="2" t="n">
        <v>29</v>
      </c>
      <c r="O1565" s="2" t="n">
        <v>118</v>
      </c>
      <c r="P1565" s="2" t="n">
        <v>301</v>
      </c>
      <c r="Q1565" s="2" t="n">
        <v>117</v>
      </c>
      <c r="R1565" s="2" t="n">
        <v>30</v>
      </c>
      <c r="S1565" s="2" t="n">
        <v>1</v>
      </c>
      <c r="T1565" s="2" t="s">
        <v>79</v>
      </c>
      <c r="U1565" s="4" t="n">
        <f aca="false">(M1565+N1565+O1565+P1565)/L1565</f>
        <v>0.0725593667546174</v>
      </c>
      <c r="V1565" s="2" t="str">
        <f aca="false">IF(S1565&lt;=5,"Late night (0-5)",IF(S1565&lt;=11,"Morning (6-11)",IF(S1565&lt;=17,"Afternoon (12-17)","Evening (18-23)")))</f>
        <v>Late night (0-5)</v>
      </c>
    </row>
    <row r="1566" customFormat="false" ht="15" hidden="false" customHeight="false" outlineLevel="0" collapsed="false">
      <c r="A1566" s="2" t="s">
        <v>2614</v>
      </c>
      <c r="B1566" s="2" t="s">
        <v>452</v>
      </c>
      <c r="C1566" s="2" t="s">
        <v>91</v>
      </c>
      <c r="D1566" s="3" t="n">
        <v>45731</v>
      </c>
      <c r="E1566" s="2" t="s">
        <v>1479</v>
      </c>
      <c r="F1566" s="2" t="s">
        <v>32</v>
      </c>
      <c r="G1566" s="2" t="n">
        <v>14201</v>
      </c>
      <c r="H1566" s="2" t="n">
        <v>0</v>
      </c>
      <c r="I1566" s="2" t="n">
        <v>237</v>
      </c>
      <c r="J1566" s="2" t="n">
        <v>0</v>
      </c>
      <c r="K1566" s="2" t="n">
        <v>16156</v>
      </c>
      <c r="L1566" s="2" t="n">
        <v>10747</v>
      </c>
      <c r="M1566" s="2" t="n">
        <v>884</v>
      </c>
      <c r="N1566" s="2" t="n">
        <v>60</v>
      </c>
      <c r="O1566" s="2" t="n">
        <v>218</v>
      </c>
      <c r="P1566" s="2" t="n">
        <v>191</v>
      </c>
      <c r="Q1566" s="2" t="n">
        <v>293</v>
      </c>
      <c r="R1566" s="2" t="n">
        <v>76</v>
      </c>
      <c r="S1566" s="2" t="n">
        <v>15</v>
      </c>
      <c r="T1566" s="2" t="s">
        <v>62</v>
      </c>
      <c r="U1566" s="4" t="n">
        <f aca="false">(M1566+N1566+O1566+P1566)/L1566</f>
        <v>0.12589559877175</v>
      </c>
      <c r="V1566" s="2" t="str">
        <f aca="false">IF(S1566&lt;=5,"Late night (0-5)",IF(S1566&lt;=11,"Morning (6-11)",IF(S1566&lt;=17,"Afternoon (12-17)","Evening (18-23)")))</f>
        <v>Afternoon (12-17)</v>
      </c>
    </row>
    <row r="1567" customFormat="false" ht="15" hidden="false" customHeight="false" outlineLevel="0" collapsed="false">
      <c r="A1567" s="2" t="s">
        <v>2615</v>
      </c>
      <c r="B1567" s="2" t="s">
        <v>371</v>
      </c>
      <c r="C1567" s="2" t="s">
        <v>48</v>
      </c>
      <c r="D1567" s="3" t="n">
        <v>45920</v>
      </c>
      <c r="E1567" s="2" t="s">
        <v>1766</v>
      </c>
      <c r="F1567" s="2" t="s">
        <v>38</v>
      </c>
      <c r="G1567" s="2" t="n">
        <v>42479</v>
      </c>
      <c r="H1567" s="2" t="n">
        <v>13</v>
      </c>
      <c r="I1567" s="2" t="n">
        <v>80</v>
      </c>
      <c r="J1567" s="2" t="n">
        <v>0</v>
      </c>
      <c r="K1567" s="2" t="n">
        <v>25445</v>
      </c>
      <c r="L1567" s="2" t="n">
        <v>15425</v>
      </c>
      <c r="M1567" s="2" t="n">
        <v>1091</v>
      </c>
      <c r="N1567" s="2" t="n">
        <v>59</v>
      </c>
      <c r="O1567" s="2" t="n">
        <v>216</v>
      </c>
      <c r="P1567" s="2" t="n">
        <v>182</v>
      </c>
      <c r="Q1567" s="2" t="n">
        <v>315</v>
      </c>
      <c r="R1567" s="2" t="n">
        <v>55</v>
      </c>
      <c r="S1567" s="2" t="n">
        <v>13</v>
      </c>
      <c r="T1567" s="2" t="s">
        <v>62</v>
      </c>
      <c r="U1567" s="4" t="n">
        <f aca="false">(M1567+N1567+O1567+P1567)/L1567</f>
        <v>0.100356564019449</v>
      </c>
      <c r="V1567" s="2" t="str">
        <f aca="false">IF(S1567&lt;=5,"Late night (0-5)",IF(S1567&lt;=11,"Morning (6-11)",IF(S1567&lt;=17,"Afternoon (12-17)","Evening (18-23)")))</f>
        <v>Afternoon (12-17)</v>
      </c>
    </row>
    <row r="1568" customFormat="false" ht="15" hidden="false" customHeight="false" outlineLevel="0" collapsed="false">
      <c r="A1568" s="2" t="s">
        <v>2616</v>
      </c>
      <c r="B1568" s="2" t="s">
        <v>345</v>
      </c>
      <c r="C1568" s="2" t="s">
        <v>30</v>
      </c>
      <c r="D1568" s="3" t="n">
        <v>45707</v>
      </c>
      <c r="E1568" s="2" t="s">
        <v>1436</v>
      </c>
      <c r="F1568" s="2" t="s">
        <v>32</v>
      </c>
      <c r="G1568" s="2" t="n">
        <v>8662</v>
      </c>
      <c r="H1568" s="2" t="n">
        <v>15</v>
      </c>
      <c r="I1568" s="2" t="n">
        <v>182</v>
      </c>
      <c r="J1568" s="2" t="n">
        <v>1</v>
      </c>
      <c r="K1568" s="2" t="n">
        <v>24681</v>
      </c>
      <c r="L1568" s="2" t="n">
        <v>19026</v>
      </c>
      <c r="M1568" s="2" t="n">
        <v>1574</v>
      </c>
      <c r="N1568" s="2" t="n">
        <v>40</v>
      </c>
      <c r="O1568" s="2" t="n">
        <v>365</v>
      </c>
      <c r="P1568" s="2" t="n">
        <v>243</v>
      </c>
      <c r="Q1568" s="2" t="n">
        <v>374</v>
      </c>
      <c r="R1568" s="2" t="n">
        <v>21</v>
      </c>
      <c r="S1568" s="2" t="n">
        <v>19</v>
      </c>
      <c r="T1568" s="2" t="s">
        <v>66</v>
      </c>
      <c r="U1568" s="4" t="n">
        <f aca="false">(M1568+N1568+O1568+P1568)/L1568</f>
        <v>0.116787553873647</v>
      </c>
      <c r="V1568" s="2" t="str">
        <f aca="false">IF(S1568&lt;=5,"Late night (0-5)",IF(S1568&lt;=11,"Morning (6-11)",IF(S1568&lt;=17,"Afternoon (12-17)","Evening (18-23)")))</f>
        <v>Evening (18-23)</v>
      </c>
    </row>
    <row r="1569" customFormat="false" ht="15" hidden="false" customHeight="false" outlineLevel="0" collapsed="false">
      <c r="A1569" s="2" t="s">
        <v>2617</v>
      </c>
      <c r="B1569" s="2" t="s">
        <v>243</v>
      </c>
      <c r="C1569" s="2" t="s">
        <v>91</v>
      </c>
      <c r="D1569" s="3" t="n">
        <v>45999</v>
      </c>
      <c r="E1569" s="2" t="s">
        <v>1953</v>
      </c>
      <c r="F1569" s="2" t="s">
        <v>32</v>
      </c>
      <c r="G1569" s="2" t="n">
        <v>42046</v>
      </c>
      <c r="H1569" s="2" t="n">
        <v>9</v>
      </c>
      <c r="I1569" s="2" t="n">
        <v>94</v>
      </c>
      <c r="J1569" s="2" t="n">
        <v>1</v>
      </c>
      <c r="K1569" s="2" t="n">
        <v>78728</v>
      </c>
      <c r="L1569" s="2" t="n">
        <v>46883</v>
      </c>
      <c r="M1569" s="2" t="n">
        <v>4859</v>
      </c>
      <c r="N1569" s="2" t="n">
        <v>291</v>
      </c>
      <c r="O1569" s="2" t="n">
        <v>1413</v>
      </c>
      <c r="P1569" s="2" t="n">
        <v>1377</v>
      </c>
      <c r="Q1569" s="2" t="n">
        <v>462</v>
      </c>
      <c r="R1569" s="2" t="n">
        <v>107</v>
      </c>
      <c r="S1569" s="2" t="n">
        <v>16</v>
      </c>
      <c r="T1569" s="2" t="s">
        <v>33</v>
      </c>
      <c r="U1569" s="4" t="n">
        <f aca="false">(M1569+N1569+O1569+P1569)/L1569</f>
        <v>0.169357762941791</v>
      </c>
      <c r="V1569" s="2" t="str">
        <f aca="false">IF(S1569&lt;=5,"Late night (0-5)",IF(S1569&lt;=11,"Morning (6-11)",IF(S1569&lt;=17,"Afternoon (12-17)","Evening (18-23)")))</f>
        <v>Afternoon (12-17)</v>
      </c>
    </row>
    <row r="1570" customFormat="false" ht="15" hidden="false" customHeight="false" outlineLevel="0" collapsed="false">
      <c r="A1570" s="2" t="s">
        <v>2618</v>
      </c>
      <c r="B1570" s="2" t="s">
        <v>220</v>
      </c>
      <c r="C1570" s="2" t="s">
        <v>48</v>
      </c>
      <c r="D1570" s="3" t="n">
        <v>45872</v>
      </c>
      <c r="E1570" s="2" t="s">
        <v>2619</v>
      </c>
      <c r="F1570" s="2" t="s">
        <v>32</v>
      </c>
      <c r="G1570" s="2" t="n">
        <v>18917</v>
      </c>
      <c r="H1570" s="2" t="n">
        <v>11</v>
      </c>
      <c r="I1570" s="2" t="n">
        <v>217</v>
      </c>
      <c r="J1570" s="2" t="n">
        <v>1</v>
      </c>
      <c r="K1570" s="2" t="n">
        <v>22920</v>
      </c>
      <c r="L1570" s="2" t="n">
        <v>12751</v>
      </c>
      <c r="M1570" s="2" t="n">
        <v>979</v>
      </c>
      <c r="N1570" s="2" t="n">
        <v>43</v>
      </c>
      <c r="O1570" s="2" t="n">
        <v>276</v>
      </c>
      <c r="P1570" s="2" t="n">
        <v>103</v>
      </c>
      <c r="Q1570" s="2" t="n">
        <v>120</v>
      </c>
      <c r="R1570" s="2" t="n">
        <v>22</v>
      </c>
      <c r="S1570" s="2" t="n">
        <v>1</v>
      </c>
      <c r="T1570" s="2" t="s">
        <v>27</v>
      </c>
      <c r="U1570" s="4" t="n">
        <f aca="false">(M1570+N1570+O1570+P1570)/L1570</f>
        <v>0.109873735393302</v>
      </c>
      <c r="V1570" s="2" t="str">
        <f aca="false">IF(S1570&lt;=5,"Late night (0-5)",IF(S1570&lt;=11,"Morning (6-11)",IF(S1570&lt;=17,"Afternoon (12-17)","Evening (18-23)")))</f>
        <v>Late night (0-5)</v>
      </c>
    </row>
    <row r="1571" customFormat="false" ht="15" hidden="false" customHeight="false" outlineLevel="0" collapsed="false">
      <c r="A1571" s="2" t="s">
        <v>2620</v>
      </c>
      <c r="B1571" s="2" t="s">
        <v>360</v>
      </c>
      <c r="C1571" s="2" t="s">
        <v>48</v>
      </c>
      <c r="D1571" s="3" t="n">
        <v>45784</v>
      </c>
      <c r="E1571" s="2" t="s">
        <v>2621</v>
      </c>
      <c r="F1571" s="2" t="s">
        <v>32</v>
      </c>
      <c r="G1571" s="2" t="n">
        <v>19542</v>
      </c>
      <c r="H1571" s="2" t="n">
        <v>5</v>
      </c>
      <c r="I1571" s="2" t="n">
        <v>258</v>
      </c>
      <c r="J1571" s="2" t="n">
        <v>0</v>
      </c>
      <c r="K1571" s="2" t="n">
        <v>16361</v>
      </c>
      <c r="L1571" s="2" t="n">
        <v>10627</v>
      </c>
      <c r="M1571" s="2" t="n">
        <v>1142</v>
      </c>
      <c r="N1571" s="2" t="n">
        <v>41</v>
      </c>
      <c r="O1571" s="2" t="n">
        <v>341</v>
      </c>
      <c r="P1571" s="2" t="n">
        <v>108</v>
      </c>
      <c r="Q1571" s="2" t="n">
        <v>147</v>
      </c>
      <c r="R1571" s="2" t="n">
        <v>41</v>
      </c>
      <c r="S1571" s="2" t="n">
        <v>11</v>
      </c>
      <c r="T1571" s="2" t="s">
        <v>66</v>
      </c>
      <c r="U1571" s="4" t="n">
        <f aca="false">(M1571+N1571+O1571+P1571)/L1571</f>
        <v>0.153571092500235</v>
      </c>
      <c r="V1571" s="2" t="str">
        <f aca="false">IF(S1571&lt;=5,"Late night (0-5)",IF(S1571&lt;=11,"Morning (6-11)",IF(S1571&lt;=17,"Afternoon (12-17)","Evening (18-23)")))</f>
        <v>Morning (6-11)</v>
      </c>
    </row>
    <row r="1572" customFormat="false" ht="15" hidden="false" customHeight="false" outlineLevel="0" collapsed="false">
      <c r="A1572" s="2" t="s">
        <v>2622</v>
      </c>
      <c r="B1572" s="2" t="s">
        <v>90</v>
      </c>
      <c r="C1572" s="2" t="s">
        <v>91</v>
      </c>
      <c r="D1572" s="3" t="n">
        <v>45992</v>
      </c>
      <c r="E1572" s="2" t="s">
        <v>508</v>
      </c>
      <c r="F1572" s="2" t="s">
        <v>50</v>
      </c>
      <c r="G1572" s="2" t="n">
        <v>54788</v>
      </c>
      <c r="H1572" s="2" t="n">
        <v>23</v>
      </c>
      <c r="I1572" s="2" t="n">
        <v>90</v>
      </c>
      <c r="J1572" s="2" t="n">
        <v>0</v>
      </c>
      <c r="K1572" s="2" t="n">
        <v>19259</v>
      </c>
      <c r="L1572" s="2" t="n">
        <v>16920</v>
      </c>
      <c r="M1572" s="2" t="n">
        <v>708</v>
      </c>
      <c r="N1572" s="2" t="n">
        <v>41</v>
      </c>
      <c r="O1572" s="2" t="n">
        <v>96</v>
      </c>
      <c r="P1572" s="2" t="n">
        <v>92</v>
      </c>
      <c r="Q1572" s="2" t="n">
        <v>496</v>
      </c>
      <c r="R1572" s="2" t="n">
        <v>36</v>
      </c>
      <c r="S1572" s="2" t="n">
        <v>2</v>
      </c>
      <c r="T1572" s="2" t="s">
        <v>33</v>
      </c>
      <c r="U1572" s="4" t="n">
        <f aca="false">(M1572+N1572+O1572+P1572)/L1572</f>
        <v>0.0553782505910165</v>
      </c>
      <c r="V1572" s="2" t="str">
        <f aca="false">IF(S1572&lt;=5,"Late night (0-5)",IF(S1572&lt;=11,"Morning (6-11)",IF(S1572&lt;=17,"Afternoon (12-17)","Evening (18-23)")))</f>
        <v>Late night (0-5)</v>
      </c>
    </row>
    <row r="1573" customFormat="false" ht="15" hidden="false" customHeight="false" outlineLevel="0" collapsed="false">
      <c r="A1573" s="2" t="s">
        <v>2623</v>
      </c>
      <c r="B1573" s="2" t="s">
        <v>227</v>
      </c>
      <c r="C1573" s="2" t="s">
        <v>54</v>
      </c>
      <c r="D1573" s="3" t="n">
        <v>45891</v>
      </c>
      <c r="E1573" s="2" t="s">
        <v>1294</v>
      </c>
      <c r="F1573" s="2" t="s">
        <v>32</v>
      </c>
      <c r="G1573" s="2" t="n">
        <v>11796</v>
      </c>
      <c r="H1573" s="2" t="n">
        <v>13</v>
      </c>
      <c r="I1573" s="2" t="n">
        <v>213</v>
      </c>
      <c r="J1573" s="2" t="n">
        <v>0</v>
      </c>
      <c r="K1573" s="2" t="n">
        <v>19956</v>
      </c>
      <c r="L1573" s="2" t="n">
        <v>18125</v>
      </c>
      <c r="M1573" s="2" t="n">
        <v>1295</v>
      </c>
      <c r="N1573" s="2" t="n">
        <v>50</v>
      </c>
      <c r="O1573" s="2" t="n">
        <v>201</v>
      </c>
      <c r="P1573" s="2" t="n">
        <v>68</v>
      </c>
      <c r="Q1573" s="2" t="n">
        <v>272</v>
      </c>
      <c r="R1573" s="2" t="n">
        <v>45</v>
      </c>
      <c r="S1573" s="2" t="n">
        <v>5</v>
      </c>
      <c r="T1573" s="2" t="s">
        <v>96</v>
      </c>
      <c r="U1573" s="4" t="n">
        <f aca="false">(M1573+N1573+O1573+P1573)/L1573</f>
        <v>0.089048275862069</v>
      </c>
      <c r="V1573" s="2" t="str">
        <f aca="false">IF(S1573&lt;=5,"Late night (0-5)",IF(S1573&lt;=11,"Morning (6-11)",IF(S1573&lt;=17,"Afternoon (12-17)","Evening (18-23)")))</f>
        <v>Late night (0-5)</v>
      </c>
    </row>
    <row r="1574" customFormat="false" ht="15" hidden="false" customHeight="false" outlineLevel="0" collapsed="false">
      <c r="A1574" s="2" t="s">
        <v>2624</v>
      </c>
      <c r="B1574" s="2" t="s">
        <v>98</v>
      </c>
      <c r="C1574" s="2" t="s">
        <v>54</v>
      </c>
      <c r="D1574" s="3" t="n">
        <v>45903</v>
      </c>
      <c r="E1574" s="2" t="s">
        <v>1343</v>
      </c>
      <c r="F1574" s="2" t="s">
        <v>38</v>
      </c>
      <c r="G1574" s="2" t="n">
        <v>18366</v>
      </c>
      <c r="H1574" s="2" t="n">
        <v>24</v>
      </c>
      <c r="I1574" s="2" t="n">
        <v>291</v>
      </c>
      <c r="J1574" s="2" t="n">
        <v>0</v>
      </c>
      <c r="K1574" s="2" t="n">
        <v>7692</v>
      </c>
      <c r="L1574" s="2" t="n">
        <v>6356</v>
      </c>
      <c r="M1574" s="2" t="n">
        <v>499</v>
      </c>
      <c r="N1574" s="2" t="n">
        <v>22</v>
      </c>
      <c r="O1574" s="2" t="n">
        <v>92</v>
      </c>
      <c r="P1574" s="2" t="n">
        <v>49</v>
      </c>
      <c r="Q1574" s="2" t="n">
        <v>171</v>
      </c>
      <c r="R1574" s="2" t="n">
        <v>43</v>
      </c>
      <c r="S1574" s="2" t="n">
        <v>3</v>
      </c>
      <c r="T1574" s="2" t="s">
        <v>66</v>
      </c>
      <c r="U1574" s="4" t="n">
        <f aca="false">(M1574+N1574+O1574+P1574)/L1574</f>
        <v>0.104153555695406</v>
      </c>
      <c r="V1574" s="2" t="str">
        <f aca="false">IF(S1574&lt;=5,"Late night (0-5)",IF(S1574&lt;=11,"Morning (6-11)",IF(S1574&lt;=17,"Afternoon (12-17)","Evening (18-23)")))</f>
        <v>Late night (0-5)</v>
      </c>
    </row>
    <row r="1575" customFormat="false" ht="15" hidden="false" customHeight="false" outlineLevel="0" collapsed="false">
      <c r="A1575" s="2" t="s">
        <v>2625</v>
      </c>
      <c r="B1575" s="2" t="s">
        <v>307</v>
      </c>
      <c r="C1575" s="2" t="s">
        <v>48</v>
      </c>
      <c r="D1575" s="3" t="n">
        <v>45837</v>
      </c>
      <c r="E1575" s="2" t="s">
        <v>363</v>
      </c>
      <c r="F1575" s="2" t="s">
        <v>26</v>
      </c>
      <c r="G1575" s="2" t="n">
        <v>91358</v>
      </c>
      <c r="H1575" s="2" t="n">
        <v>7</v>
      </c>
      <c r="I1575" s="2" t="n">
        <v>299</v>
      </c>
      <c r="J1575" s="2" t="n">
        <v>0</v>
      </c>
      <c r="K1575" s="2" t="n">
        <v>61375</v>
      </c>
      <c r="L1575" s="2" t="n">
        <v>45885</v>
      </c>
      <c r="M1575" s="2" t="n">
        <v>3978</v>
      </c>
      <c r="N1575" s="2" t="n">
        <v>86</v>
      </c>
      <c r="O1575" s="2" t="n">
        <v>209</v>
      </c>
      <c r="P1575" s="2" t="n">
        <v>1098</v>
      </c>
      <c r="Q1575" s="2" t="n">
        <v>1034</v>
      </c>
      <c r="R1575" s="2" t="n">
        <v>116</v>
      </c>
      <c r="S1575" s="2" t="n">
        <v>15</v>
      </c>
      <c r="T1575" s="2" t="s">
        <v>27</v>
      </c>
      <c r="U1575" s="4" t="n">
        <f aca="false">(M1575+N1575+O1575+P1575)/L1575</f>
        <v>0.117053503323526</v>
      </c>
      <c r="V1575" s="2" t="str">
        <f aca="false">IF(S1575&lt;=5,"Late night (0-5)",IF(S1575&lt;=11,"Morning (6-11)",IF(S1575&lt;=17,"Afternoon (12-17)","Evening (18-23)")))</f>
        <v>Afternoon (12-17)</v>
      </c>
    </row>
    <row r="1576" customFormat="false" ht="15" hidden="false" customHeight="false" outlineLevel="0" collapsed="false">
      <c r="A1576" s="2" t="s">
        <v>2626</v>
      </c>
      <c r="B1576" s="2" t="s">
        <v>53</v>
      </c>
      <c r="C1576" s="2" t="s">
        <v>54</v>
      </c>
      <c r="D1576" s="3" t="n">
        <v>45904</v>
      </c>
      <c r="E1576" s="2" t="s">
        <v>1756</v>
      </c>
      <c r="F1576" s="2" t="s">
        <v>32</v>
      </c>
      <c r="G1576" s="2" t="n">
        <v>11318</v>
      </c>
      <c r="H1576" s="2" t="n">
        <v>5</v>
      </c>
      <c r="I1576" s="2" t="n">
        <v>49</v>
      </c>
      <c r="J1576" s="2" t="n">
        <v>0</v>
      </c>
      <c r="K1576" s="2" t="n">
        <v>23586</v>
      </c>
      <c r="L1576" s="2" t="n">
        <v>14234</v>
      </c>
      <c r="M1576" s="2" t="n">
        <v>1490</v>
      </c>
      <c r="N1576" s="2" t="n">
        <v>53</v>
      </c>
      <c r="O1576" s="2" t="n">
        <v>260</v>
      </c>
      <c r="P1576" s="2" t="n">
        <v>344</v>
      </c>
      <c r="Q1576" s="2" t="n">
        <v>127</v>
      </c>
      <c r="R1576" s="2" t="n">
        <v>31</v>
      </c>
      <c r="S1576" s="2" t="n">
        <v>5</v>
      </c>
      <c r="T1576" s="2" t="s">
        <v>79</v>
      </c>
      <c r="U1576" s="4" t="n">
        <f aca="false">(M1576+N1576+O1576+P1576)/L1576</f>
        <v>0.150836026415625</v>
      </c>
      <c r="V1576" s="2" t="str">
        <f aca="false">IF(S1576&lt;=5,"Late night (0-5)",IF(S1576&lt;=11,"Morning (6-11)",IF(S1576&lt;=17,"Afternoon (12-17)","Evening (18-23)")))</f>
        <v>Late night (0-5)</v>
      </c>
    </row>
    <row r="1577" customFormat="false" ht="15" hidden="false" customHeight="false" outlineLevel="0" collapsed="false">
      <c r="A1577" s="2" t="s">
        <v>2627</v>
      </c>
      <c r="B1577" s="2" t="s">
        <v>220</v>
      </c>
      <c r="C1577" s="2" t="s">
        <v>48</v>
      </c>
      <c r="D1577" s="3" t="n">
        <v>45966</v>
      </c>
      <c r="E1577" s="2" t="s">
        <v>2628</v>
      </c>
      <c r="F1577" s="2" t="s">
        <v>26</v>
      </c>
      <c r="G1577" s="2" t="n">
        <v>18917</v>
      </c>
      <c r="H1577" s="2" t="n">
        <v>16</v>
      </c>
      <c r="I1577" s="2" t="n">
        <v>77</v>
      </c>
      <c r="J1577" s="2" t="n">
        <v>0</v>
      </c>
      <c r="K1577" s="2" t="n">
        <v>55394</v>
      </c>
      <c r="L1577" s="2" t="n">
        <v>40400</v>
      </c>
      <c r="M1577" s="2" t="n">
        <v>2634</v>
      </c>
      <c r="N1577" s="2" t="n">
        <v>107</v>
      </c>
      <c r="O1577" s="2" t="n">
        <v>399</v>
      </c>
      <c r="P1577" s="2" t="n">
        <v>718</v>
      </c>
      <c r="Q1577" s="2" t="n">
        <v>363</v>
      </c>
      <c r="R1577" s="2" t="n">
        <v>80</v>
      </c>
      <c r="S1577" s="2" t="n">
        <v>12</v>
      </c>
      <c r="T1577" s="2" t="s">
        <v>66</v>
      </c>
      <c r="U1577" s="4" t="n">
        <f aca="false">(M1577+N1577+O1577+P1577)/L1577</f>
        <v>0.0954950495049505</v>
      </c>
      <c r="V1577" s="2" t="str">
        <f aca="false">IF(S1577&lt;=5,"Late night (0-5)",IF(S1577&lt;=11,"Morning (6-11)",IF(S1577&lt;=17,"Afternoon (12-17)","Evening (18-23)")))</f>
        <v>Afternoon (12-17)</v>
      </c>
    </row>
    <row r="1578" customFormat="false" ht="15" hidden="false" customHeight="false" outlineLevel="0" collapsed="false">
      <c r="A1578" s="2" t="s">
        <v>2629</v>
      </c>
      <c r="B1578" s="2" t="s">
        <v>103</v>
      </c>
      <c r="C1578" s="2" t="s">
        <v>36</v>
      </c>
      <c r="D1578" s="3" t="n">
        <v>45750</v>
      </c>
      <c r="E1578" s="2" t="s">
        <v>534</v>
      </c>
      <c r="F1578" s="2" t="s">
        <v>32</v>
      </c>
      <c r="G1578" s="2" t="n">
        <v>56979</v>
      </c>
      <c r="H1578" s="2" t="n">
        <v>6</v>
      </c>
      <c r="I1578" s="2" t="n">
        <v>183</v>
      </c>
      <c r="J1578" s="2" t="n">
        <v>0</v>
      </c>
      <c r="K1578" s="2" t="n">
        <v>15393</v>
      </c>
      <c r="L1578" s="2" t="n">
        <v>11752</v>
      </c>
      <c r="M1578" s="2" t="n">
        <v>560</v>
      </c>
      <c r="N1578" s="2" t="n">
        <v>15</v>
      </c>
      <c r="O1578" s="2" t="n">
        <v>131</v>
      </c>
      <c r="P1578" s="2" t="n">
        <v>152</v>
      </c>
      <c r="Q1578" s="2" t="n">
        <v>214</v>
      </c>
      <c r="R1578" s="2" t="n">
        <v>52</v>
      </c>
      <c r="S1578" s="2" t="n">
        <v>3</v>
      </c>
      <c r="T1578" s="2" t="s">
        <v>79</v>
      </c>
      <c r="U1578" s="4" t="n">
        <f aca="false">(M1578+N1578+O1578+P1578)/L1578</f>
        <v>0.0730088495575221</v>
      </c>
      <c r="V1578" s="2" t="str">
        <f aca="false">IF(S1578&lt;=5,"Late night (0-5)",IF(S1578&lt;=11,"Morning (6-11)",IF(S1578&lt;=17,"Afternoon (12-17)","Evening (18-23)")))</f>
        <v>Late night (0-5)</v>
      </c>
    </row>
    <row r="1579" customFormat="false" ht="15" hidden="false" customHeight="false" outlineLevel="0" collapsed="false">
      <c r="A1579" s="2" t="s">
        <v>2630</v>
      </c>
      <c r="B1579" s="2" t="s">
        <v>23</v>
      </c>
      <c r="C1579" s="2" t="s">
        <v>24</v>
      </c>
      <c r="D1579" s="3" t="n">
        <v>45855</v>
      </c>
      <c r="E1579" s="2" t="s">
        <v>1118</v>
      </c>
      <c r="F1579" s="2" t="s">
        <v>50</v>
      </c>
      <c r="G1579" s="2" t="n">
        <v>63447</v>
      </c>
      <c r="H1579" s="2" t="n">
        <v>0</v>
      </c>
      <c r="I1579" s="2" t="n">
        <v>111</v>
      </c>
      <c r="J1579" s="2" t="n">
        <v>0</v>
      </c>
      <c r="K1579" s="2" t="n">
        <v>68148</v>
      </c>
      <c r="L1579" s="2" t="n">
        <v>51911</v>
      </c>
      <c r="M1579" s="2" t="n">
        <v>2744</v>
      </c>
      <c r="N1579" s="2" t="n">
        <v>217</v>
      </c>
      <c r="O1579" s="2" t="n">
        <v>370</v>
      </c>
      <c r="P1579" s="2" t="n">
        <v>510</v>
      </c>
      <c r="Q1579" s="2" t="n">
        <v>306</v>
      </c>
      <c r="R1579" s="2" t="n">
        <v>80</v>
      </c>
      <c r="S1579" s="2" t="n">
        <v>13</v>
      </c>
      <c r="T1579" s="2" t="s">
        <v>79</v>
      </c>
      <c r="U1579" s="4" t="n">
        <f aca="false">(M1579+N1579+O1579+P1579)/L1579</f>
        <v>0.073992024811697</v>
      </c>
      <c r="V1579" s="2" t="str">
        <f aca="false">IF(S1579&lt;=5,"Late night (0-5)",IF(S1579&lt;=11,"Morning (6-11)",IF(S1579&lt;=17,"Afternoon (12-17)","Evening (18-23)")))</f>
        <v>Afternoon (12-17)</v>
      </c>
    </row>
    <row r="1580" customFormat="false" ht="15" hidden="false" customHeight="false" outlineLevel="0" collapsed="false">
      <c r="A1580" s="2" t="s">
        <v>2631</v>
      </c>
      <c r="B1580" s="2" t="s">
        <v>452</v>
      </c>
      <c r="C1580" s="2" t="s">
        <v>91</v>
      </c>
      <c r="D1580" s="3" t="n">
        <v>45659</v>
      </c>
      <c r="E1580" s="2" t="s">
        <v>1771</v>
      </c>
      <c r="F1580" s="2" t="s">
        <v>50</v>
      </c>
      <c r="G1580" s="2" t="n">
        <v>14201</v>
      </c>
      <c r="H1580" s="2" t="n">
        <v>17</v>
      </c>
      <c r="I1580" s="2" t="n">
        <v>267</v>
      </c>
      <c r="J1580" s="2" t="n">
        <v>0</v>
      </c>
      <c r="K1580" s="2" t="n">
        <v>20177</v>
      </c>
      <c r="L1580" s="2" t="n">
        <v>14031</v>
      </c>
      <c r="M1580" s="2" t="n">
        <v>1125</v>
      </c>
      <c r="N1580" s="2" t="n">
        <v>43</v>
      </c>
      <c r="O1580" s="2" t="n">
        <v>179</v>
      </c>
      <c r="P1580" s="2" t="n">
        <v>95</v>
      </c>
      <c r="Q1580" s="2" t="n">
        <v>177</v>
      </c>
      <c r="R1580" s="2" t="n">
        <v>28</v>
      </c>
      <c r="S1580" s="2" t="n">
        <v>22</v>
      </c>
      <c r="T1580" s="2" t="s">
        <v>79</v>
      </c>
      <c r="U1580" s="4" t="n">
        <f aca="false">(M1580+N1580+O1580+P1580)/L1580</f>
        <v>0.102772432470957</v>
      </c>
      <c r="V1580" s="2" t="str">
        <f aca="false">IF(S1580&lt;=5,"Late night (0-5)",IF(S1580&lt;=11,"Morning (6-11)",IF(S1580&lt;=17,"Afternoon (12-17)","Evening (18-23)")))</f>
        <v>Evening (18-23)</v>
      </c>
    </row>
    <row r="1581" customFormat="false" ht="15" hidden="false" customHeight="false" outlineLevel="0" collapsed="false">
      <c r="A1581" s="2" t="s">
        <v>2632</v>
      </c>
      <c r="B1581" s="2" t="s">
        <v>240</v>
      </c>
      <c r="C1581" s="2" t="s">
        <v>41</v>
      </c>
      <c r="D1581" s="3" t="n">
        <v>45999</v>
      </c>
      <c r="E1581" s="2" t="s">
        <v>2633</v>
      </c>
      <c r="F1581" s="2" t="s">
        <v>26</v>
      </c>
      <c r="G1581" s="2" t="n">
        <v>83197</v>
      </c>
      <c r="H1581" s="2" t="n">
        <v>9</v>
      </c>
      <c r="I1581" s="2" t="n">
        <v>324</v>
      </c>
      <c r="J1581" s="2" t="n">
        <v>1</v>
      </c>
      <c r="K1581" s="2" t="n">
        <v>134283</v>
      </c>
      <c r="L1581" s="2" t="n">
        <v>95908</v>
      </c>
      <c r="M1581" s="2" t="n">
        <v>4470</v>
      </c>
      <c r="N1581" s="2" t="n">
        <v>203</v>
      </c>
      <c r="O1581" s="2" t="n">
        <v>294</v>
      </c>
      <c r="P1581" s="2" t="n">
        <v>1698</v>
      </c>
      <c r="Q1581" s="2" t="n">
        <v>1345</v>
      </c>
      <c r="R1581" s="2" t="n">
        <v>288</v>
      </c>
      <c r="S1581" s="2" t="n">
        <v>14</v>
      </c>
      <c r="T1581" s="2" t="s">
        <v>33</v>
      </c>
      <c r="U1581" s="4" t="n">
        <f aca="false">(M1581+N1581+O1581+P1581)/L1581</f>
        <v>0.0694936814447179</v>
      </c>
      <c r="V1581" s="2" t="str">
        <f aca="false">IF(S1581&lt;=5,"Late night (0-5)",IF(S1581&lt;=11,"Morning (6-11)",IF(S1581&lt;=17,"Afternoon (12-17)","Evening (18-23)")))</f>
        <v>Afternoon (12-17)</v>
      </c>
    </row>
    <row r="1582" customFormat="false" ht="15" hidden="false" customHeight="false" outlineLevel="0" collapsed="false">
      <c r="A1582" s="2" t="s">
        <v>2634</v>
      </c>
      <c r="B1582" s="2" t="s">
        <v>462</v>
      </c>
      <c r="C1582" s="2" t="s">
        <v>84</v>
      </c>
      <c r="D1582" s="3" t="n">
        <v>46005</v>
      </c>
      <c r="E1582" s="2" t="s">
        <v>797</v>
      </c>
      <c r="F1582" s="2" t="s">
        <v>32</v>
      </c>
      <c r="G1582" s="2" t="n">
        <v>43510</v>
      </c>
      <c r="H1582" s="2" t="n">
        <v>25</v>
      </c>
      <c r="I1582" s="2" t="n">
        <v>326</v>
      </c>
      <c r="J1582" s="2" t="n">
        <v>1</v>
      </c>
      <c r="K1582" s="2" t="n">
        <v>52103</v>
      </c>
      <c r="L1582" s="2" t="n">
        <v>42435</v>
      </c>
      <c r="M1582" s="2" t="n">
        <v>1550</v>
      </c>
      <c r="N1582" s="2" t="n">
        <v>60</v>
      </c>
      <c r="O1582" s="2" t="n">
        <v>454</v>
      </c>
      <c r="P1582" s="2" t="n">
        <v>209</v>
      </c>
      <c r="Q1582" s="2" t="n">
        <v>747</v>
      </c>
      <c r="R1582" s="2" t="n">
        <v>176</v>
      </c>
      <c r="S1582" s="2" t="n">
        <v>4</v>
      </c>
      <c r="T1582" s="2" t="s">
        <v>27</v>
      </c>
      <c r="U1582" s="4" t="n">
        <f aca="false">(M1582+N1582+O1582+P1582)/L1582</f>
        <v>0.0535642747731825</v>
      </c>
      <c r="V1582" s="2" t="str">
        <f aca="false">IF(S1582&lt;=5,"Late night (0-5)",IF(S1582&lt;=11,"Morning (6-11)",IF(S1582&lt;=17,"Afternoon (12-17)","Evening (18-23)")))</f>
        <v>Late night (0-5)</v>
      </c>
    </row>
    <row r="1583" customFormat="false" ht="15" hidden="false" customHeight="false" outlineLevel="0" collapsed="false">
      <c r="A1583" s="2" t="s">
        <v>2635</v>
      </c>
      <c r="B1583" s="2" t="s">
        <v>129</v>
      </c>
      <c r="C1583" s="2" t="s">
        <v>54</v>
      </c>
      <c r="D1583" s="3" t="n">
        <v>45663</v>
      </c>
      <c r="E1583" s="2" t="s">
        <v>2636</v>
      </c>
      <c r="F1583" s="2" t="s">
        <v>32</v>
      </c>
      <c r="G1583" s="2" t="n">
        <v>10312</v>
      </c>
      <c r="H1583" s="2" t="n">
        <v>14</v>
      </c>
      <c r="I1583" s="2" t="n">
        <v>322</v>
      </c>
      <c r="J1583" s="2" t="n">
        <v>1</v>
      </c>
      <c r="K1583" s="2" t="n">
        <v>12996</v>
      </c>
      <c r="L1583" s="2" t="n">
        <v>10601</v>
      </c>
      <c r="M1583" s="2" t="n">
        <v>878</v>
      </c>
      <c r="N1583" s="2" t="n">
        <v>34</v>
      </c>
      <c r="O1583" s="2" t="n">
        <v>62</v>
      </c>
      <c r="P1583" s="2" t="n">
        <v>194</v>
      </c>
      <c r="Q1583" s="2" t="n">
        <v>137</v>
      </c>
      <c r="R1583" s="2" t="n">
        <v>36</v>
      </c>
      <c r="S1583" s="2" t="n">
        <v>1</v>
      </c>
      <c r="T1583" s="2" t="s">
        <v>33</v>
      </c>
      <c r="U1583" s="4" t="n">
        <f aca="false">(M1583+N1583+O1583+P1583)/L1583</f>
        <v>0.110178285067446</v>
      </c>
      <c r="V1583" s="2" t="str">
        <f aca="false">IF(S1583&lt;=5,"Late night (0-5)",IF(S1583&lt;=11,"Morning (6-11)",IF(S1583&lt;=17,"Afternoon (12-17)","Evening (18-23)")))</f>
        <v>Late night (0-5)</v>
      </c>
    </row>
    <row r="1584" customFormat="false" ht="15" hidden="false" customHeight="false" outlineLevel="0" collapsed="false">
      <c r="A1584" s="2" t="s">
        <v>2637</v>
      </c>
      <c r="B1584" s="2" t="s">
        <v>47</v>
      </c>
      <c r="C1584" s="2" t="s">
        <v>48</v>
      </c>
      <c r="D1584" s="3" t="n">
        <v>46011</v>
      </c>
      <c r="E1584" s="2" t="s">
        <v>2084</v>
      </c>
      <c r="F1584" s="2" t="s">
        <v>38</v>
      </c>
      <c r="G1584" s="2" t="n">
        <v>19609</v>
      </c>
      <c r="H1584" s="2" t="n">
        <v>10</v>
      </c>
      <c r="I1584" s="2" t="n">
        <v>215</v>
      </c>
      <c r="J1584" s="2" t="n">
        <v>0</v>
      </c>
      <c r="K1584" s="2" t="n">
        <v>15331</v>
      </c>
      <c r="L1584" s="2" t="n">
        <v>11617</v>
      </c>
      <c r="M1584" s="2" t="n">
        <v>1001</v>
      </c>
      <c r="N1584" s="2" t="n">
        <v>55</v>
      </c>
      <c r="O1584" s="2" t="n">
        <v>121</v>
      </c>
      <c r="P1584" s="2" t="n">
        <v>279</v>
      </c>
      <c r="Q1584" s="2" t="n">
        <v>311</v>
      </c>
      <c r="R1584" s="2" t="n">
        <v>72</v>
      </c>
      <c r="S1584" s="2" t="n">
        <v>23</v>
      </c>
      <c r="T1584" s="2" t="s">
        <v>62</v>
      </c>
      <c r="U1584" s="4" t="n">
        <f aca="false">(M1584+N1584+O1584+P1584)/L1584</f>
        <v>0.125333562881983</v>
      </c>
      <c r="V1584" s="2" t="str">
        <f aca="false">IF(S1584&lt;=5,"Late night (0-5)",IF(S1584&lt;=11,"Morning (6-11)",IF(S1584&lt;=17,"Afternoon (12-17)","Evening (18-23)")))</f>
        <v>Evening (18-23)</v>
      </c>
    </row>
    <row r="1585" customFormat="false" ht="15" hidden="false" customHeight="false" outlineLevel="0" collapsed="false">
      <c r="A1585" s="2" t="s">
        <v>2638</v>
      </c>
      <c r="B1585" s="2" t="s">
        <v>148</v>
      </c>
      <c r="C1585" s="2" t="s">
        <v>48</v>
      </c>
      <c r="D1585" s="3" t="n">
        <v>45851</v>
      </c>
      <c r="E1585" s="2" t="s">
        <v>1234</v>
      </c>
      <c r="F1585" s="2" t="s">
        <v>32</v>
      </c>
      <c r="G1585" s="2" t="n">
        <v>46311</v>
      </c>
      <c r="H1585" s="2" t="n">
        <v>8</v>
      </c>
      <c r="I1585" s="2" t="n">
        <v>176</v>
      </c>
      <c r="J1585" s="2" t="n">
        <v>1</v>
      </c>
      <c r="K1585" s="2" t="n">
        <v>25394</v>
      </c>
      <c r="L1585" s="2" t="n">
        <v>17209</v>
      </c>
      <c r="M1585" s="2" t="n">
        <v>1097</v>
      </c>
      <c r="N1585" s="2" t="n">
        <v>73</v>
      </c>
      <c r="O1585" s="2" t="n">
        <v>326</v>
      </c>
      <c r="P1585" s="2" t="n">
        <v>199</v>
      </c>
      <c r="Q1585" s="2" t="n">
        <v>280</v>
      </c>
      <c r="R1585" s="2" t="n">
        <v>38</v>
      </c>
      <c r="S1585" s="2" t="n">
        <v>23</v>
      </c>
      <c r="T1585" s="2" t="s">
        <v>27</v>
      </c>
      <c r="U1585" s="4" t="n">
        <f aca="false">(M1585+N1585+O1585+P1585)/L1585</f>
        <v>0.0984949735603463</v>
      </c>
      <c r="V1585" s="2" t="str">
        <f aca="false">IF(S1585&lt;=5,"Late night (0-5)",IF(S1585&lt;=11,"Morning (6-11)",IF(S1585&lt;=17,"Afternoon (12-17)","Evening (18-23)")))</f>
        <v>Evening (18-23)</v>
      </c>
    </row>
    <row r="1586" customFormat="false" ht="15" hidden="false" customHeight="false" outlineLevel="0" collapsed="false">
      <c r="A1586" s="2" t="s">
        <v>2639</v>
      </c>
      <c r="B1586" s="2" t="s">
        <v>47</v>
      </c>
      <c r="C1586" s="2" t="s">
        <v>48</v>
      </c>
      <c r="D1586" s="3" t="n">
        <v>45982</v>
      </c>
      <c r="E1586" s="2" t="s">
        <v>931</v>
      </c>
      <c r="F1586" s="2" t="s">
        <v>26</v>
      </c>
      <c r="G1586" s="2" t="n">
        <v>19609</v>
      </c>
      <c r="H1586" s="2" t="n">
        <v>18</v>
      </c>
      <c r="I1586" s="2" t="n">
        <v>248</v>
      </c>
      <c r="J1586" s="2" t="n">
        <v>0</v>
      </c>
      <c r="K1586" s="2" t="n">
        <v>25584</v>
      </c>
      <c r="L1586" s="2" t="n">
        <v>19410</v>
      </c>
      <c r="M1586" s="2" t="n">
        <v>842</v>
      </c>
      <c r="N1586" s="2" t="n">
        <v>56</v>
      </c>
      <c r="O1586" s="2" t="n">
        <v>162</v>
      </c>
      <c r="P1586" s="2" t="n">
        <v>204</v>
      </c>
      <c r="Q1586" s="2" t="n">
        <v>117</v>
      </c>
      <c r="R1586" s="2" t="n">
        <v>13</v>
      </c>
      <c r="S1586" s="2" t="n">
        <v>12</v>
      </c>
      <c r="T1586" s="2" t="s">
        <v>96</v>
      </c>
      <c r="U1586" s="4" t="n">
        <f aca="false">(M1586+N1586+O1586+P1586)/L1586</f>
        <v>0.0651210716125708</v>
      </c>
      <c r="V1586" s="2" t="str">
        <f aca="false">IF(S1586&lt;=5,"Late night (0-5)",IF(S1586&lt;=11,"Morning (6-11)",IF(S1586&lt;=17,"Afternoon (12-17)","Evening (18-23)")))</f>
        <v>Afternoon (12-17)</v>
      </c>
    </row>
    <row r="1587" customFormat="false" ht="15" hidden="false" customHeight="false" outlineLevel="0" collapsed="false">
      <c r="A1587" s="2" t="s">
        <v>2640</v>
      </c>
      <c r="B1587" s="2" t="s">
        <v>462</v>
      </c>
      <c r="C1587" s="2" t="s">
        <v>84</v>
      </c>
      <c r="D1587" s="3" t="n">
        <v>45919</v>
      </c>
      <c r="E1587" s="2" t="s">
        <v>1243</v>
      </c>
      <c r="F1587" s="2" t="s">
        <v>32</v>
      </c>
      <c r="G1587" s="2" t="n">
        <v>43510</v>
      </c>
      <c r="H1587" s="2" t="n">
        <v>14</v>
      </c>
      <c r="I1587" s="2" t="n">
        <v>11</v>
      </c>
      <c r="J1587" s="2" t="n">
        <v>0</v>
      </c>
      <c r="K1587" s="2" t="n">
        <v>118559</v>
      </c>
      <c r="L1587" s="2" t="n">
        <v>81148</v>
      </c>
      <c r="M1587" s="2" t="n">
        <v>8391</v>
      </c>
      <c r="N1587" s="2" t="n">
        <v>659</v>
      </c>
      <c r="O1587" s="2" t="n">
        <v>883</v>
      </c>
      <c r="P1587" s="2" t="n">
        <v>522</v>
      </c>
      <c r="Q1587" s="2" t="n">
        <v>717</v>
      </c>
      <c r="R1587" s="2" t="n">
        <v>47</v>
      </c>
      <c r="S1587" s="2" t="n">
        <v>15</v>
      </c>
      <c r="T1587" s="2" t="s">
        <v>96</v>
      </c>
      <c r="U1587" s="4" t="n">
        <f aca="false">(M1587+N1587+O1587+P1587)/L1587</f>
        <v>0.128838665155025</v>
      </c>
      <c r="V1587" s="2" t="str">
        <f aca="false">IF(S1587&lt;=5,"Late night (0-5)",IF(S1587&lt;=11,"Morning (6-11)",IF(S1587&lt;=17,"Afternoon (12-17)","Evening (18-23)")))</f>
        <v>Afternoon (12-17)</v>
      </c>
    </row>
    <row r="1588" customFormat="false" ht="15" hidden="false" customHeight="false" outlineLevel="0" collapsed="false">
      <c r="A1588" s="2" t="s">
        <v>2641</v>
      </c>
      <c r="B1588" s="2" t="s">
        <v>29</v>
      </c>
      <c r="C1588" s="2" t="s">
        <v>30</v>
      </c>
      <c r="D1588" s="3" t="n">
        <v>45972</v>
      </c>
      <c r="E1588" s="2" t="s">
        <v>2583</v>
      </c>
      <c r="F1588" s="2" t="s">
        <v>38</v>
      </c>
      <c r="G1588" s="2" t="n">
        <v>11612</v>
      </c>
      <c r="H1588" s="2" t="n">
        <v>0</v>
      </c>
      <c r="I1588" s="2" t="n">
        <v>206</v>
      </c>
      <c r="J1588" s="2" t="n">
        <v>1</v>
      </c>
      <c r="K1588" s="2" t="n">
        <v>7079</v>
      </c>
      <c r="L1588" s="2" t="n">
        <v>5610</v>
      </c>
      <c r="M1588" s="2" t="n">
        <v>378</v>
      </c>
      <c r="N1588" s="2" t="n">
        <v>19</v>
      </c>
      <c r="O1588" s="2" t="n">
        <v>20</v>
      </c>
      <c r="P1588" s="2" t="n">
        <v>53</v>
      </c>
      <c r="Q1588" s="2" t="n">
        <v>137</v>
      </c>
      <c r="R1588" s="2" t="n">
        <v>14</v>
      </c>
      <c r="S1588" s="2" t="n">
        <v>21</v>
      </c>
      <c r="T1588" s="2" t="s">
        <v>51</v>
      </c>
      <c r="U1588" s="4" t="n">
        <f aca="false">(M1588+N1588+O1588+P1588)/L1588</f>
        <v>0.0837789661319073</v>
      </c>
      <c r="V1588" s="2" t="str">
        <f aca="false">IF(S1588&lt;=5,"Late night (0-5)",IF(S1588&lt;=11,"Morning (6-11)",IF(S1588&lt;=17,"Afternoon (12-17)","Evening (18-23)")))</f>
        <v>Evening (18-23)</v>
      </c>
    </row>
    <row r="1589" customFormat="false" ht="15" hidden="false" customHeight="false" outlineLevel="0" collapsed="false">
      <c r="A1589" s="2" t="s">
        <v>2642</v>
      </c>
      <c r="B1589" s="2" t="s">
        <v>264</v>
      </c>
      <c r="C1589" s="2" t="s">
        <v>36</v>
      </c>
      <c r="D1589" s="3" t="n">
        <v>45695</v>
      </c>
      <c r="E1589" s="2" t="s">
        <v>2643</v>
      </c>
      <c r="F1589" s="2" t="s">
        <v>26</v>
      </c>
      <c r="G1589" s="2" t="n">
        <v>22362</v>
      </c>
      <c r="H1589" s="2" t="n">
        <v>4</v>
      </c>
      <c r="I1589" s="2" t="n">
        <v>93</v>
      </c>
      <c r="J1589" s="2" t="n">
        <v>1</v>
      </c>
      <c r="K1589" s="2" t="n">
        <v>11596</v>
      </c>
      <c r="L1589" s="2" t="n">
        <v>10215</v>
      </c>
      <c r="M1589" s="2" t="n">
        <v>314</v>
      </c>
      <c r="N1589" s="2" t="n">
        <v>9</v>
      </c>
      <c r="O1589" s="2" t="n">
        <v>52</v>
      </c>
      <c r="P1589" s="2" t="n">
        <v>79</v>
      </c>
      <c r="Q1589" s="2" t="n">
        <v>210</v>
      </c>
      <c r="R1589" s="2" t="n">
        <v>29</v>
      </c>
      <c r="S1589" s="2" t="n">
        <v>2</v>
      </c>
      <c r="T1589" s="2" t="s">
        <v>96</v>
      </c>
      <c r="U1589" s="4" t="n">
        <f aca="false">(M1589+N1589+O1589+P1589)/L1589</f>
        <v>0.0444444444444444</v>
      </c>
      <c r="V1589" s="2" t="str">
        <f aca="false">IF(S1589&lt;=5,"Late night (0-5)",IF(S1589&lt;=11,"Morning (6-11)",IF(S1589&lt;=17,"Afternoon (12-17)","Evening (18-23)")))</f>
        <v>Late night (0-5)</v>
      </c>
    </row>
    <row r="1590" customFormat="false" ht="15" hidden="false" customHeight="false" outlineLevel="0" collapsed="false">
      <c r="A1590" s="2" t="s">
        <v>2644</v>
      </c>
      <c r="B1590" s="2" t="s">
        <v>135</v>
      </c>
      <c r="C1590" s="2" t="s">
        <v>36</v>
      </c>
      <c r="D1590" s="3" t="n">
        <v>45813</v>
      </c>
      <c r="E1590" s="2" t="s">
        <v>732</v>
      </c>
      <c r="F1590" s="2" t="s">
        <v>32</v>
      </c>
      <c r="G1590" s="2" t="n">
        <v>45812</v>
      </c>
      <c r="H1590" s="2" t="n">
        <v>7</v>
      </c>
      <c r="I1590" s="2" t="n">
        <v>110</v>
      </c>
      <c r="J1590" s="2" t="n">
        <v>0</v>
      </c>
      <c r="K1590" s="2" t="n">
        <v>101079</v>
      </c>
      <c r="L1590" s="2" t="n">
        <v>68337</v>
      </c>
      <c r="M1590" s="2" t="n">
        <v>2722</v>
      </c>
      <c r="N1590" s="2" t="n">
        <v>156</v>
      </c>
      <c r="O1590" s="2" t="n">
        <v>674</v>
      </c>
      <c r="P1590" s="2" t="n">
        <v>403</v>
      </c>
      <c r="Q1590" s="2" t="n">
        <v>760</v>
      </c>
      <c r="R1590" s="2" t="n">
        <v>183</v>
      </c>
      <c r="S1590" s="2" t="n">
        <v>21</v>
      </c>
      <c r="T1590" s="2" t="s">
        <v>79</v>
      </c>
      <c r="U1590" s="4" t="n">
        <f aca="false">(M1590+N1590+O1590+P1590)/L1590</f>
        <v>0.0578749432957256</v>
      </c>
      <c r="V1590" s="2" t="str">
        <f aca="false">IF(S1590&lt;=5,"Late night (0-5)",IF(S1590&lt;=11,"Morning (6-11)",IF(S1590&lt;=17,"Afternoon (12-17)","Evening (18-23)")))</f>
        <v>Evening (18-23)</v>
      </c>
    </row>
    <row r="1591" customFormat="false" ht="15" hidden="false" customHeight="false" outlineLevel="0" collapsed="false">
      <c r="A1591" s="2" t="s">
        <v>2645</v>
      </c>
      <c r="B1591" s="2" t="s">
        <v>68</v>
      </c>
      <c r="C1591" s="2" t="s">
        <v>54</v>
      </c>
      <c r="D1591" s="3" t="n">
        <v>45758</v>
      </c>
      <c r="E1591" s="2" t="s">
        <v>2646</v>
      </c>
      <c r="F1591" s="2" t="s">
        <v>26</v>
      </c>
      <c r="G1591" s="2" t="n">
        <v>35922</v>
      </c>
      <c r="H1591" s="2" t="n">
        <v>7</v>
      </c>
      <c r="I1591" s="2" t="n">
        <v>218</v>
      </c>
      <c r="J1591" s="2" t="n">
        <v>1</v>
      </c>
      <c r="K1591" s="2" t="n">
        <v>13875</v>
      </c>
      <c r="L1591" s="2" t="n">
        <v>11103</v>
      </c>
      <c r="M1591" s="2" t="n">
        <v>943</v>
      </c>
      <c r="N1591" s="2" t="n">
        <v>74</v>
      </c>
      <c r="O1591" s="2" t="n">
        <v>76</v>
      </c>
      <c r="P1591" s="2" t="n">
        <v>123</v>
      </c>
      <c r="Q1591" s="2" t="n">
        <v>116</v>
      </c>
      <c r="R1591" s="2" t="n">
        <v>19</v>
      </c>
      <c r="S1591" s="2" t="n">
        <v>0</v>
      </c>
      <c r="T1591" s="2" t="s">
        <v>96</v>
      </c>
      <c r="U1591" s="4" t="n">
        <f aca="false">(M1591+N1591+O1591+P1591)/L1591</f>
        <v>0.109519949563181</v>
      </c>
      <c r="V1591" s="2" t="str">
        <f aca="false">IF(S1591&lt;=5,"Late night (0-5)",IF(S1591&lt;=11,"Morning (6-11)",IF(S1591&lt;=17,"Afternoon (12-17)","Evening (18-23)")))</f>
        <v>Late night (0-5)</v>
      </c>
    </row>
    <row r="1592" customFormat="false" ht="15" hidden="false" customHeight="false" outlineLevel="0" collapsed="false">
      <c r="A1592" s="2" t="s">
        <v>2647</v>
      </c>
      <c r="B1592" s="2" t="s">
        <v>181</v>
      </c>
      <c r="C1592" s="2" t="s">
        <v>91</v>
      </c>
      <c r="D1592" s="3" t="n">
        <v>45793</v>
      </c>
      <c r="E1592" s="2" t="s">
        <v>2648</v>
      </c>
      <c r="F1592" s="2" t="s">
        <v>38</v>
      </c>
      <c r="G1592" s="2" t="n">
        <v>31658</v>
      </c>
      <c r="H1592" s="2" t="n">
        <v>7</v>
      </c>
      <c r="I1592" s="2" t="n">
        <v>215</v>
      </c>
      <c r="J1592" s="2" t="n">
        <v>0</v>
      </c>
      <c r="K1592" s="2" t="n">
        <v>27845</v>
      </c>
      <c r="L1592" s="2" t="n">
        <v>16786</v>
      </c>
      <c r="M1592" s="2" t="n">
        <v>1468</v>
      </c>
      <c r="N1592" s="2" t="n">
        <v>106</v>
      </c>
      <c r="O1592" s="2" t="n">
        <v>82</v>
      </c>
      <c r="P1592" s="2" t="n">
        <v>358</v>
      </c>
      <c r="Q1592" s="2" t="n">
        <v>146</v>
      </c>
      <c r="R1592" s="2" t="n">
        <v>40</v>
      </c>
      <c r="S1592" s="2" t="n">
        <v>9</v>
      </c>
      <c r="T1592" s="2" t="s">
        <v>96</v>
      </c>
      <c r="U1592" s="4" t="n">
        <f aca="false">(M1592+N1592+O1592+P1592)/L1592</f>
        <v>0.119980936494698</v>
      </c>
      <c r="V1592" s="2" t="str">
        <f aca="false">IF(S1592&lt;=5,"Late night (0-5)",IF(S1592&lt;=11,"Morning (6-11)",IF(S1592&lt;=17,"Afternoon (12-17)","Evening (18-23)")))</f>
        <v>Morning (6-11)</v>
      </c>
    </row>
    <row r="1593" customFormat="false" ht="15" hidden="false" customHeight="false" outlineLevel="0" collapsed="false">
      <c r="A1593" s="2" t="s">
        <v>2649</v>
      </c>
      <c r="B1593" s="2" t="s">
        <v>154</v>
      </c>
      <c r="C1593" s="2" t="s">
        <v>41</v>
      </c>
      <c r="D1593" s="3" t="n">
        <v>45914</v>
      </c>
      <c r="E1593" s="2" t="s">
        <v>1304</v>
      </c>
      <c r="F1593" s="2" t="s">
        <v>50</v>
      </c>
      <c r="G1593" s="2" t="n">
        <v>33644</v>
      </c>
      <c r="H1593" s="2" t="n">
        <v>16</v>
      </c>
      <c r="I1593" s="2" t="n">
        <v>10</v>
      </c>
      <c r="J1593" s="2" t="n">
        <v>1</v>
      </c>
      <c r="K1593" s="2" t="n">
        <v>15864</v>
      </c>
      <c r="L1593" s="2" t="n">
        <v>9597</v>
      </c>
      <c r="M1593" s="2" t="n">
        <v>426</v>
      </c>
      <c r="N1593" s="2" t="n">
        <v>15</v>
      </c>
      <c r="O1593" s="2" t="n">
        <v>25</v>
      </c>
      <c r="P1593" s="2" t="n">
        <v>125</v>
      </c>
      <c r="Q1593" s="2" t="n">
        <v>235</v>
      </c>
      <c r="R1593" s="2" t="n">
        <v>66</v>
      </c>
      <c r="S1593" s="2" t="n">
        <v>5</v>
      </c>
      <c r="T1593" s="2" t="s">
        <v>27</v>
      </c>
      <c r="U1593" s="4" t="n">
        <f aca="false">(M1593+N1593+O1593+P1593)/L1593</f>
        <v>0.0615817442950922</v>
      </c>
      <c r="V1593" s="2" t="str">
        <f aca="false">IF(S1593&lt;=5,"Late night (0-5)",IF(S1593&lt;=11,"Morning (6-11)",IF(S1593&lt;=17,"Afternoon (12-17)","Evening (18-23)")))</f>
        <v>Late night (0-5)</v>
      </c>
    </row>
    <row r="1594" customFormat="false" ht="15" hidden="false" customHeight="false" outlineLevel="0" collapsed="false">
      <c r="A1594" s="2" t="s">
        <v>2650</v>
      </c>
      <c r="B1594" s="2" t="s">
        <v>374</v>
      </c>
      <c r="C1594" s="2" t="s">
        <v>24</v>
      </c>
      <c r="D1594" s="3" t="n">
        <v>45698</v>
      </c>
      <c r="E1594" s="2" t="s">
        <v>1381</v>
      </c>
      <c r="F1594" s="2" t="s">
        <v>50</v>
      </c>
      <c r="G1594" s="2" t="n">
        <v>9509</v>
      </c>
      <c r="H1594" s="2" t="n">
        <v>8</v>
      </c>
      <c r="I1594" s="2" t="n">
        <v>208</v>
      </c>
      <c r="J1594" s="2" t="n">
        <v>0</v>
      </c>
      <c r="K1594" s="2" t="n">
        <v>9750</v>
      </c>
      <c r="L1594" s="2" t="n">
        <v>8147</v>
      </c>
      <c r="M1594" s="2" t="n">
        <v>301</v>
      </c>
      <c r="N1594" s="2" t="n">
        <v>7</v>
      </c>
      <c r="O1594" s="2" t="n">
        <v>48</v>
      </c>
      <c r="P1594" s="2" t="n">
        <v>74</v>
      </c>
      <c r="Q1594" s="2" t="n">
        <v>182</v>
      </c>
      <c r="R1594" s="2" t="n">
        <v>11</v>
      </c>
      <c r="S1594" s="2" t="n">
        <v>8</v>
      </c>
      <c r="T1594" s="2" t="s">
        <v>33</v>
      </c>
      <c r="U1594" s="4" t="n">
        <f aca="false">(M1594+N1594+O1594+P1594)/L1594</f>
        <v>0.0527801644777219</v>
      </c>
      <c r="V1594" s="2" t="str">
        <f aca="false">IF(S1594&lt;=5,"Late night (0-5)",IF(S1594&lt;=11,"Morning (6-11)",IF(S1594&lt;=17,"Afternoon (12-17)","Evening (18-23)")))</f>
        <v>Morning (6-11)</v>
      </c>
    </row>
    <row r="1595" customFormat="false" ht="15" hidden="false" customHeight="false" outlineLevel="0" collapsed="false">
      <c r="A1595" s="2" t="s">
        <v>2651</v>
      </c>
      <c r="B1595" s="2" t="s">
        <v>103</v>
      </c>
      <c r="C1595" s="2" t="s">
        <v>36</v>
      </c>
      <c r="D1595" s="3" t="n">
        <v>45937</v>
      </c>
      <c r="E1595" s="2" t="s">
        <v>2652</v>
      </c>
      <c r="F1595" s="2" t="s">
        <v>32</v>
      </c>
      <c r="G1595" s="2" t="n">
        <v>56979</v>
      </c>
      <c r="H1595" s="2" t="n">
        <v>7</v>
      </c>
      <c r="I1595" s="2" t="n">
        <v>271</v>
      </c>
      <c r="J1595" s="2" t="n">
        <v>0</v>
      </c>
      <c r="K1595" s="2" t="n">
        <v>40028</v>
      </c>
      <c r="L1595" s="2" t="n">
        <v>32530</v>
      </c>
      <c r="M1595" s="2" t="n">
        <v>1684</v>
      </c>
      <c r="N1595" s="2" t="n">
        <v>66</v>
      </c>
      <c r="O1595" s="2" t="n">
        <v>329</v>
      </c>
      <c r="P1595" s="2" t="n">
        <v>345</v>
      </c>
      <c r="Q1595" s="2" t="n">
        <v>721</v>
      </c>
      <c r="R1595" s="2" t="n">
        <v>199</v>
      </c>
      <c r="S1595" s="2" t="n">
        <v>15</v>
      </c>
      <c r="T1595" s="2" t="s">
        <v>51</v>
      </c>
      <c r="U1595" s="4" t="n">
        <f aca="false">(M1595+N1595+O1595+P1595)/L1595</f>
        <v>0.0745158315401168</v>
      </c>
      <c r="V1595" s="2" t="str">
        <f aca="false">IF(S1595&lt;=5,"Late night (0-5)",IF(S1595&lt;=11,"Morning (6-11)",IF(S1595&lt;=17,"Afternoon (12-17)","Evening (18-23)")))</f>
        <v>Afternoon (12-17)</v>
      </c>
    </row>
    <row r="1596" customFormat="false" ht="15" hidden="false" customHeight="false" outlineLevel="0" collapsed="false">
      <c r="A1596" s="2" t="s">
        <v>2653</v>
      </c>
      <c r="B1596" s="2" t="s">
        <v>77</v>
      </c>
      <c r="C1596" s="2" t="s">
        <v>30</v>
      </c>
      <c r="D1596" s="3" t="n">
        <v>45914</v>
      </c>
      <c r="E1596" s="2" t="s">
        <v>275</v>
      </c>
      <c r="F1596" s="2" t="s">
        <v>26</v>
      </c>
      <c r="G1596" s="2" t="n">
        <v>17548</v>
      </c>
      <c r="H1596" s="2" t="n">
        <v>8</v>
      </c>
      <c r="I1596" s="2" t="n">
        <v>191</v>
      </c>
      <c r="J1596" s="2" t="n">
        <v>0</v>
      </c>
      <c r="K1596" s="2" t="n">
        <v>7583</v>
      </c>
      <c r="L1596" s="2" t="n">
        <v>4907</v>
      </c>
      <c r="M1596" s="2" t="n">
        <v>161</v>
      </c>
      <c r="N1596" s="2" t="n">
        <v>7</v>
      </c>
      <c r="O1596" s="2" t="n">
        <v>9</v>
      </c>
      <c r="P1596" s="2" t="n">
        <v>45</v>
      </c>
      <c r="Q1596" s="2" t="n">
        <v>63</v>
      </c>
      <c r="R1596" s="2" t="n">
        <v>15</v>
      </c>
      <c r="S1596" s="2" t="n">
        <v>14</v>
      </c>
      <c r="T1596" s="2" t="s">
        <v>27</v>
      </c>
      <c r="U1596" s="4" t="n">
        <f aca="false">(M1596+N1596+O1596+P1596)/L1596</f>
        <v>0.0452414917464846</v>
      </c>
      <c r="V1596" s="2" t="str">
        <f aca="false">IF(S1596&lt;=5,"Late night (0-5)",IF(S1596&lt;=11,"Morning (6-11)",IF(S1596&lt;=17,"Afternoon (12-17)","Evening (18-23)")))</f>
        <v>Afternoon (12-17)</v>
      </c>
    </row>
    <row r="1597" customFormat="false" ht="15" hidden="false" customHeight="false" outlineLevel="0" collapsed="false">
      <c r="A1597" s="2" t="s">
        <v>2654</v>
      </c>
      <c r="B1597" s="2" t="s">
        <v>345</v>
      </c>
      <c r="C1597" s="2" t="s">
        <v>30</v>
      </c>
      <c r="D1597" s="3" t="n">
        <v>45906</v>
      </c>
      <c r="E1597" s="2" t="s">
        <v>2655</v>
      </c>
      <c r="F1597" s="2" t="s">
        <v>38</v>
      </c>
      <c r="G1597" s="2" t="n">
        <v>8662</v>
      </c>
      <c r="H1597" s="2" t="n">
        <v>10</v>
      </c>
      <c r="I1597" s="2" t="n">
        <v>242</v>
      </c>
      <c r="J1597" s="2" t="n">
        <v>0</v>
      </c>
      <c r="K1597" s="2" t="n">
        <v>4595</v>
      </c>
      <c r="L1597" s="2" t="n">
        <v>3203</v>
      </c>
      <c r="M1597" s="2" t="n">
        <v>227</v>
      </c>
      <c r="N1597" s="2" t="n">
        <v>11</v>
      </c>
      <c r="O1597" s="2" t="n">
        <v>19</v>
      </c>
      <c r="P1597" s="2" t="n">
        <v>50</v>
      </c>
      <c r="Q1597" s="2" t="n">
        <v>68</v>
      </c>
      <c r="R1597" s="2" t="n">
        <v>13</v>
      </c>
      <c r="S1597" s="2" t="n">
        <v>22</v>
      </c>
      <c r="T1597" s="2" t="s">
        <v>62</v>
      </c>
      <c r="U1597" s="4" t="n">
        <f aca="false">(M1597+N1597+O1597+P1597)/L1597</f>
        <v>0.0958476428348423</v>
      </c>
      <c r="V1597" s="2" t="str">
        <f aca="false">IF(S1597&lt;=5,"Late night (0-5)",IF(S1597&lt;=11,"Morning (6-11)",IF(S1597&lt;=17,"Afternoon (12-17)","Evening (18-23)")))</f>
        <v>Evening (18-23)</v>
      </c>
    </row>
    <row r="1598" customFormat="false" ht="15" hidden="false" customHeight="false" outlineLevel="0" collapsed="false">
      <c r="A1598" s="2" t="s">
        <v>2656</v>
      </c>
      <c r="B1598" s="2" t="s">
        <v>310</v>
      </c>
      <c r="C1598" s="2" t="s">
        <v>91</v>
      </c>
      <c r="D1598" s="3" t="n">
        <v>45777</v>
      </c>
      <c r="E1598" s="2" t="s">
        <v>767</v>
      </c>
      <c r="F1598" s="2" t="s">
        <v>32</v>
      </c>
      <c r="G1598" s="2" t="n">
        <v>56571</v>
      </c>
      <c r="H1598" s="2" t="n">
        <v>23</v>
      </c>
      <c r="I1598" s="2" t="n">
        <v>146</v>
      </c>
      <c r="J1598" s="2" t="n">
        <v>0</v>
      </c>
      <c r="K1598" s="2" t="n">
        <v>112553</v>
      </c>
      <c r="L1598" s="2" t="n">
        <v>73087</v>
      </c>
      <c r="M1598" s="2" t="n">
        <v>5292</v>
      </c>
      <c r="N1598" s="2" t="n">
        <v>403</v>
      </c>
      <c r="O1598" s="2" t="n">
        <v>790</v>
      </c>
      <c r="P1598" s="2" t="n">
        <v>373</v>
      </c>
      <c r="Q1598" s="2" t="n">
        <v>917</v>
      </c>
      <c r="R1598" s="2" t="n">
        <v>184</v>
      </c>
      <c r="S1598" s="2" t="n">
        <v>22</v>
      </c>
      <c r="T1598" s="2" t="s">
        <v>66</v>
      </c>
      <c r="U1598" s="4" t="n">
        <f aca="false">(M1598+N1598+O1598+P1598)/L1598</f>
        <v>0.0938333766606921</v>
      </c>
      <c r="V1598" s="2" t="str">
        <f aca="false">IF(S1598&lt;=5,"Late night (0-5)",IF(S1598&lt;=11,"Morning (6-11)",IF(S1598&lt;=17,"Afternoon (12-17)","Evening (18-23)")))</f>
        <v>Evening (18-23)</v>
      </c>
    </row>
    <row r="1599" customFormat="false" ht="15" hidden="false" customHeight="false" outlineLevel="0" collapsed="false">
      <c r="A1599" s="2" t="s">
        <v>2657</v>
      </c>
      <c r="B1599" s="2" t="s">
        <v>206</v>
      </c>
      <c r="C1599" s="2" t="s">
        <v>48</v>
      </c>
      <c r="D1599" s="3" t="n">
        <v>45963</v>
      </c>
      <c r="E1599" s="2" t="s">
        <v>1258</v>
      </c>
      <c r="F1599" s="2" t="s">
        <v>50</v>
      </c>
      <c r="G1599" s="2" t="n">
        <v>42937</v>
      </c>
      <c r="H1599" s="2" t="n">
        <v>8</v>
      </c>
      <c r="I1599" s="2" t="n">
        <v>220</v>
      </c>
      <c r="J1599" s="2" t="n">
        <v>1</v>
      </c>
      <c r="K1599" s="2" t="n">
        <v>129831</v>
      </c>
      <c r="L1599" s="2" t="n">
        <v>72423</v>
      </c>
      <c r="M1599" s="2" t="n">
        <v>6069</v>
      </c>
      <c r="N1599" s="2" t="n">
        <v>458</v>
      </c>
      <c r="O1599" s="2" t="n">
        <v>402</v>
      </c>
      <c r="P1599" s="2" t="n">
        <v>1126</v>
      </c>
      <c r="Q1599" s="2" t="n">
        <v>787</v>
      </c>
      <c r="R1599" s="2" t="n">
        <v>216</v>
      </c>
      <c r="S1599" s="2" t="n">
        <v>6</v>
      </c>
      <c r="T1599" s="2" t="s">
        <v>27</v>
      </c>
      <c r="U1599" s="4" t="n">
        <f aca="false">(M1599+N1599+O1599+P1599)/L1599</f>
        <v>0.111221573257114</v>
      </c>
      <c r="V1599" s="2" t="str">
        <f aca="false">IF(S1599&lt;=5,"Late night (0-5)",IF(S1599&lt;=11,"Morning (6-11)",IF(S1599&lt;=17,"Afternoon (12-17)","Evening (18-23)")))</f>
        <v>Morning (6-11)</v>
      </c>
    </row>
    <row r="1600" customFormat="false" ht="15" hidden="false" customHeight="false" outlineLevel="0" collapsed="false">
      <c r="A1600" s="2" t="s">
        <v>2658</v>
      </c>
      <c r="B1600" s="2" t="s">
        <v>47</v>
      </c>
      <c r="C1600" s="2" t="s">
        <v>48</v>
      </c>
      <c r="D1600" s="3" t="n">
        <v>45976</v>
      </c>
      <c r="E1600" s="2" t="s">
        <v>1574</v>
      </c>
      <c r="F1600" s="2" t="s">
        <v>26</v>
      </c>
      <c r="G1600" s="2" t="n">
        <v>19609</v>
      </c>
      <c r="H1600" s="2" t="n">
        <v>20</v>
      </c>
      <c r="I1600" s="2" t="n">
        <v>271</v>
      </c>
      <c r="J1600" s="2" t="n">
        <v>0</v>
      </c>
      <c r="K1600" s="2" t="n">
        <v>8443</v>
      </c>
      <c r="L1600" s="2" t="n">
        <v>5040</v>
      </c>
      <c r="M1600" s="2" t="n">
        <v>181</v>
      </c>
      <c r="N1600" s="2" t="n">
        <v>3</v>
      </c>
      <c r="O1600" s="2" t="n">
        <v>6</v>
      </c>
      <c r="P1600" s="2" t="n">
        <v>57</v>
      </c>
      <c r="Q1600" s="2" t="n">
        <v>142</v>
      </c>
      <c r="R1600" s="2" t="n">
        <v>18</v>
      </c>
      <c r="S1600" s="2" t="n">
        <v>23</v>
      </c>
      <c r="T1600" s="2" t="s">
        <v>62</v>
      </c>
      <c r="U1600" s="4" t="n">
        <f aca="false">(M1600+N1600+O1600+P1600)/L1600</f>
        <v>0.0490079365079365</v>
      </c>
      <c r="V1600" s="2" t="str">
        <f aca="false">IF(S1600&lt;=5,"Late night (0-5)",IF(S1600&lt;=11,"Morning (6-11)",IF(S1600&lt;=17,"Afternoon (12-17)","Evening (18-23)")))</f>
        <v>Evening (18-23)</v>
      </c>
    </row>
    <row r="1601" customFormat="false" ht="15" hidden="false" customHeight="false" outlineLevel="0" collapsed="false">
      <c r="A1601" s="2" t="s">
        <v>2659</v>
      </c>
      <c r="B1601" s="2" t="s">
        <v>126</v>
      </c>
      <c r="C1601" s="2" t="s">
        <v>36</v>
      </c>
      <c r="D1601" s="3" t="n">
        <v>45992</v>
      </c>
      <c r="E1601" s="2" t="s">
        <v>899</v>
      </c>
      <c r="F1601" s="2" t="s">
        <v>32</v>
      </c>
      <c r="G1601" s="2" t="n">
        <v>28784</v>
      </c>
      <c r="H1601" s="2" t="n">
        <v>13</v>
      </c>
      <c r="I1601" s="2" t="n">
        <v>131</v>
      </c>
      <c r="J1601" s="2" t="n">
        <v>0</v>
      </c>
      <c r="K1601" s="2" t="n">
        <v>15388</v>
      </c>
      <c r="L1601" s="2" t="n">
        <v>10588</v>
      </c>
      <c r="M1601" s="2" t="n">
        <v>470</v>
      </c>
      <c r="N1601" s="2" t="n">
        <v>29</v>
      </c>
      <c r="O1601" s="2" t="n">
        <v>46</v>
      </c>
      <c r="P1601" s="2" t="n">
        <v>91</v>
      </c>
      <c r="Q1601" s="2" t="n">
        <v>279</v>
      </c>
      <c r="R1601" s="2" t="n">
        <v>47</v>
      </c>
      <c r="S1601" s="2" t="n">
        <v>3</v>
      </c>
      <c r="T1601" s="2" t="s">
        <v>33</v>
      </c>
      <c r="U1601" s="4" t="n">
        <f aca="false">(M1601+N1601+O1601+P1601)/L1601</f>
        <v>0.0600680015111447</v>
      </c>
      <c r="V1601" s="2" t="str">
        <f aca="false">IF(S1601&lt;=5,"Late night (0-5)",IF(S1601&lt;=11,"Morning (6-11)",IF(S1601&lt;=17,"Afternoon (12-17)","Evening (18-23)")))</f>
        <v>Late night (0-5)</v>
      </c>
    </row>
    <row r="1602" customFormat="false" ht="15" hidden="false" customHeight="false" outlineLevel="0" collapsed="false">
      <c r="A1602" s="2" t="s">
        <v>2660</v>
      </c>
      <c r="B1602" s="2" t="s">
        <v>71</v>
      </c>
      <c r="C1602" s="2" t="s">
        <v>48</v>
      </c>
      <c r="D1602" s="3" t="n">
        <v>45873</v>
      </c>
      <c r="E1602" s="2" t="s">
        <v>2661</v>
      </c>
      <c r="F1602" s="2" t="s">
        <v>32</v>
      </c>
      <c r="G1602" s="2" t="n">
        <v>7316</v>
      </c>
      <c r="H1602" s="2" t="n">
        <v>10</v>
      </c>
      <c r="I1602" s="2" t="n">
        <v>150</v>
      </c>
      <c r="J1602" s="2" t="n">
        <v>1</v>
      </c>
      <c r="K1602" s="2" t="n">
        <v>13129</v>
      </c>
      <c r="L1602" s="2" t="n">
        <v>7667</v>
      </c>
      <c r="M1602" s="2" t="n">
        <v>646</v>
      </c>
      <c r="N1602" s="2" t="n">
        <v>19</v>
      </c>
      <c r="O1602" s="2" t="n">
        <v>91</v>
      </c>
      <c r="P1602" s="2" t="n">
        <v>70</v>
      </c>
      <c r="Q1602" s="2" t="n">
        <v>167</v>
      </c>
      <c r="R1602" s="2" t="n">
        <v>40</v>
      </c>
      <c r="S1602" s="2" t="n">
        <v>10</v>
      </c>
      <c r="T1602" s="2" t="s">
        <v>33</v>
      </c>
      <c r="U1602" s="4" t="n">
        <f aca="false">(M1602+N1602+O1602+P1602)/L1602</f>
        <v>0.107734446328421</v>
      </c>
      <c r="V1602" s="2" t="str">
        <f aca="false">IF(S1602&lt;=5,"Late night (0-5)",IF(S1602&lt;=11,"Morning (6-11)",IF(S1602&lt;=17,"Afternoon (12-17)","Evening (18-23)")))</f>
        <v>Morning (6-11)</v>
      </c>
    </row>
    <row r="1603" customFormat="false" ht="15" hidden="false" customHeight="false" outlineLevel="0" collapsed="false">
      <c r="A1603" s="2" t="s">
        <v>2662</v>
      </c>
      <c r="B1603" s="2" t="s">
        <v>77</v>
      </c>
      <c r="C1603" s="2" t="s">
        <v>30</v>
      </c>
      <c r="D1603" s="3" t="n">
        <v>45952</v>
      </c>
      <c r="E1603" s="2" t="s">
        <v>2255</v>
      </c>
      <c r="F1603" s="2" t="s">
        <v>50</v>
      </c>
      <c r="G1603" s="2" t="n">
        <v>17548</v>
      </c>
      <c r="H1603" s="2" t="n">
        <v>0</v>
      </c>
      <c r="I1603" s="2" t="n">
        <v>225</v>
      </c>
      <c r="J1603" s="2" t="n">
        <v>0</v>
      </c>
      <c r="K1603" s="2" t="n">
        <v>16875</v>
      </c>
      <c r="L1603" s="2" t="n">
        <v>10352</v>
      </c>
      <c r="M1603" s="2" t="n">
        <v>824</v>
      </c>
      <c r="N1603" s="2" t="n">
        <v>51</v>
      </c>
      <c r="O1603" s="2" t="n">
        <v>106</v>
      </c>
      <c r="P1603" s="2" t="n">
        <v>107</v>
      </c>
      <c r="Q1603" s="2" t="n">
        <v>232</v>
      </c>
      <c r="R1603" s="2" t="n">
        <v>67</v>
      </c>
      <c r="S1603" s="2" t="n">
        <v>18</v>
      </c>
      <c r="T1603" s="2" t="s">
        <v>66</v>
      </c>
      <c r="U1603" s="4" t="n">
        <f aca="false">(M1603+N1603+O1603+P1603)/L1603</f>
        <v>0.105100463678516</v>
      </c>
      <c r="V1603" s="2" t="str">
        <f aca="false">IF(S1603&lt;=5,"Late night (0-5)",IF(S1603&lt;=11,"Morning (6-11)",IF(S1603&lt;=17,"Afternoon (12-17)","Evening (18-23)")))</f>
        <v>Evening (18-23)</v>
      </c>
    </row>
    <row r="1604" customFormat="false" ht="15" hidden="false" customHeight="false" outlineLevel="0" collapsed="false">
      <c r="A1604" s="2" t="s">
        <v>2663</v>
      </c>
      <c r="B1604" s="2" t="s">
        <v>426</v>
      </c>
      <c r="C1604" s="2" t="s">
        <v>30</v>
      </c>
      <c r="D1604" s="3" t="n">
        <v>45868</v>
      </c>
      <c r="E1604" s="2" t="s">
        <v>2664</v>
      </c>
      <c r="F1604" s="2" t="s">
        <v>32</v>
      </c>
      <c r="G1604" s="2" t="n">
        <v>40649</v>
      </c>
      <c r="H1604" s="2" t="n">
        <v>11</v>
      </c>
      <c r="I1604" s="2" t="n">
        <v>123</v>
      </c>
      <c r="J1604" s="2" t="n">
        <v>0</v>
      </c>
      <c r="K1604" s="2" t="n">
        <v>137998</v>
      </c>
      <c r="L1604" s="2" t="n">
        <v>89712</v>
      </c>
      <c r="M1604" s="2" t="n">
        <v>8880</v>
      </c>
      <c r="N1604" s="2" t="n">
        <v>370</v>
      </c>
      <c r="O1604" s="2" t="n">
        <v>781</v>
      </c>
      <c r="P1604" s="2" t="n">
        <v>1332</v>
      </c>
      <c r="Q1604" s="2" t="n">
        <v>2211</v>
      </c>
      <c r="R1604" s="2" t="n">
        <v>437</v>
      </c>
      <c r="S1604" s="2" t="n">
        <v>18</v>
      </c>
      <c r="T1604" s="2" t="s">
        <v>66</v>
      </c>
      <c r="U1604" s="4" t="n">
        <f aca="false">(M1604+N1604+O1604+P1604)/L1604</f>
        <v>0.126660870340646</v>
      </c>
      <c r="V1604" s="2" t="str">
        <f aca="false">IF(S1604&lt;=5,"Late night (0-5)",IF(S1604&lt;=11,"Morning (6-11)",IF(S1604&lt;=17,"Afternoon (12-17)","Evening (18-23)")))</f>
        <v>Evening (18-23)</v>
      </c>
    </row>
    <row r="1605" customFormat="false" ht="15" hidden="false" customHeight="false" outlineLevel="0" collapsed="false">
      <c r="A1605" s="2" t="s">
        <v>2665</v>
      </c>
      <c r="B1605" s="2" t="s">
        <v>310</v>
      </c>
      <c r="C1605" s="2" t="s">
        <v>91</v>
      </c>
      <c r="D1605" s="3" t="n">
        <v>45987</v>
      </c>
      <c r="E1605" s="2" t="s">
        <v>142</v>
      </c>
      <c r="F1605" s="2" t="s">
        <v>38</v>
      </c>
      <c r="G1605" s="2" t="n">
        <v>56571</v>
      </c>
      <c r="H1605" s="2" t="n">
        <v>2</v>
      </c>
      <c r="I1605" s="2" t="n">
        <v>36</v>
      </c>
      <c r="J1605" s="2" t="n">
        <v>0</v>
      </c>
      <c r="K1605" s="2" t="n">
        <v>41275</v>
      </c>
      <c r="L1605" s="2" t="n">
        <v>27634</v>
      </c>
      <c r="M1605" s="2" t="n">
        <v>1105</v>
      </c>
      <c r="N1605" s="2" t="n">
        <v>64</v>
      </c>
      <c r="O1605" s="2" t="n">
        <v>41</v>
      </c>
      <c r="P1605" s="2" t="n">
        <v>259</v>
      </c>
      <c r="Q1605" s="2" t="n">
        <v>596</v>
      </c>
      <c r="R1605" s="2" t="n">
        <v>79</v>
      </c>
      <c r="S1605" s="2" t="n">
        <v>22</v>
      </c>
      <c r="T1605" s="2" t="s">
        <v>66</v>
      </c>
      <c r="U1605" s="4" t="n">
        <f aca="false">(M1605+N1605+O1605+P1605)/L1605</f>
        <v>0.0531591517695592</v>
      </c>
      <c r="V1605" s="2" t="str">
        <f aca="false">IF(S1605&lt;=5,"Late night (0-5)",IF(S1605&lt;=11,"Morning (6-11)",IF(S1605&lt;=17,"Afternoon (12-17)","Evening (18-23)")))</f>
        <v>Evening (18-23)</v>
      </c>
    </row>
    <row r="1606" customFormat="false" ht="15" hidden="false" customHeight="false" outlineLevel="0" collapsed="false">
      <c r="A1606" s="2" t="s">
        <v>2666</v>
      </c>
      <c r="B1606" s="2" t="s">
        <v>98</v>
      </c>
      <c r="C1606" s="2" t="s">
        <v>54</v>
      </c>
      <c r="D1606" s="3" t="n">
        <v>45969</v>
      </c>
      <c r="E1606" s="2" t="s">
        <v>935</v>
      </c>
      <c r="F1606" s="2" t="s">
        <v>38</v>
      </c>
      <c r="G1606" s="2" t="n">
        <v>18366</v>
      </c>
      <c r="H1606" s="2" t="n">
        <v>19</v>
      </c>
      <c r="I1606" s="2" t="n">
        <v>218</v>
      </c>
      <c r="J1606" s="2" t="n">
        <v>0</v>
      </c>
      <c r="K1606" s="2" t="n">
        <v>15654</v>
      </c>
      <c r="L1606" s="2" t="n">
        <v>11864</v>
      </c>
      <c r="M1606" s="2" t="n">
        <v>1014</v>
      </c>
      <c r="N1606" s="2" t="n">
        <v>78</v>
      </c>
      <c r="O1606" s="2" t="n">
        <v>201</v>
      </c>
      <c r="P1606" s="2" t="n">
        <v>171</v>
      </c>
      <c r="Q1606" s="2" t="n">
        <v>111</v>
      </c>
      <c r="R1606" s="2" t="n">
        <v>19</v>
      </c>
      <c r="S1606" s="2" t="n">
        <v>20</v>
      </c>
      <c r="T1606" s="2" t="s">
        <v>62</v>
      </c>
      <c r="U1606" s="4" t="n">
        <f aca="false">(M1606+N1606+O1606+P1606)/L1606</f>
        <v>0.123398516520566</v>
      </c>
      <c r="V1606" s="2" t="str">
        <f aca="false">IF(S1606&lt;=5,"Late night (0-5)",IF(S1606&lt;=11,"Morning (6-11)",IF(S1606&lt;=17,"Afternoon (12-17)","Evening (18-23)")))</f>
        <v>Evening (18-23)</v>
      </c>
    </row>
    <row r="1607" customFormat="false" ht="15" hidden="false" customHeight="false" outlineLevel="0" collapsed="false">
      <c r="A1607" s="2" t="s">
        <v>2667</v>
      </c>
      <c r="B1607" s="2" t="s">
        <v>462</v>
      </c>
      <c r="C1607" s="2" t="s">
        <v>84</v>
      </c>
      <c r="D1607" s="3" t="n">
        <v>45675</v>
      </c>
      <c r="E1607" s="2" t="s">
        <v>277</v>
      </c>
      <c r="F1607" s="2" t="s">
        <v>26</v>
      </c>
      <c r="G1607" s="2" t="n">
        <v>43510</v>
      </c>
      <c r="H1607" s="2" t="n">
        <v>18</v>
      </c>
      <c r="I1607" s="2" t="n">
        <v>276</v>
      </c>
      <c r="J1607" s="2" t="n">
        <v>1</v>
      </c>
      <c r="K1607" s="2" t="n">
        <v>37378</v>
      </c>
      <c r="L1607" s="2" t="n">
        <v>21066</v>
      </c>
      <c r="M1607" s="2" t="n">
        <v>1779</v>
      </c>
      <c r="N1607" s="2" t="n">
        <v>96</v>
      </c>
      <c r="O1607" s="2" t="n">
        <v>167</v>
      </c>
      <c r="P1607" s="2" t="n">
        <v>486</v>
      </c>
      <c r="Q1607" s="2" t="n">
        <v>535</v>
      </c>
      <c r="R1607" s="2" t="n">
        <v>141</v>
      </c>
      <c r="S1607" s="2" t="n">
        <v>23</v>
      </c>
      <c r="T1607" s="2" t="s">
        <v>62</v>
      </c>
      <c r="U1607" s="4" t="n">
        <f aca="false">(M1607+N1607+O1607+P1607)/L1607</f>
        <v>0.120003797588531</v>
      </c>
      <c r="V1607" s="2" t="str">
        <f aca="false">IF(S1607&lt;=5,"Late night (0-5)",IF(S1607&lt;=11,"Morning (6-11)",IF(S1607&lt;=17,"Afternoon (12-17)","Evening (18-23)")))</f>
        <v>Evening (18-23)</v>
      </c>
    </row>
    <row r="1608" customFormat="false" ht="15" hidden="false" customHeight="false" outlineLevel="0" collapsed="false">
      <c r="A1608" s="2" t="s">
        <v>2668</v>
      </c>
      <c r="B1608" s="2" t="s">
        <v>345</v>
      </c>
      <c r="C1608" s="2" t="s">
        <v>30</v>
      </c>
      <c r="D1608" s="3" t="n">
        <v>45864</v>
      </c>
      <c r="E1608" s="2" t="s">
        <v>2669</v>
      </c>
      <c r="F1608" s="2" t="s">
        <v>32</v>
      </c>
      <c r="G1608" s="2" t="n">
        <v>8662</v>
      </c>
      <c r="H1608" s="2" t="n">
        <v>10</v>
      </c>
      <c r="I1608" s="2" t="n">
        <v>61</v>
      </c>
      <c r="J1608" s="2" t="n">
        <v>0</v>
      </c>
      <c r="K1608" s="2" t="n">
        <v>25993</v>
      </c>
      <c r="L1608" s="2" t="n">
        <v>15941</v>
      </c>
      <c r="M1608" s="2" t="n">
        <v>1530</v>
      </c>
      <c r="N1608" s="2" t="n">
        <v>104</v>
      </c>
      <c r="O1608" s="2" t="n">
        <v>268</v>
      </c>
      <c r="P1608" s="2" t="n">
        <v>218</v>
      </c>
      <c r="Q1608" s="2" t="n">
        <v>456</v>
      </c>
      <c r="R1608" s="2" t="n">
        <v>95</v>
      </c>
      <c r="S1608" s="2" t="n">
        <v>18</v>
      </c>
      <c r="T1608" s="2" t="s">
        <v>62</v>
      </c>
      <c r="U1608" s="4" t="n">
        <f aca="false">(M1608+N1608+O1608+P1608)/L1608</f>
        <v>0.132990402107772</v>
      </c>
      <c r="V1608" s="2" t="str">
        <f aca="false">IF(S1608&lt;=5,"Late night (0-5)",IF(S1608&lt;=11,"Morning (6-11)",IF(S1608&lt;=17,"Afternoon (12-17)","Evening (18-23)")))</f>
        <v>Evening (18-23)</v>
      </c>
    </row>
    <row r="1609" customFormat="false" ht="15" hidden="false" customHeight="false" outlineLevel="0" collapsed="false">
      <c r="A1609" s="2" t="s">
        <v>2670</v>
      </c>
      <c r="B1609" s="2" t="s">
        <v>60</v>
      </c>
      <c r="C1609" s="2" t="s">
        <v>41</v>
      </c>
      <c r="D1609" s="3" t="n">
        <v>45967</v>
      </c>
      <c r="E1609" s="2" t="s">
        <v>2671</v>
      </c>
      <c r="F1609" s="2" t="s">
        <v>26</v>
      </c>
      <c r="G1609" s="2" t="n">
        <v>7512</v>
      </c>
      <c r="H1609" s="2" t="n">
        <v>20</v>
      </c>
      <c r="I1609" s="2" t="n">
        <v>156</v>
      </c>
      <c r="J1609" s="2" t="n">
        <v>1</v>
      </c>
      <c r="K1609" s="2" t="n">
        <v>10100</v>
      </c>
      <c r="L1609" s="2" t="n">
        <v>8371</v>
      </c>
      <c r="M1609" s="2" t="n">
        <v>662</v>
      </c>
      <c r="N1609" s="2" t="n">
        <v>32</v>
      </c>
      <c r="O1609" s="2" t="n">
        <v>57</v>
      </c>
      <c r="P1609" s="2" t="n">
        <v>121</v>
      </c>
      <c r="Q1609" s="2" t="n">
        <v>99</v>
      </c>
      <c r="R1609" s="2" t="n">
        <v>26</v>
      </c>
      <c r="S1609" s="2" t="n">
        <v>7</v>
      </c>
      <c r="T1609" s="2" t="s">
        <v>79</v>
      </c>
      <c r="U1609" s="4" t="n">
        <f aca="false">(M1609+N1609+O1609+P1609)/L1609</f>
        <v>0.104169155417513</v>
      </c>
      <c r="V1609" s="2" t="str">
        <f aca="false">IF(S1609&lt;=5,"Late night (0-5)",IF(S1609&lt;=11,"Morning (6-11)",IF(S1609&lt;=17,"Afternoon (12-17)","Evening (18-23)")))</f>
        <v>Morning (6-11)</v>
      </c>
    </row>
    <row r="1610" customFormat="false" ht="15" hidden="false" customHeight="false" outlineLevel="0" collapsed="false">
      <c r="A1610" s="2" t="s">
        <v>2672</v>
      </c>
      <c r="B1610" s="2" t="s">
        <v>345</v>
      </c>
      <c r="C1610" s="2" t="s">
        <v>30</v>
      </c>
      <c r="D1610" s="3" t="n">
        <v>45804</v>
      </c>
      <c r="E1610" s="2" t="s">
        <v>2238</v>
      </c>
      <c r="F1610" s="2" t="s">
        <v>50</v>
      </c>
      <c r="G1610" s="2" t="n">
        <v>8662</v>
      </c>
      <c r="H1610" s="2" t="n">
        <v>7</v>
      </c>
      <c r="I1610" s="2" t="n">
        <v>268</v>
      </c>
      <c r="J1610" s="2" t="n">
        <v>1</v>
      </c>
      <c r="K1610" s="2" t="n">
        <v>21296</v>
      </c>
      <c r="L1610" s="2" t="n">
        <v>12638</v>
      </c>
      <c r="M1610" s="2" t="n">
        <v>541</v>
      </c>
      <c r="N1610" s="2" t="n">
        <v>30</v>
      </c>
      <c r="O1610" s="2" t="n">
        <v>89</v>
      </c>
      <c r="P1610" s="2" t="n">
        <v>70</v>
      </c>
      <c r="Q1610" s="2" t="n">
        <v>174</v>
      </c>
      <c r="R1610" s="2" t="n">
        <v>36</v>
      </c>
      <c r="S1610" s="2" t="n">
        <v>11</v>
      </c>
      <c r="T1610" s="2" t="s">
        <v>51</v>
      </c>
      <c r="U1610" s="4" t="n">
        <f aca="false">(M1610+N1610+O1610+P1610)/L1610</f>
        <v>0.057762304162051</v>
      </c>
      <c r="V1610" s="2" t="str">
        <f aca="false">IF(S1610&lt;=5,"Late night (0-5)",IF(S1610&lt;=11,"Morning (6-11)",IF(S1610&lt;=17,"Afternoon (12-17)","Evening (18-23)")))</f>
        <v>Morning (6-11)</v>
      </c>
    </row>
    <row r="1611" customFormat="false" ht="15" hidden="false" customHeight="false" outlineLevel="0" collapsed="false">
      <c r="A1611" s="2" t="s">
        <v>2673</v>
      </c>
      <c r="B1611" s="2" t="s">
        <v>60</v>
      </c>
      <c r="C1611" s="2" t="s">
        <v>41</v>
      </c>
      <c r="D1611" s="3" t="n">
        <v>45798</v>
      </c>
      <c r="E1611" s="2" t="s">
        <v>2388</v>
      </c>
      <c r="F1611" s="2" t="s">
        <v>38</v>
      </c>
      <c r="G1611" s="2" t="n">
        <v>7512</v>
      </c>
      <c r="H1611" s="2" t="n">
        <v>10</v>
      </c>
      <c r="I1611" s="2" t="n">
        <v>278</v>
      </c>
      <c r="J1611" s="2" t="n">
        <v>0</v>
      </c>
      <c r="K1611" s="2" t="n">
        <v>5865</v>
      </c>
      <c r="L1611" s="2" t="n">
        <v>4454</v>
      </c>
      <c r="M1611" s="2" t="n">
        <v>136</v>
      </c>
      <c r="N1611" s="2" t="n">
        <v>4</v>
      </c>
      <c r="O1611" s="2" t="n">
        <v>18</v>
      </c>
      <c r="P1611" s="2" t="n">
        <v>10</v>
      </c>
      <c r="Q1611" s="2" t="n">
        <v>95</v>
      </c>
      <c r="R1611" s="2" t="n">
        <v>24</v>
      </c>
      <c r="S1611" s="2" t="n">
        <v>8</v>
      </c>
      <c r="T1611" s="2" t="s">
        <v>66</v>
      </c>
      <c r="U1611" s="4" t="n">
        <f aca="false">(M1611+N1611+O1611+P1611)/L1611</f>
        <v>0.0377189043556354</v>
      </c>
      <c r="V1611" s="2" t="str">
        <f aca="false">IF(S1611&lt;=5,"Late night (0-5)",IF(S1611&lt;=11,"Morning (6-11)",IF(S1611&lt;=17,"Afternoon (12-17)","Evening (18-23)")))</f>
        <v>Morning (6-11)</v>
      </c>
    </row>
    <row r="1612" customFormat="false" ht="15" hidden="false" customHeight="false" outlineLevel="0" collapsed="false">
      <c r="A1612" s="2" t="s">
        <v>2674</v>
      </c>
      <c r="B1612" s="2" t="s">
        <v>324</v>
      </c>
      <c r="C1612" s="2" t="s">
        <v>24</v>
      </c>
      <c r="D1612" s="3" t="n">
        <v>45927</v>
      </c>
      <c r="E1612" s="2" t="s">
        <v>2675</v>
      </c>
      <c r="F1612" s="2" t="s">
        <v>26</v>
      </c>
      <c r="G1612" s="2" t="n">
        <v>3823</v>
      </c>
      <c r="H1612" s="2" t="n">
        <v>11</v>
      </c>
      <c r="I1612" s="2" t="n">
        <v>244</v>
      </c>
      <c r="J1612" s="2" t="n">
        <v>0</v>
      </c>
      <c r="K1612" s="2" t="n">
        <v>4188</v>
      </c>
      <c r="L1612" s="2" t="n">
        <v>3327</v>
      </c>
      <c r="M1612" s="2" t="n">
        <v>189</v>
      </c>
      <c r="N1612" s="2" t="n">
        <v>14</v>
      </c>
      <c r="O1612" s="2" t="n">
        <v>21</v>
      </c>
      <c r="P1612" s="2" t="n">
        <v>13</v>
      </c>
      <c r="Q1612" s="2" t="n">
        <v>36</v>
      </c>
      <c r="R1612" s="2" t="n">
        <v>10</v>
      </c>
      <c r="S1612" s="2" t="n">
        <v>10</v>
      </c>
      <c r="T1612" s="2" t="s">
        <v>62</v>
      </c>
      <c r="U1612" s="4" t="n">
        <f aca="false">(M1612+N1612+O1612+P1612)/L1612</f>
        <v>0.0712353471596033</v>
      </c>
      <c r="V1612" s="2" t="str">
        <f aca="false">IF(S1612&lt;=5,"Late night (0-5)",IF(S1612&lt;=11,"Morning (6-11)",IF(S1612&lt;=17,"Afternoon (12-17)","Evening (18-23)")))</f>
        <v>Morning (6-11)</v>
      </c>
    </row>
    <row r="1613" customFormat="false" ht="15" hidden="false" customHeight="false" outlineLevel="0" collapsed="false">
      <c r="A1613" s="2" t="s">
        <v>2676</v>
      </c>
      <c r="B1613" s="2" t="s">
        <v>60</v>
      </c>
      <c r="C1613" s="2" t="s">
        <v>41</v>
      </c>
      <c r="D1613" s="3" t="n">
        <v>45705</v>
      </c>
      <c r="E1613" s="2" t="s">
        <v>623</v>
      </c>
      <c r="F1613" s="2" t="s">
        <v>38</v>
      </c>
      <c r="G1613" s="2" t="n">
        <v>7512</v>
      </c>
      <c r="H1613" s="2" t="n">
        <v>10</v>
      </c>
      <c r="I1613" s="2" t="n">
        <v>228</v>
      </c>
      <c r="J1613" s="2" t="n">
        <v>0</v>
      </c>
      <c r="K1613" s="2" t="n">
        <v>4135</v>
      </c>
      <c r="L1613" s="2" t="n">
        <v>3007</v>
      </c>
      <c r="M1613" s="2" t="n">
        <v>93</v>
      </c>
      <c r="N1613" s="2" t="n">
        <v>2</v>
      </c>
      <c r="O1613" s="2" t="n">
        <v>2</v>
      </c>
      <c r="P1613" s="2" t="n">
        <v>13</v>
      </c>
      <c r="Q1613" s="2" t="n">
        <v>56</v>
      </c>
      <c r="R1613" s="2" t="n">
        <v>5</v>
      </c>
      <c r="S1613" s="2" t="n">
        <v>22</v>
      </c>
      <c r="T1613" s="2" t="s">
        <v>33</v>
      </c>
      <c r="U1613" s="4" t="n">
        <f aca="false">(M1613+N1613+O1613+P1613)/L1613</f>
        <v>0.0365813102760226</v>
      </c>
      <c r="V1613" s="2" t="str">
        <f aca="false">IF(S1613&lt;=5,"Late night (0-5)",IF(S1613&lt;=11,"Morning (6-11)",IF(S1613&lt;=17,"Afternoon (12-17)","Evening (18-23)")))</f>
        <v>Evening (18-23)</v>
      </c>
    </row>
    <row r="1614" customFormat="false" ht="15" hidden="false" customHeight="false" outlineLevel="0" collapsed="false">
      <c r="A1614" s="2" t="s">
        <v>2677</v>
      </c>
      <c r="B1614" s="2" t="s">
        <v>94</v>
      </c>
      <c r="C1614" s="2" t="s">
        <v>30</v>
      </c>
      <c r="D1614" s="3" t="n">
        <v>46011</v>
      </c>
      <c r="E1614" s="2" t="s">
        <v>1855</v>
      </c>
      <c r="F1614" s="2" t="s">
        <v>32</v>
      </c>
      <c r="G1614" s="2" t="n">
        <v>58559</v>
      </c>
      <c r="H1614" s="2" t="n">
        <v>7</v>
      </c>
      <c r="I1614" s="2" t="n">
        <v>175</v>
      </c>
      <c r="J1614" s="2" t="n">
        <v>0</v>
      </c>
      <c r="K1614" s="2" t="n">
        <v>150952</v>
      </c>
      <c r="L1614" s="2" t="n">
        <v>111929</v>
      </c>
      <c r="M1614" s="2" t="n">
        <v>6625</v>
      </c>
      <c r="N1614" s="2" t="n">
        <v>489</v>
      </c>
      <c r="O1614" s="2" t="n">
        <v>1249</v>
      </c>
      <c r="P1614" s="2" t="n">
        <v>1853</v>
      </c>
      <c r="Q1614" s="2" t="n">
        <v>1398</v>
      </c>
      <c r="R1614" s="2" t="n">
        <v>110</v>
      </c>
      <c r="S1614" s="2" t="n">
        <v>19</v>
      </c>
      <c r="T1614" s="2" t="s">
        <v>62</v>
      </c>
      <c r="U1614" s="4" t="n">
        <f aca="false">(M1614+N1614+O1614+P1614)/L1614</f>
        <v>0.0912721457352429</v>
      </c>
      <c r="V1614" s="2" t="str">
        <f aca="false">IF(S1614&lt;=5,"Late night (0-5)",IF(S1614&lt;=11,"Morning (6-11)",IF(S1614&lt;=17,"Afternoon (12-17)","Evening (18-23)")))</f>
        <v>Evening (18-23)</v>
      </c>
    </row>
    <row r="1615" customFormat="false" ht="15" hidden="false" customHeight="false" outlineLevel="0" collapsed="false">
      <c r="A1615" s="2" t="s">
        <v>2678</v>
      </c>
      <c r="B1615" s="2" t="s">
        <v>126</v>
      </c>
      <c r="C1615" s="2" t="s">
        <v>36</v>
      </c>
      <c r="D1615" s="3" t="n">
        <v>45675</v>
      </c>
      <c r="E1615" s="2" t="s">
        <v>1326</v>
      </c>
      <c r="F1615" s="2" t="s">
        <v>38</v>
      </c>
      <c r="G1615" s="2" t="n">
        <v>28784</v>
      </c>
      <c r="H1615" s="2" t="n">
        <v>16</v>
      </c>
      <c r="I1615" s="2" t="n">
        <v>178</v>
      </c>
      <c r="J1615" s="2" t="n">
        <v>1</v>
      </c>
      <c r="K1615" s="2" t="n">
        <v>17065</v>
      </c>
      <c r="L1615" s="2" t="n">
        <v>11191</v>
      </c>
      <c r="M1615" s="2" t="n">
        <v>835</v>
      </c>
      <c r="N1615" s="2" t="n">
        <v>59</v>
      </c>
      <c r="O1615" s="2" t="n">
        <v>29</v>
      </c>
      <c r="P1615" s="2" t="n">
        <v>193</v>
      </c>
      <c r="Q1615" s="2" t="n">
        <v>143</v>
      </c>
      <c r="R1615" s="2" t="n">
        <v>37</v>
      </c>
      <c r="S1615" s="2" t="n">
        <v>8</v>
      </c>
      <c r="T1615" s="2" t="s">
        <v>62</v>
      </c>
      <c r="U1615" s="4" t="n">
        <f aca="false">(M1615+N1615+O1615+P1615)/L1615</f>
        <v>0.0997229916897507</v>
      </c>
      <c r="V1615" s="2" t="str">
        <f aca="false">IF(S1615&lt;=5,"Late night (0-5)",IF(S1615&lt;=11,"Morning (6-11)",IF(S1615&lt;=17,"Afternoon (12-17)","Evening (18-23)")))</f>
        <v>Morning (6-11)</v>
      </c>
    </row>
    <row r="1616" customFormat="false" ht="15" hidden="false" customHeight="false" outlineLevel="0" collapsed="false">
      <c r="A1616" s="2" t="s">
        <v>2679</v>
      </c>
      <c r="B1616" s="2" t="s">
        <v>114</v>
      </c>
      <c r="C1616" s="2" t="s">
        <v>84</v>
      </c>
      <c r="D1616" s="3" t="n">
        <v>45739</v>
      </c>
      <c r="E1616" s="2" t="s">
        <v>538</v>
      </c>
      <c r="F1616" s="2" t="s">
        <v>50</v>
      </c>
      <c r="G1616" s="2" t="n">
        <v>64307</v>
      </c>
      <c r="H1616" s="2" t="n">
        <v>14</v>
      </c>
      <c r="I1616" s="2" t="n">
        <v>326</v>
      </c>
      <c r="J1616" s="2" t="n">
        <v>0</v>
      </c>
      <c r="K1616" s="2" t="n">
        <v>74377</v>
      </c>
      <c r="L1616" s="2" t="n">
        <v>44797</v>
      </c>
      <c r="M1616" s="2" t="n">
        <v>1685</v>
      </c>
      <c r="N1616" s="2" t="n">
        <v>52</v>
      </c>
      <c r="O1616" s="2" t="n">
        <v>266</v>
      </c>
      <c r="P1616" s="2" t="n">
        <v>469</v>
      </c>
      <c r="Q1616" s="2" t="n">
        <v>464</v>
      </c>
      <c r="R1616" s="2" t="n">
        <v>76</v>
      </c>
      <c r="S1616" s="2" t="n">
        <v>3</v>
      </c>
      <c r="T1616" s="2" t="s">
        <v>27</v>
      </c>
      <c r="U1616" s="4" t="n">
        <f aca="false">(M1616+N1616+O1616+P1616)/L1616</f>
        <v>0.0551822666696431</v>
      </c>
      <c r="V1616" s="2" t="str">
        <f aca="false">IF(S1616&lt;=5,"Late night (0-5)",IF(S1616&lt;=11,"Morning (6-11)",IF(S1616&lt;=17,"Afternoon (12-17)","Evening (18-23)")))</f>
        <v>Late night (0-5)</v>
      </c>
    </row>
    <row r="1617" customFormat="false" ht="15" hidden="false" customHeight="false" outlineLevel="0" collapsed="false">
      <c r="A1617" s="2" t="s">
        <v>2680</v>
      </c>
      <c r="B1617" s="2" t="s">
        <v>77</v>
      </c>
      <c r="C1617" s="2" t="s">
        <v>30</v>
      </c>
      <c r="D1617" s="3" t="n">
        <v>45946</v>
      </c>
      <c r="E1617" s="2" t="s">
        <v>1405</v>
      </c>
      <c r="F1617" s="2" t="s">
        <v>38</v>
      </c>
      <c r="G1617" s="2" t="n">
        <v>17548</v>
      </c>
      <c r="H1617" s="2" t="n">
        <v>22</v>
      </c>
      <c r="I1617" s="2" t="n">
        <v>291</v>
      </c>
      <c r="J1617" s="2" t="n">
        <v>1</v>
      </c>
      <c r="K1617" s="2" t="n">
        <v>20245</v>
      </c>
      <c r="L1617" s="2" t="n">
        <v>17502</v>
      </c>
      <c r="M1617" s="2" t="n">
        <v>1185</v>
      </c>
      <c r="N1617" s="2" t="n">
        <v>49</v>
      </c>
      <c r="O1617" s="2" t="n">
        <v>236</v>
      </c>
      <c r="P1617" s="2" t="n">
        <v>209</v>
      </c>
      <c r="Q1617" s="2" t="n">
        <v>327</v>
      </c>
      <c r="R1617" s="2" t="n">
        <v>91</v>
      </c>
      <c r="S1617" s="2" t="n">
        <v>9</v>
      </c>
      <c r="T1617" s="2" t="s">
        <v>79</v>
      </c>
      <c r="U1617" s="4" t="n">
        <f aca="false">(M1617+N1617+O1617+P1617)/L1617</f>
        <v>0.095931893497886</v>
      </c>
      <c r="V1617" s="2" t="str">
        <f aca="false">IF(S1617&lt;=5,"Late night (0-5)",IF(S1617&lt;=11,"Morning (6-11)",IF(S1617&lt;=17,"Afternoon (12-17)","Evening (18-23)")))</f>
        <v>Morning (6-11)</v>
      </c>
    </row>
    <row r="1618" customFormat="false" ht="15" hidden="false" customHeight="false" outlineLevel="0" collapsed="false">
      <c r="A1618" s="2" t="s">
        <v>2681</v>
      </c>
      <c r="B1618" s="2" t="s">
        <v>324</v>
      </c>
      <c r="C1618" s="2" t="s">
        <v>24</v>
      </c>
      <c r="D1618" s="3" t="n">
        <v>45998</v>
      </c>
      <c r="E1618" s="2" t="s">
        <v>265</v>
      </c>
      <c r="F1618" s="2" t="s">
        <v>38</v>
      </c>
      <c r="G1618" s="2" t="n">
        <v>3823</v>
      </c>
      <c r="H1618" s="2" t="n">
        <v>10</v>
      </c>
      <c r="I1618" s="2" t="n">
        <v>295</v>
      </c>
      <c r="J1618" s="2" t="n">
        <v>1</v>
      </c>
      <c r="K1618" s="2" t="n">
        <v>1400</v>
      </c>
      <c r="L1618" s="2" t="n">
        <v>1106</v>
      </c>
      <c r="M1618" s="2" t="n">
        <v>98</v>
      </c>
      <c r="N1618" s="2" t="n">
        <v>3</v>
      </c>
      <c r="O1618" s="2" t="n">
        <v>6</v>
      </c>
      <c r="P1618" s="2" t="n">
        <v>25</v>
      </c>
      <c r="Q1618" s="2" t="n">
        <v>12</v>
      </c>
      <c r="R1618" s="2" t="n">
        <v>1</v>
      </c>
      <c r="S1618" s="2" t="n">
        <v>15</v>
      </c>
      <c r="T1618" s="2" t="s">
        <v>27</v>
      </c>
      <c r="U1618" s="4" t="n">
        <f aca="false">(M1618+N1618+O1618+P1618)/L1618</f>
        <v>0.119349005424955</v>
      </c>
      <c r="V1618" s="2" t="str">
        <f aca="false">IF(S1618&lt;=5,"Late night (0-5)",IF(S1618&lt;=11,"Morning (6-11)",IF(S1618&lt;=17,"Afternoon (12-17)","Evening (18-23)")))</f>
        <v>Afternoon (12-17)</v>
      </c>
    </row>
    <row r="1619" customFormat="false" ht="15" hidden="false" customHeight="false" outlineLevel="0" collapsed="false">
      <c r="A1619" s="2" t="s">
        <v>2682</v>
      </c>
      <c r="B1619" s="2" t="s">
        <v>345</v>
      </c>
      <c r="C1619" s="2" t="s">
        <v>30</v>
      </c>
      <c r="D1619" s="3" t="n">
        <v>45774</v>
      </c>
      <c r="E1619" s="2" t="s">
        <v>2683</v>
      </c>
      <c r="F1619" s="2" t="s">
        <v>32</v>
      </c>
      <c r="G1619" s="2" t="n">
        <v>8662</v>
      </c>
      <c r="H1619" s="2" t="n">
        <v>11</v>
      </c>
      <c r="I1619" s="2" t="n">
        <v>148</v>
      </c>
      <c r="J1619" s="2" t="n">
        <v>0</v>
      </c>
      <c r="K1619" s="2" t="n">
        <v>14483</v>
      </c>
      <c r="L1619" s="2" t="n">
        <v>9222</v>
      </c>
      <c r="M1619" s="2" t="n">
        <v>666</v>
      </c>
      <c r="N1619" s="2" t="n">
        <v>14</v>
      </c>
      <c r="O1619" s="2" t="n">
        <v>64</v>
      </c>
      <c r="P1619" s="2" t="n">
        <v>56</v>
      </c>
      <c r="Q1619" s="2" t="n">
        <v>60</v>
      </c>
      <c r="R1619" s="2" t="n">
        <v>7</v>
      </c>
      <c r="S1619" s="2" t="n">
        <v>11</v>
      </c>
      <c r="T1619" s="2" t="s">
        <v>27</v>
      </c>
      <c r="U1619" s="4" t="n">
        <f aca="false">(M1619+N1619+O1619+P1619)/L1619</f>
        <v>0.0867490782910432</v>
      </c>
      <c r="V1619" s="2" t="str">
        <f aca="false">IF(S1619&lt;=5,"Late night (0-5)",IF(S1619&lt;=11,"Morning (6-11)",IF(S1619&lt;=17,"Afternoon (12-17)","Evening (18-23)")))</f>
        <v>Morning (6-11)</v>
      </c>
    </row>
    <row r="1620" customFormat="false" ht="15" hidden="false" customHeight="false" outlineLevel="0" collapsed="false">
      <c r="A1620" s="2" t="s">
        <v>2684</v>
      </c>
      <c r="B1620" s="2" t="s">
        <v>106</v>
      </c>
      <c r="C1620" s="2" t="s">
        <v>91</v>
      </c>
      <c r="D1620" s="3" t="n">
        <v>45892</v>
      </c>
      <c r="E1620" s="2" t="s">
        <v>146</v>
      </c>
      <c r="F1620" s="2" t="s">
        <v>38</v>
      </c>
      <c r="G1620" s="2" t="n">
        <v>59477</v>
      </c>
      <c r="H1620" s="2" t="n">
        <v>15</v>
      </c>
      <c r="I1620" s="2" t="n">
        <v>240</v>
      </c>
      <c r="J1620" s="2" t="n">
        <v>1</v>
      </c>
      <c r="K1620" s="2" t="n">
        <v>57392</v>
      </c>
      <c r="L1620" s="2" t="n">
        <v>33648</v>
      </c>
      <c r="M1620" s="2" t="n">
        <v>1231</v>
      </c>
      <c r="N1620" s="2" t="n">
        <v>68</v>
      </c>
      <c r="O1620" s="2" t="n">
        <v>75</v>
      </c>
      <c r="P1620" s="2" t="n">
        <v>322</v>
      </c>
      <c r="Q1620" s="2" t="n">
        <v>655</v>
      </c>
      <c r="R1620" s="2" t="n">
        <v>98</v>
      </c>
      <c r="S1620" s="2" t="n">
        <v>12</v>
      </c>
      <c r="T1620" s="2" t="s">
        <v>62</v>
      </c>
      <c r="U1620" s="4" t="n">
        <f aca="false">(M1620+N1620+O1620+P1620)/L1620</f>
        <v>0.0504041844983357</v>
      </c>
      <c r="V1620" s="2" t="str">
        <f aca="false">IF(S1620&lt;=5,"Late night (0-5)",IF(S1620&lt;=11,"Morning (6-11)",IF(S1620&lt;=17,"Afternoon (12-17)","Evening (18-23)")))</f>
        <v>Afternoon (12-17)</v>
      </c>
    </row>
    <row r="1621" customFormat="false" ht="15" hidden="false" customHeight="false" outlineLevel="0" collapsed="false">
      <c r="A1621" s="2" t="s">
        <v>2685</v>
      </c>
      <c r="B1621" s="2" t="s">
        <v>114</v>
      </c>
      <c r="C1621" s="2" t="s">
        <v>84</v>
      </c>
      <c r="D1621" s="3" t="n">
        <v>45970</v>
      </c>
      <c r="E1621" s="2" t="s">
        <v>2556</v>
      </c>
      <c r="F1621" s="2" t="s">
        <v>32</v>
      </c>
      <c r="G1621" s="2" t="n">
        <v>64307</v>
      </c>
      <c r="H1621" s="2" t="n">
        <v>5</v>
      </c>
      <c r="I1621" s="2" t="n">
        <v>243</v>
      </c>
      <c r="J1621" s="2" t="n">
        <v>0</v>
      </c>
      <c r="K1621" s="2" t="n">
        <v>126746</v>
      </c>
      <c r="L1621" s="2" t="n">
        <v>107617</v>
      </c>
      <c r="M1621" s="2" t="n">
        <v>6109</v>
      </c>
      <c r="N1621" s="2" t="n">
        <v>400</v>
      </c>
      <c r="O1621" s="2" t="n">
        <v>1530</v>
      </c>
      <c r="P1621" s="2" t="n">
        <v>1075</v>
      </c>
      <c r="Q1621" s="2" t="n">
        <v>581</v>
      </c>
      <c r="R1621" s="2" t="n">
        <v>101</v>
      </c>
      <c r="S1621" s="2" t="n">
        <v>15</v>
      </c>
      <c r="T1621" s="2" t="s">
        <v>27</v>
      </c>
      <c r="U1621" s="4" t="n">
        <f aca="false">(M1621+N1621+O1621+P1621)/L1621</f>
        <v>0.0846892219630728</v>
      </c>
      <c r="V1621" s="2" t="str">
        <f aca="false">IF(S1621&lt;=5,"Late night (0-5)",IF(S1621&lt;=11,"Morning (6-11)",IF(S1621&lt;=17,"Afternoon (12-17)","Evening (18-23)")))</f>
        <v>Afternoon (12-17)</v>
      </c>
    </row>
    <row r="1622" customFormat="false" ht="15" hidden="false" customHeight="false" outlineLevel="0" collapsed="false">
      <c r="A1622" s="2" t="s">
        <v>2686</v>
      </c>
      <c r="B1622" s="2" t="s">
        <v>23</v>
      </c>
      <c r="C1622" s="2" t="s">
        <v>24</v>
      </c>
      <c r="D1622" s="3" t="n">
        <v>45781</v>
      </c>
      <c r="E1622" s="2" t="s">
        <v>2687</v>
      </c>
      <c r="F1622" s="2" t="s">
        <v>38</v>
      </c>
      <c r="G1622" s="2" t="n">
        <v>63447</v>
      </c>
      <c r="H1622" s="2" t="n">
        <v>6</v>
      </c>
      <c r="I1622" s="2" t="n">
        <v>221</v>
      </c>
      <c r="J1622" s="2" t="n">
        <v>0</v>
      </c>
      <c r="K1622" s="2" t="n">
        <v>47437</v>
      </c>
      <c r="L1622" s="2" t="n">
        <v>41650</v>
      </c>
      <c r="M1622" s="2" t="n">
        <v>3424</v>
      </c>
      <c r="N1622" s="2" t="n">
        <v>176</v>
      </c>
      <c r="O1622" s="2" t="n">
        <v>573</v>
      </c>
      <c r="P1622" s="2" t="n">
        <v>506</v>
      </c>
      <c r="Q1622" s="2" t="n">
        <v>821</v>
      </c>
      <c r="R1622" s="2" t="n">
        <v>109</v>
      </c>
      <c r="S1622" s="2" t="n">
        <v>20</v>
      </c>
      <c r="T1622" s="2" t="s">
        <v>27</v>
      </c>
      <c r="U1622" s="4" t="n">
        <f aca="false">(M1622+N1622+O1622+P1622)/L1622</f>
        <v>0.11234093637455</v>
      </c>
      <c r="V1622" s="2" t="str">
        <f aca="false">IF(S1622&lt;=5,"Late night (0-5)",IF(S1622&lt;=11,"Morning (6-11)",IF(S1622&lt;=17,"Afternoon (12-17)","Evening (18-23)")))</f>
        <v>Evening (18-23)</v>
      </c>
    </row>
    <row r="1623" customFormat="false" ht="15" hidden="false" customHeight="false" outlineLevel="0" collapsed="false">
      <c r="A1623" s="2" t="s">
        <v>2688</v>
      </c>
      <c r="B1623" s="2" t="s">
        <v>193</v>
      </c>
      <c r="C1623" s="2" t="s">
        <v>36</v>
      </c>
      <c r="D1623" s="3" t="n">
        <v>45944</v>
      </c>
      <c r="E1623" s="2" t="s">
        <v>1634</v>
      </c>
      <c r="F1623" s="2" t="s">
        <v>38</v>
      </c>
      <c r="G1623" s="2" t="n">
        <v>26454</v>
      </c>
      <c r="H1623" s="2" t="n">
        <v>17</v>
      </c>
      <c r="I1623" s="2" t="n">
        <v>56</v>
      </c>
      <c r="J1623" s="2" t="n">
        <v>0</v>
      </c>
      <c r="K1623" s="2" t="n">
        <v>17803</v>
      </c>
      <c r="L1623" s="2" t="n">
        <v>11403</v>
      </c>
      <c r="M1623" s="2" t="n">
        <v>356</v>
      </c>
      <c r="N1623" s="2" t="n">
        <v>28</v>
      </c>
      <c r="O1623" s="2" t="n">
        <v>26</v>
      </c>
      <c r="P1623" s="2" t="n">
        <v>76</v>
      </c>
      <c r="Q1623" s="2" t="n">
        <v>299</v>
      </c>
      <c r="R1623" s="2" t="n">
        <v>26</v>
      </c>
      <c r="S1623" s="2" t="n">
        <v>5</v>
      </c>
      <c r="T1623" s="2" t="s">
        <v>51</v>
      </c>
      <c r="U1623" s="4" t="n">
        <f aca="false">(M1623+N1623+O1623+P1623)/L1623</f>
        <v>0.042620363062352</v>
      </c>
      <c r="V1623" s="2" t="str">
        <f aca="false">IF(S1623&lt;=5,"Late night (0-5)",IF(S1623&lt;=11,"Morning (6-11)",IF(S1623&lt;=17,"Afternoon (12-17)","Evening (18-23)")))</f>
        <v>Late night (0-5)</v>
      </c>
    </row>
    <row r="1624" customFormat="false" ht="15" hidden="false" customHeight="false" outlineLevel="0" collapsed="false">
      <c r="A1624" s="2" t="s">
        <v>2689</v>
      </c>
      <c r="B1624" s="2" t="s">
        <v>138</v>
      </c>
      <c r="C1624" s="2" t="s">
        <v>41</v>
      </c>
      <c r="D1624" s="3" t="n">
        <v>45780</v>
      </c>
      <c r="E1624" s="2" t="s">
        <v>157</v>
      </c>
      <c r="F1624" s="2" t="s">
        <v>32</v>
      </c>
      <c r="G1624" s="2" t="n">
        <v>18712</v>
      </c>
      <c r="H1624" s="2" t="n">
        <v>19</v>
      </c>
      <c r="I1624" s="2" t="n">
        <v>132</v>
      </c>
      <c r="J1624" s="2" t="n">
        <v>1</v>
      </c>
      <c r="K1624" s="2" t="n">
        <v>32644</v>
      </c>
      <c r="L1624" s="2" t="n">
        <v>29544</v>
      </c>
      <c r="M1624" s="2" t="n">
        <v>2331</v>
      </c>
      <c r="N1624" s="2" t="n">
        <v>83</v>
      </c>
      <c r="O1624" s="2" t="n">
        <v>216</v>
      </c>
      <c r="P1624" s="2" t="n">
        <v>140</v>
      </c>
      <c r="Q1624" s="2" t="n">
        <v>416</v>
      </c>
      <c r="R1624" s="2" t="n">
        <v>112</v>
      </c>
      <c r="S1624" s="2" t="n">
        <v>11</v>
      </c>
      <c r="T1624" s="2" t="s">
        <v>62</v>
      </c>
      <c r="U1624" s="4" t="n">
        <f aca="false">(M1624+N1624+O1624+P1624)/L1624</f>
        <v>0.0937584619550501</v>
      </c>
      <c r="V1624" s="2" t="str">
        <f aca="false">IF(S1624&lt;=5,"Late night (0-5)",IF(S1624&lt;=11,"Morning (6-11)",IF(S1624&lt;=17,"Afternoon (12-17)","Evening (18-23)")))</f>
        <v>Morning (6-11)</v>
      </c>
    </row>
    <row r="1625" customFormat="false" ht="15" hidden="false" customHeight="false" outlineLevel="0" collapsed="false">
      <c r="A1625" s="2" t="s">
        <v>2690</v>
      </c>
      <c r="B1625" s="2" t="s">
        <v>151</v>
      </c>
      <c r="C1625" s="2" t="s">
        <v>36</v>
      </c>
      <c r="D1625" s="3" t="n">
        <v>45660</v>
      </c>
      <c r="E1625" s="2" t="s">
        <v>2691</v>
      </c>
      <c r="F1625" s="2" t="s">
        <v>26</v>
      </c>
      <c r="G1625" s="2" t="n">
        <v>19247</v>
      </c>
      <c r="H1625" s="2" t="n">
        <v>5</v>
      </c>
      <c r="I1625" s="2" t="n">
        <v>186</v>
      </c>
      <c r="J1625" s="2" t="n">
        <v>0</v>
      </c>
      <c r="K1625" s="2" t="n">
        <v>11632</v>
      </c>
      <c r="L1625" s="2" t="n">
        <v>6792</v>
      </c>
      <c r="M1625" s="2" t="n">
        <v>554</v>
      </c>
      <c r="N1625" s="2" t="n">
        <v>25</v>
      </c>
      <c r="O1625" s="2" t="n">
        <v>32</v>
      </c>
      <c r="P1625" s="2" t="n">
        <v>150</v>
      </c>
      <c r="Q1625" s="2" t="n">
        <v>139</v>
      </c>
      <c r="R1625" s="2" t="n">
        <v>25</v>
      </c>
      <c r="S1625" s="2" t="n">
        <v>16</v>
      </c>
      <c r="T1625" s="2" t="s">
        <v>96</v>
      </c>
      <c r="U1625" s="4" t="n">
        <f aca="false">(M1625+N1625+O1625+P1625)/L1625</f>
        <v>0.112043580683157</v>
      </c>
      <c r="V1625" s="2" t="str">
        <f aca="false">IF(S1625&lt;=5,"Late night (0-5)",IF(S1625&lt;=11,"Morning (6-11)",IF(S1625&lt;=17,"Afternoon (12-17)","Evening (18-23)")))</f>
        <v>Afternoon (12-17)</v>
      </c>
    </row>
    <row r="1626" customFormat="false" ht="15" hidden="false" customHeight="false" outlineLevel="0" collapsed="false">
      <c r="A1626" s="2" t="s">
        <v>2692</v>
      </c>
      <c r="B1626" s="2" t="s">
        <v>459</v>
      </c>
      <c r="C1626" s="2" t="s">
        <v>84</v>
      </c>
      <c r="D1626" s="3" t="n">
        <v>45965</v>
      </c>
      <c r="E1626" s="2" t="s">
        <v>2693</v>
      </c>
      <c r="F1626" s="2" t="s">
        <v>50</v>
      </c>
      <c r="G1626" s="2" t="n">
        <v>19744</v>
      </c>
      <c r="H1626" s="2" t="n">
        <v>6</v>
      </c>
      <c r="I1626" s="2" t="n">
        <v>133</v>
      </c>
      <c r="J1626" s="2" t="n">
        <v>1</v>
      </c>
      <c r="K1626" s="2" t="n">
        <v>21773</v>
      </c>
      <c r="L1626" s="2" t="n">
        <v>19652</v>
      </c>
      <c r="M1626" s="2" t="n">
        <v>1362</v>
      </c>
      <c r="N1626" s="2" t="n">
        <v>40</v>
      </c>
      <c r="O1626" s="2" t="n">
        <v>82</v>
      </c>
      <c r="P1626" s="2" t="n">
        <v>258</v>
      </c>
      <c r="Q1626" s="2" t="n">
        <v>282</v>
      </c>
      <c r="R1626" s="2" t="n">
        <v>47</v>
      </c>
      <c r="S1626" s="2" t="n">
        <v>16</v>
      </c>
      <c r="T1626" s="2" t="s">
        <v>51</v>
      </c>
      <c r="U1626" s="4" t="n">
        <f aca="false">(M1626+N1626+O1626+P1626)/L1626</f>
        <v>0.0886423773661714</v>
      </c>
      <c r="V1626" s="2" t="str">
        <f aca="false">IF(S1626&lt;=5,"Late night (0-5)",IF(S1626&lt;=11,"Morning (6-11)",IF(S1626&lt;=17,"Afternoon (12-17)","Evening (18-23)")))</f>
        <v>Afternoon (12-17)</v>
      </c>
    </row>
    <row r="1627" customFormat="false" ht="15" hidden="false" customHeight="false" outlineLevel="0" collapsed="false">
      <c r="A1627" s="2" t="s">
        <v>2694</v>
      </c>
      <c r="B1627" s="2" t="s">
        <v>188</v>
      </c>
      <c r="C1627" s="2" t="s">
        <v>30</v>
      </c>
      <c r="D1627" s="3" t="n">
        <v>45667</v>
      </c>
      <c r="E1627" s="2" t="s">
        <v>1701</v>
      </c>
      <c r="F1627" s="2" t="s">
        <v>32</v>
      </c>
      <c r="G1627" s="2" t="n">
        <v>38900</v>
      </c>
      <c r="H1627" s="2" t="n">
        <v>17</v>
      </c>
      <c r="I1627" s="2" t="n">
        <v>10</v>
      </c>
      <c r="J1627" s="2" t="n">
        <v>0</v>
      </c>
      <c r="K1627" s="2" t="n">
        <v>36152</v>
      </c>
      <c r="L1627" s="2" t="n">
        <v>21867</v>
      </c>
      <c r="M1627" s="2" t="n">
        <v>1167</v>
      </c>
      <c r="N1627" s="2" t="n">
        <v>83</v>
      </c>
      <c r="O1627" s="2" t="n">
        <v>135</v>
      </c>
      <c r="P1627" s="2" t="n">
        <v>284</v>
      </c>
      <c r="Q1627" s="2" t="n">
        <v>170</v>
      </c>
      <c r="R1627" s="2" t="n">
        <v>20</v>
      </c>
      <c r="S1627" s="2" t="n">
        <v>1</v>
      </c>
      <c r="T1627" s="2" t="s">
        <v>96</v>
      </c>
      <c r="U1627" s="4" t="n">
        <f aca="false">(M1627+N1627+O1627+P1627)/L1627</f>
        <v>0.0763250560204875</v>
      </c>
      <c r="V1627" s="2" t="str">
        <f aca="false">IF(S1627&lt;=5,"Late night (0-5)",IF(S1627&lt;=11,"Morning (6-11)",IF(S1627&lt;=17,"Afternoon (12-17)","Evening (18-23)")))</f>
        <v>Late night (0-5)</v>
      </c>
    </row>
    <row r="1628" customFormat="false" ht="15" hidden="false" customHeight="false" outlineLevel="0" collapsed="false">
      <c r="A1628" s="2" t="s">
        <v>2695</v>
      </c>
      <c r="B1628" s="2" t="s">
        <v>141</v>
      </c>
      <c r="C1628" s="2" t="s">
        <v>48</v>
      </c>
      <c r="D1628" s="3" t="n">
        <v>45791</v>
      </c>
      <c r="E1628" s="2" t="s">
        <v>207</v>
      </c>
      <c r="F1628" s="2" t="s">
        <v>32</v>
      </c>
      <c r="G1628" s="2" t="n">
        <v>16119</v>
      </c>
      <c r="H1628" s="2" t="n">
        <v>10</v>
      </c>
      <c r="I1628" s="2" t="n">
        <v>171</v>
      </c>
      <c r="J1628" s="2" t="n">
        <v>0</v>
      </c>
      <c r="K1628" s="2" t="n">
        <v>21650</v>
      </c>
      <c r="L1628" s="2" t="n">
        <v>19043</v>
      </c>
      <c r="M1628" s="2" t="n">
        <v>1910</v>
      </c>
      <c r="N1628" s="2" t="n">
        <v>45</v>
      </c>
      <c r="O1628" s="2" t="n">
        <v>276</v>
      </c>
      <c r="P1628" s="2" t="n">
        <v>121</v>
      </c>
      <c r="Q1628" s="2" t="n">
        <v>570</v>
      </c>
      <c r="R1628" s="2" t="n">
        <v>158</v>
      </c>
      <c r="S1628" s="2" t="n">
        <v>4</v>
      </c>
      <c r="T1628" s="2" t="s">
        <v>66</v>
      </c>
      <c r="U1628" s="4" t="n">
        <f aca="false">(M1628+N1628+O1628+P1628)/L1628</f>
        <v>0.123509951163157</v>
      </c>
      <c r="V1628" s="2" t="str">
        <f aca="false">IF(S1628&lt;=5,"Late night (0-5)",IF(S1628&lt;=11,"Morning (6-11)",IF(S1628&lt;=17,"Afternoon (12-17)","Evening (18-23)")))</f>
        <v>Late night (0-5)</v>
      </c>
    </row>
    <row r="1629" customFormat="false" ht="15" hidden="false" customHeight="false" outlineLevel="0" collapsed="false">
      <c r="A1629" s="2" t="s">
        <v>2696</v>
      </c>
      <c r="B1629" s="2" t="s">
        <v>452</v>
      </c>
      <c r="C1629" s="2" t="s">
        <v>91</v>
      </c>
      <c r="D1629" s="3" t="n">
        <v>45941</v>
      </c>
      <c r="E1629" s="2" t="s">
        <v>897</v>
      </c>
      <c r="F1629" s="2" t="s">
        <v>26</v>
      </c>
      <c r="G1629" s="2" t="n">
        <v>14201</v>
      </c>
      <c r="H1629" s="2" t="n">
        <v>22</v>
      </c>
      <c r="I1629" s="2" t="n">
        <v>139</v>
      </c>
      <c r="J1629" s="2" t="n">
        <v>0</v>
      </c>
      <c r="K1629" s="2" t="n">
        <v>4683</v>
      </c>
      <c r="L1629" s="2" t="n">
        <v>4196</v>
      </c>
      <c r="M1629" s="2" t="n">
        <v>145</v>
      </c>
      <c r="N1629" s="2" t="n">
        <v>5</v>
      </c>
      <c r="O1629" s="2" t="n">
        <v>26</v>
      </c>
      <c r="P1629" s="2" t="n">
        <v>30</v>
      </c>
      <c r="Q1629" s="2" t="n">
        <v>114</v>
      </c>
      <c r="R1629" s="2" t="n">
        <v>18</v>
      </c>
      <c r="S1629" s="2" t="n">
        <v>23</v>
      </c>
      <c r="T1629" s="2" t="s">
        <v>62</v>
      </c>
      <c r="U1629" s="4" t="n">
        <f aca="false">(M1629+N1629+O1629+P1629)/L1629</f>
        <v>0.0490943755958055</v>
      </c>
      <c r="V1629" s="2" t="str">
        <f aca="false">IF(S1629&lt;=5,"Late night (0-5)",IF(S1629&lt;=11,"Morning (6-11)",IF(S1629&lt;=17,"Afternoon (12-17)","Evening (18-23)")))</f>
        <v>Evening (18-23)</v>
      </c>
    </row>
    <row r="1630" customFormat="false" ht="15" hidden="false" customHeight="false" outlineLevel="0" collapsed="false">
      <c r="A1630" s="2" t="s">
        <v>2697</v>
      </c>
      <c r="B1630" s="2" t="s">
        <v>83</v>
      </c>
      <c r="C1630" s="2" t="s">
        <v>84</v>
      </c>
      <c r="D1630" s="3" t="n">
        <v>45882</v>
      </c>
      <c r="E1630" s="2" t="s">
        <v>783</v>
      </c>
      <c r="F1630" s="2" t="s">
        <v>32</v>
      </c>
      <c r="G1630" s="2" t="n">
        <v>17918</v>
      </c>
      <c r="H1630" s="2" t="n">
        <v>6</v>
      </c>
      <c r="I1630" s="2" t="n">
        <v>169</v>
      </c>
      <c r="J1630" s="2" t="n">
        <v>1</v>
      </c>
      <c r="K1630" s="2" t="n">
        <v>15215</v>
      </c>
      <c r="L1630" s="2" t="n">
        <v>11977</v>
      </c>
      <c r="M1630" s="2" t="n">
        <v>453</v>
      </c>
      <c r="N1630" s="2" t="n">
        <v>24</v>
      </c>
      <c r="O1630" s="2" t="n">
        <v>66</v>
      </c>
      <c r="P1630" s="2" t="n">
        <v>85</v>
      </c>
      <c r="Q1630" s="2" t="n">
        <v>151</v>
      </c>
      <c r="R1630" s="2" t="n">
        <v>43</v>
      </c>
      <c r="S1630" s="2" t="n">
        <v>1</v>
      </c>
      <c r="T1630" s="2" t="s">
        <v>66</v>
      </c>
      <c r="U1630" s="4" t="n">
        <f aca="false">(M1630+N1630+O1630+P1630)/L1630</f>
        <v>0.0524338315103949</v>
      </c>
      <c r="V1630" s="2" t="str">
        <f aca="false">IF(S1630&lt;=5,"Late night (0-5)",IF(S1630&lt;=11,"Morning (6-11)",IF(S1630&lt;=17,"Afternoon (12-17)","Evening (18-23)")))</f>
        <v>Late night (0-5)</v>
      </c>
    </row>
    <row r="1631" customFormat="false" ht="15" hidden="false" customHeight="false" outlineLevel="0" collapsed="false">
      <c r="A1631" s="2" t="s">
        <v>2698</v>
      </c>
      <c r="B1631" s="2" t="s">
        <v>126</v>
      </c>
      <c r="C1631" s="2" t="s">
        <v>36</v>
      </c>
      <c r="D1631" s="3" t="n">
        <v>46019</v>
      </c>
      <c r="E1631" s="2" t="s">
        <v>2082</v>
      </c>
      <c r="F1631" s="2" t="s">
        <v>32</v>
      </c>
      <c r="G1631" s="2" t="n">
        <v>28784</v>
      </c>
      <c r="H1631" s="2" t="n">
        <v>19</v>
      </c>
      <c r="I1631" s="2" t="n">
        <v>197</v>
      </c>
      <c r="J1631" s="2" t="n">
        <v>0</v>
      </c>
      <c r="K1631" s="2" t="n">
        <v>76592</v>
      </c>
      <c r="L1631" s="2" t="n">
        <v>46594</v>
      </c>
      <c r="M1631" s="2" t="n">
        <v>2940</v>
      </c>
      <c r="N1631" s="2" t="n">
        <v>112</v>
      </c>
      <c r="O1631" s="2" t="n">
        <v>262</v>
      </c>
      <c r="P1631" s="2" t="n">
        <v>879</v>
      </c>
      <c r="Q1631" s="2" t="n">
        <v>307</v>
      </c>
      <c r="R1631" s="2" t="n">
        <v>78</v>
      </c>
      <c r="S1631" s="2" t="n">
        <v>20</v>
      </c>
      <c r="T1631" s="2" t="s">
        <v>27</v>
      </c>
      <c r="U1631" s="4" t="n">
        <f aca="false">(M1631+N1631+O1631+P1631)/L1631</f>
        <v>0.0899901274842254</v>
      </c>
      <c r="V1631" s="2" t="str">
        <f aca="false">IF(S1631&lt;=5,"Late night (0-5)",IF(S1631&lt;=11,"Morning (6-11)",IF(S1631&lt;=17,"Afternoon (12-17)","Evening (18-23)")))</f>
        <v>Evening (18-23)</v>
      </c>
    </row>
    <row r="1632" customFormat="false" ht="15" hidden="false" customHeight="false" outlineLevel="0" collapsed="false">
      <c r="A1632" s="2" t="s">
        <v>2699</v>
      </c>
      <c r="B1632" s="2" t="s">
        <v>71</v>
      </c>
      <c r="C1632" s="2" t="s">
        <v>48</v>
      </c>
      <c r="D1632" s="3" t="n">
        <v>45942</v>
      </c>
      <c r="E1632" s="2" t="s">
        <v>1596</v>
      </c>
      <c r="F1632" s="2" t="s">
        <v>50</v>
      </c>
      <c r="G1632" s="2" t="n">
        <v>7316</v>
      </c>
      <c r="H1632" s="2" t="n">
        <v>23</v>
      </c>
      <c r="I1632" s="2" t="n">
        <v>176</v>
      </c>
      <c r="J1632" s="2" t="n">
        <v>0</v>
      </c>
      <c r="K1632" s="2" t="n">
        <v>6230</v>
      </c>
      <c r="L1632" s="2" t="n">
        <v>4017</v>
      </c>
      <c r="M1632" s="2" t="n">
        <v>187</v>
      </c>
      <c r="N1632" s="2" t="n">
        <v>14</v>
      </c>
      <c r="O1632" s="2" t="n">
        <v>12</v>
      </c>
      <c r="P1632" s="2" t="n">
        <v>32</v>
      </c>
      <c r="Q1632" s="2" t="n">
        <v>72</v>
      </c>
      <c r="R1632" s="2" t="n">
        <v>6</v>
      </c>
      <c r="S1632" s="2" t="n">
        <v>12</v>
      </c>
      <c r="T1632" s="2" t="s">
        <v>27</v>
      </c>
      <c r="U1632" s="4" t="n">
        <f aca="false">(M1632+N1632+O1632+P1632)/L1632</f>
        <v>0.060990789146129</v>
      </c>
      <c r="V1632" s="2" t="str">
        <f aca="false">IF(S1632&lt;=5,"Late night (0-5)",IF(S1632&lt;=11,"Morning (6-11)",IF(S1632&lt;=17,"Afternoon (12-17)","Evening (18-23)")))</f>
        <v>Afternoon (12-17)</v>
      </c>
    </row>
    <row r="1633" customFormat="false" ht="15" hidden="false" customHeight="false" outlineLevel="0" collapsed="false">
      <c r="A1633" s="2" t="s">
        <v>2700</v>
      </c>
      <c r="B1633" s="2" t="s">
        <v>64</v>
      </c>
      <c r="C1633" s="2" t="s">
        <v>36</v>
      </c>
      <c r="D1633" s="3" t="n">
        <v>45726</v>
      </c>
      <c r="E1633" s="2" t="s">
        <v>271</v>
      </c>
      <c r="F1633" s="2" t="s">
        <v>32</v>
      </c>
      <c r="G1633" s="2" t="n">
        <v>43781</v>
      </c>
      <c r="H1633" s="2" t="n">
        <v>10</v>
      </c>
      <c r="I1633" s="2" t="n">
        <v>94</v>
      </c>
      <c r="J1633" s="2" t="n">
        <v>0</v>
      </c>
      <c r="K1633" s="2" t="n">
        <v>27311</v>
      </c>
      <c r="L1633" s="2" t="n">
        <v>24695</v>
      </c>
      <c r="M1633" s="2" t="n">
        <v>2090</v>
      </c>
      <c r="N1633" s="2" t="n">
        <v>104</v>
      </c>
      <c r="O1633" s="2" t="n">
        <v>601</v>
      </c>
      <c r="P1633" s="2" t="n">
        <v>233</v>
      </c>
      <c r="Q1633" s="2" t="n">
        <v>199</v>
      </c>
      <c r="R1633" s="2" t="n">
        <v>11</v>
      </c>
      <c r="S1633" s="2" t="n">
        <v>8</v>
      </c>
      <c r="T1633" s="2" t="s">
        <v>33</v>
      </c>
      <c r="U1633" s="4" t="n">
        <f aca="false">(M1633+N1633+O1633+P1633)/L1633</f>
        <v>0.122615914152662</v>
      </c>
      <c r="V1633" s="2" t="str">
        <f aca="false">IF(S1633&lt;=5,"Late night (0-5)",IF(S1633&lt;=11,"Morning (6-11)",IF(S1633&lt;=17,"Afternoon (12-17)","Evening (18-23)")))</f>
        <v>Morning (6-11)</v>
      </c>
    </row>
    <row r="1634" customFormat="false" ht="15" hidden="false" customHeight="false" outlineLevel="0" collapsed="false">
      <c r="A1634" s="2" t="s">
        <v>2701</v>
      </c>
      <c r="B1634" s="2" t="s">
        <v>77</v>
      </c>
      <c r="C1634" s="2" t="s">
        <v>30</v>
      </c>
      <c r="D1634" s="3" t="n">
        <v>45688</v>
      </c>
      <c r="E1634" s="2" t="s">
        <v>2702</v>
      </c>
      <c r="F1634" s="2" t="s">
        <v>38</v>
      </c>
      <c r="G1634" s="2" t="n">
        <v>17548</v>
      </c>
      <c r="H1634" s="2" t="n">
        <v>11</v>
      </c>
      <c r="I1634" s="2" t="n">
        <v>98</v>
      </c>
      <c r="J1634" s="2" t="n">
        <v>1</v>
      </c>
      <c r="K1634" s="2" t="n">
        <v>14591</v>
      </c>
      <c r="L1634" s="2" t="n">
        <v>9144</v>
      </c>
      <c r="M1634" s="2" t="n">
        <v>609</v>
      </c>
      <c r="N1634" s="2" t="n">
        <v>23</v>
      </c>
      <c r="O1634" s="2" t="n">
        <v>49</v>
      </c>
      <c r="P1634" s="2" t="n">
        <v>36</v>
      </c>
      <c r="Q1634" s="2" t="n">
        <v>212</v>
      </c>
      <c r="R1634" s="2" t="n">
        <v>12</v>
      </c>
      <c r="S1634" s="2" t="n">
        <v>4</v>
      </c>
      <c r="T1634" s="2" t="s">
        <v>96</v>
      </c>
      <c r="U1634" s="4" t="n">
        <f aca="false">(M1634+N1634+O1634+P1634)/L1634</f>
        <v>0.0784120734908137</v>
      </c>
      <c r="V1634" s="2" t="str">
        <f aca="false">IF(S1634&lt;=5,"Late night (0-5)",IF(S1634&lt;=11,"Morning (6-11)",IF(S1634&lt;=17,"Afternoon (12-17)","Evening (18-23)")))</f>
        <v>Late night (0-5)</v>
      </c>
    </row>
    <row r="1635" customFormat="false" ht="15" hidden="false" customHeight="false" outlineLevel="0" collapsed="false">
      <c r="A1635" s="2" t="s">
        <v>2703</v>
      </c>
      <c r="B1635" s="2" t="s">
        <v>327</v>
      </c>
      <c r="C1635" s="2" t="s">
        <v>91</v>
      </c>
      <c r="D1635" s="3" t="n">
        <v>45902</v>
      </c>
      <c r="E1635" s="2" t="s">
        <v>2704</v>
      </c>
      <c r="F1635" s="2" t="s">
        <v>32</v>
      </c>
      <c r="G1635" s="2" t="n">
        <v>16943</v>
      </c>
      <c r="H1635" s="2" t="n">
        <v>0</v>
      </c>
      <c r="I1635" s="2" t="n">
        <v>64</v>
      </c>
      <c r="J1635" s="2" t="n">
        <v>1</v>
      </c>
      <c r="K1635" s="2" t="n">
        <v>13444</v>
      </c>
      <c r="L1635" s="2" t="n">
        <v>9281</v>
      </c>
      <c r="M1635" s="2" t="n">
        <v>721</v>
      </c>
      <c r="N1635" s="2" t="n">
        <v>30</v>
      </c>
      <c r="O1635" s="2" t="n">
        <v>184</v>
      </c>
      <c r="P1635" s="2" t="n">
        <v>61</v>
      </c>
      <c r="Q1635" s="2" t="n">
        <v>145</v>
      </c>
      <c r="R1635" s="2" t="n">
        <v>32</v>
      </c>
      <c r="S1635" s="2" t="n">
        <v>23</v>
      </c>
      <c r="T1635" s="2" t="s">
        <v>51</v>
      </c>
      <c r="U1635" s="4" t="n">
        <f aca="false">(M1635+N1635+O1635+P1635)/L1635</f>
        <v>0.10731602198039</v>
      </c>
      <c r="V1635" s="2" t="str">
        <f aca="false">IF(S1635&lt;=5,"Late night (0-5)",IF(S1635&lt;=11,"Morning (6-11)",IF(S1635&lt;=17,"Afternoon (12-17)","Evening (18-23)")))</f>
        <v>Evening (18-23)</v>
      </c>
    </row>
    <row r="1636" customFormat="false" ht="15" hidden="false" customHeight="false" outlineLevel="0" collapsed="false">
      <c r="A1636" s="2" t="s">
        <v>2705</v>
      </c>
      <c r="B1636" s="2" t="s">
        <v>35</v>
      </c>
      <c r="C1636" s="2" t="s">
        <v>36</v>
      </c>
      <c r="D1636" s="3" t="n">
        <v>45685</v>
      </c>
      <c r="E1636" s="2" t="s">
        <v>683</v>
      </c>
      <c r="F1636" s="2" t="s">
        <v>38</v>
      </c>
      <c r="G1636" s="2" t="n">
        <v>33933</v>
      </c>
      <c r="H1636" s="2" t="n">
        <v>13</v>
      </c>
      <c r="I1636" s="2" t="n">
        <v>293</v>
      </c>
      <c r="J1636" s="2" t="n">
        <v>0</v>
      </c>
      <c r="K1636" s="2" t="n">
        <v>9477</v>
      </c>
      <c r="L1636" s="2" t="n">
        <v>7991</v>
      </c>
      <c r="M1636" s="2" t="n">
        <v>290</v>
      </c>
      <c r="N1636" s="2" t="n">
        <v>8</v>
      </c>
      <c r="O1636" s="2" t="n">
        <v>18</v>
      </c>
      <c r="P1636" s="2" t="n">
        <v>69</v>
      </c>
      <c r="Q1636" s="2" t="n">
        <v>116</v>
      </c>
      <c r="R1636" s="2" t="n">
        <v>18</v>
      </c>
      <c r="S1636" s="2" t="n">
        <v>1</v>
      </c>
      <c r="T1636" s="2" t="s">
        <v>51</v>
      </c>
      <c r="U1636" s="4" t="n">
        <f aca="false">(M1636+N1636+O1636+P1636)/L1636</f>
        <v>0.048179201601802</v>
      </c>
      <c r="V1636" s="2" t="str">
        <f aca="false">IF(S1636&lt;=5,"Late night (0-5)",IF(S1636&lt;=11,"Morning (6-11)",IF(S1636&lt;=17,"Afternoon (12-17)","Evening (18-23)")))</f>
        <v>Late night (0-5)</v>
      </c>
    </row>
    <row r="1637" customFormat="false" ht="15" hidden="false" customHeight="false" outlineLevel="0" collapsed="false">
      <c r="A1637" s="2" t="s">
        <v>2706</v>
      </c>
      <c r="B1637" s="2" t="s">
        <v>90</v>
      </c>
      <c r="C1637" s="2" t="s">
        <v>91</v>
      </c>
      <c r="D1637" s="3" t="n">
        <v>45939</v>
      </c>
      <c r="E1637" s="2" t="s">
        <v>446</v>
      </c>
      <c r="F1637" s="2" t="s">
        <v>32</v>
      </c>
      <c r="G1637" s="2" t="n">
        <v>54788</v>
      </c>
      <c r="H1637" s="2" t="n">
        <v>10</v>
      </c>
      <c r="I1637" s="2" t="n">
        <v>194</v>
      </c>
      <c r="J1637" s="2" t="n">
        <v>0</v>
      </c>
      <c r="K1637" s="2" t="n">
        <v>47790</v>
      </c>
      <c r="L1637" s="2" t="n">
        <v>28562</v>
      </c>
      <c r="M1637" s="2" t="n">
        <v>1644</v>
      </c>
      <c r="N1637" s="2" t="n">
        <v>98</v>
      </c>
      <c r="O1637" s="2" t="n">
        <v>108</v>
      </c>
      <c r="P1637" s="2" t="n">
        <v>440</v>
      </c>
      <c r="Q1637" s="2" t="n">
        <v>511</v>
      </c>
      <c r="R1637" s="2" t="n">
        <v>48</v>
      </c>
      <c r="S1637" s="2" t="n">
        <v>6</v>
      </c>
      <c r="T1637" s="2" t="s">
        <v>79</v>
      </c>
      <c r="U1637" s="4" t="n">
        <f aca="false">(M1637+N1637+O1637+P1637)/L1637</f>
        <v>0.0801764582312163</v>
      </c>
      <c r="V1637" s="2" t="str">
        <f aca="false">IF(S1637&lt;=5,"Late night (0-5)",IF(S1637&lt;=11,"Morning (6-11)",IF(S1637&lt;=17,"Afternoon (12-17)","Evening (18-23)")))</f>
        <v>Morning (6-11)</v>
      </c>
    </row>
    <row r="1638" customFormat="false" ht="15" hidden="false" customHeight="false" outlineLevel="0" collapsed="false">
      <c r="A1638" s="2" t="s">
        <v>2707</v>
      </c>
      <c r="B1638" s="2" t="s">
        <v>459</v>
      </c>
      <c r="C1638" s="2" t="s">
        <v>84</v>
      </c>
      <c r="D1638" s="3" t="n">
        <v>45926</v>
      </c>
      <c r="E1638" s="2" t="s">
        <v>2708</v>
      </c>
      <c r="F1638" s="2" t="s">
        <v>32</v>
      </c>
      <c r="G1638" s="2" t="n">
        <v>19744</v>
      </c>
      <c r="H1638" s="2" t="n">
        <v>13</v>
      </c>
      <c r="I1638" s="2" t="n">
        <v>226</v>
      </c>
      <c r="J1638" s="2" t="n">
        <v>0</v>
      </c>
      <c r="K1638" s="2" t="n">
        <v>48591</v>
      </c>
      <c r="L1638" s="2" t="n">
        <v>31266</v>
      </c>
      <c r="M1638" s="2" t="n">
        <v>1558</v>
      </c>
      <c r="N1638" s="2" t="n">
        <v>74</v>
      </c>
      <c r="O1638" s="2" t="n">
        <v>282</v>
      </c>
      <c r="P1638" s="2" t="n">
        <v>207</v>
      </c>
      <c r="Q1638" s="2" t="n">
        <v>353</v>
      </c>
      <c r="R1638" s="2" t="n">
        <v>30</v>
      </c>
      <c r="S1638" s="2" t="n">
        <v>21</v>
      </c>
      <c r="T1638" s="2" t="s">
        <v>96</v>
      </c>
      <c r="U1638" s="4" t="n">
        <f aca="false">(M1638+N1638+O1638+P1638)/L1638</f>
        <v>0.0678372673191326</v>
      </c>
      <c r="V1638" s="2" t="str">
        <f aca="false">IF(S1638&lt;=5,"Late night (0-5)",IF(S1638&lt;=11,"Morning (6-11)",IF(S1638&lt;=17,"Afternoon (12-17)","Evening (18-23)")))</f>
        <v>Evening (18-23)</v>
      </c>
    </row>
    <row r="1639" customFormat="false" ht="15" hidden="false" customHeight="false" outlineLevel="0" collapsed="false">
      <c r="A1639" s="2" t="s">
        <v>2709</v>
      </c>
      <c r="B1639" s="2" t="s">
        <v>135</v>
      </c>
      <c r="C1639" s="2" t="s">
        <v>36</v>
      </c>
      <c r="D1639" s="3" t="n">
        <v>45968</v>
      </c>
      <c r="E1639" s="2" t="s">
        <v>2710</v>
      </c>
      <c r="F1639" s="2" t="s">
        <v>38</v>
      </c>
      <c r="G1639" s="2" t="n">
        <v>45812</v>
      </c>
      <c r="H1639" s="2" t="n">
        <v>20</v>
      </c>
      <c r="I1639" s="2" t="n">
        <v>160</v>
      </c>
      <c r="J1639" s="2" t="n">
        <v>1</v>
      </c>
      <c r="K1639" s="2" t="n">
        <v>21622</v>
      </c>
      <c r="L1639" s="2" t="n">
        <v>16674</v>
      </c>
      <c r="M1639" s="2" t="n">
        <v>525</v>
      </c>
      <c r="N1639" s="2" t="n">
        <v>35</v>
      </c>
      <c r="O1639" s="2" t="n">
        <v>38</v>
      </c>
      <c r="P1639" s="2" t="n">
        <v>116</v>
      </c>
      <c r="Q1639" s="2" t="n">
        <v>309</v>
      </c>
      <c r="R1639" s="2" t="n">
        <v>80</v>
      </c>
      <c r="S1639" s="2" t="n">
        <v>7</v>
      </c>
      <c r="T1639" s="2" t="s">
        <v>96</v>
      </c>
      <c r="U1639" s="4" t="n">
        <f aca="false">(M1639+N1639+O1639+P1639)/L1639</f>
        <v>0.0428211586901763</v>
      </c>
      <c r="V1639" s="2" t="str">
        <f aca="false">IF(S1639&lt;=5,"Late night (0-5)",IF(S1639&lt;=11,"Morning (6-11)",IF(S1639&lt;=17,"Afternoon (12-17)","Evening (18-23)")))</f>
        <v>Morning (6-11)</v>
      </c>
    </row>
    <row r="1640" customFormat="false" ht="15" hidden="false" customHeight="false" outlineLevel="0" collapsed="false">
      <c r="A1640" s="2" t="s">
        <v>2711</v>
      </c>
      <c r="B1640" s="2" t="s">
        <v>83</v>
      </c>
      <c r="C1640" s="2" t="s">
        <v>84</v>
      </c>
      <c r="D1640" s="3" t="n">
        <v>45723</v>
      </c>
      <c r="E1640" s="2" t="s">
        <v>1379</v>
      </c>
      <c r="F1640" s="2" t="s">
        <v>26</v>
      </c>
      <c r="G1640" s="2" t="n">
        <v>17918</v>
      </c>
      <c r="H1640" s="2" t="n">
        <v>12</v>
      </c>
      <c r="I1640" s="2" t="n">
        <v>13</v>
      </c>
      <c r="J1640" s="2" t="n">
        <v>0</v>
      </c>
      <c r="K1640" s="2" t="n">
        <v>29341</v>
      </c>
      <c r="L1640" s="2" t="n">
        <v>25680</v>
      </c>
      <c r="M1640" s="2" t="n">
        <v>1006</v>
      </c>
      <c r="N1640" s="2" t="n">
        <v>40</v>
      </c>
      <c r="O1640" s="2" t="n">
        <v>144</v>
      </c>
      <c r="P1640" s="2" t="n">
        <v>225</v>
      </c>
      <c r="Q1640" s="2" t="n">
        <v>599</v>
      </c>
      <c r="R1640" s="2" t="n">
        <v>159</v>
      </c>
      <c r="S1640" s="2" t="n">
        <v>10</v>
      </c>
      <c r="T1640" s="2" t="s">
        <v>96</v>
      </c>
      <c r="U1640" s="4" t="n">
        <f aca="false">(M1640+N1640+O1640+P1640)/L1640</f>
        <v>0.055101246105919</v>
      </c>
      <c r="V1640" s="2" t="str">
        <f aca="false">IF(S1640&lt;=5,"Late night (0-5)",IF(S1640&lt;=11,"Morning (6-11)",IF(S1640&lt;=17,"Afternoon (12-17)","Evening (18-23)")))</f>
        <v>Morning (6-11)</v>
      </c>
    </row>
    <row r="1641" customFormat="false" ht="15" hidden="false" customHeight="false" outlineLevel="0" collapsed="false">
      <c r="A1641" s="2" t="s">
        <v>2712</v>
      </c>
      <c r="B1641" s="2" t="s">
        <v>459</v>
      </c>
      <c r="C1641" s="2" t="s">
        <v>84</v>
      </c>
      <c r="D1641" s="3" t="n">
        <v>45798</v>
      </c>
      <c r="E1641" s="2" t="s">
        <v>329</v>
      </c>
      <c r="F1641" s="2" t="s">
        <v>38</v>
      </c>
      <c r="G1641" s="2" t="n">
        <v>19744</v>
      </c>
      <c r="H1641" s="2" t="n">
        <v>22</v>
      </c>
      <c r="I1641" s="2" t="n">
        <v>295</v>
      </c>
      <c r="J1641" s="2" t="n">
        <v>0</v>
      </c>
      <c r="K1641" s="2" t="n">
        <v>10389</v>
      </c>
      <c r="L1641" s="2" t="n">
        <v>8963</v>
      </c>
      <c r="M1641" s="2" t="n">
        <v>494</v>
      </c>
      <c r="N1641" s="2" t="n">
        <v>12</v>
      </c>
      <c r="O1641" s="2" t="n">
        <v>29</v>
      </c>
      <c r="P1641" s="2" t="n">
        <v>27</v>
      </c>
      <c r="Q1641" s="2" t="n">
        <v>112</v>
      </c>
      <c r="R1641" s="2" t="n">
        <v>32</v>
      </c>
      <c r="S1641" s="2" t="n">
        <v>5</v>
      </c>
      <c r="T1641" s="2" t="s">
        <v>66</v>
      </c>
      <c r="U1641" s="4" t="n">
        <f aca="false">(M1641+N1641+O1641+P1641)/L1641</f>
        <v>0.0627022202387594</v>
      </c>
      <c r="V1641" s="2" t="str">
        <f aca="false">IF(S1641&lt;=5,"Late night (0-5)",IF(S1641&lt;=11,"Morning (6-11)",IF(S1641&lt;=17,"Afternoon (12-17)","Evening (18-23)")))</f>
        <v>Late night (0-5)</v>
      </c>
    </row>
    <row r="1642" customFormat="false" ht="15" hidden="false" customHeight="false" outlineLevel="0" collapsed="false">
      <c r="A1642" s="2" t="s">
        <v>2713</v>
      </c>
      <c r="B1642" s="2" t="s">
        <v>426</v>
      </c>
      <c r="C1642" s="2" t="s">
        <v>30</v>
      </c>
      <c r="D1642" s="3" t="n">
        <v>45824</v>
      </c>
      <c r="E1642" s="2" t="s">
        <v>117</v>
      </c>
      <c r="F1642" s="2" t="s">
        <v>38</v>
      </c>
      <c r="G1642" s="2" t="n">
        <v>40649</v>
      </c>
      <c r="H1642" s="2" t="n">
        <v>22</v>
      </c>
      <c r="I1642" s="2" t="n">
        <v>179</v>
      </c>
      <c r="J1642" s="2" t="n">
        <v>0</v>
      </c>
      <c r="K1642" s="2" t="n">
        <v>26240</v>
      </c>
      <c r="L1642" s="2" t="n">
        <v>20048</v>
      </c>
      <c r="M1642" s="2" t="n">
        <v>1054</v>
      </c>
      <c r="N1642" s="2" t="n">
        <v>83</v>
      </c>
      <c r="O1642" s="2" t="n">
        <v>63</v>
      </c>
      <c r="P1642" s="2" t="n">
        <v>72</v>
      </c>
      <c r="Q1642" s="2" t="n">
        <v>395</v>
      </c>
      <c r="R1642" s="2" t="n">
        <v>22</v>
      </c>
      <c r="S1642" s="2" t="n">
        <v>12</v>
      </c>
      <c r="T1642" s="2" t="s">
        <v>33</v>
      </c>
      <c r="U1642" s="4" t="n">
        <f aca="false">(M1642+N1642+O1642+P1642)/L1642</f>
        <v>0.0634477254588986</v>
      </c>
      <c r="V1642" s="2" t="str">
        <f aca="false">IF(S1642&lt;=5,"Late night (0-5)",IF(S1642&lt;=11,"Morning (6-11)",IF(S1642&lt;=17,"Afternoon (12-17)","Evening (18-23)")))</f>
        <v>Afternoon (12-17)</v>
      </c>
    </row>
    <row r="1643" customFormat="false" ht="15" hidden="false" customHeight="false" outlineLevel="0" collapsed="false">
      <c r="A1643" s="2" t="s">
        <v>2714</v>
      </c>
      <c r="B1643" s="2" t="s">
        <v>324</v>
      </c>
      <c r="C1643" s="2" t="s">
        <v>24</v>
      </c>
      <c r="D1643" s="3" t="n">
        <v>45822</v>
      </c>
      <c r="E1643" s="2" t="s">
        <v>1003</v>
      </c>
      <c r="F1643" s="2" t="s">
        <v>38</v>
      </c>
      <c r="G1643" s="2" t="n">
        <v>3823</v>
      </c>
      <c r="H1643" s="2" t="n">
        <v>6</v>
      </c>
      <c r="I1643" s="2" t="n">
        <v>127</v>
      </c>
      <c r="J1643" s="2" t="n">
        <v>1</v>
      </c>
      <c r="K1643" s="2" t="n">
        <v>1522</v>
      </c>
      <c r="L1643" s="2" t="n">
        <v>1022</v>
      </c>
      <c r="M1643" s="2" t="n">
        <v>91</v>
      </c>
      <c r="N1643" s="2" t="n">
        <v>4</v>
      </c>
      <c r="O1643" s="2" t="n">
        <v>18</v>
      </c>
      <c r="P1643" s="2" t="n">
        <v>7</v>
      </c>
      <c r="Q1643" s="2" t="n">
        <v>15</v>
      </c>
      <c r="R1643" s="2" t="n">
        <v>4</v>
      </c>
      <c r="S1643" s="2" t="n">
        <v>2</v>
      </c>
      <c r="T1643" s="2" t="s">
        <v>62</v>
      </c>
      <c r="U1643" s="4" t="n">
        <f aca="false">(M1643+N1643+O1643+P1643)/L1643</f>
        <v>0.117416829745597</v>
      </c>
      <c r="V1643" s="2" t="str">
        <f aca="false">IF(S1643&lt;=5,"Late night (0-5)",IF(S1643&lt;=11,"Morning (6-11)",IF(S1643&lt;=17,"Afternoon (12-17)","Evening (18-23)")))</f>
        <v>Late night (0-5)</v>
      </c>
    </row>
    <row r="1644" customFormat="false" ht="15" hidden="false" customHeight="false" outlineLevel="0" collapsed="false">
      <c r="A1644" s="2" t="s">
        <v>2715</v>
      </c>
      <c r="B1644" s="2" t="s">
        <v>409</v>
      </c>
      <c r="C1644" s="2" t="s">
        <v>48</v>
      </c>
      <c r="D1644" s="3" t="n">
        <v>45919</v>
      </c>
      <c r="E1644" s="2" t="s">
        <v>2003</v>
      </c>
      <c r="F1644" s="2" t="s">
        <v>26</v>
      </c>
      <c r="G1644" s="2" t="n">
        <v>31525</v>
      </c>
      <c r="H1644" s="2" t="n">
        <v>18</v>
      </c>
      <c r="I1644" s="2" t="n">
        <v>257</v>
      </c>
      <c r="J1644" s="2" t="n">
        <v>0</v>
      </c>
      <c r="K1644" s="2" t="n">
        <v>14946</v>
      </c>
      <c r="L1644" s="2" t="n">
        <v>9295</v>
      </c>
      <c r="M1644" s="2" t="n">
        <v>349</v>
      </c>
      <c r="N1644" s="2" t="n">
        <v>21</v>
      </c>
      <c r="O1644" s="2" t="n">
        <v>39</v>
      </c>
      <c r="P1644" s="2" t="n">
        <v>136</v>
      </c>
      <c r="Q1644" s="2" t="n">
        <v>233</v>
      </c>
      <c r="R1644" s="2" t="n">
        <v>17</v>
      </c>
      <c r="S1644" s="2" t="n">
        <v>2</v>
      </c>
      <c r="T1644" s="2" t="s">
        <v>96</v>
      </c>
      <c r="U1644" s="4" t="n">
        <f aca="false">(M1644+N1644+O1644+P1644)/L1644</f>
        <v>0.0586336740182894</v>
      </c>
      <c r="V1644" s="2" t="str">
        <f aca="false">IF(S1644&lt;=5,"Late night (0-5)",IF(S1644&lt;=11,"Morning (6-11)",IF(S1644&lt;=17,"Afternoon (12-17)","Evening (18-23)")))</f>
        <v>Late night (0-5)</v>
      </c>
    </row>
    <row r="1645" customFormat="false" ht="15" hidden="false" customHeight="false" outlineLevel="0" collapsed="false">
      <c r="A1645" s="2" t="s">
        <v>2716</v>
      </c>
      <c r="B1645" s="2" t="s">
        <v>220</v>
      </c>
      <c r="C1645" s="2" t="s">
        <v>48</v>
      </c>
      <c r="D1645" s="3" t="n">
        <v>45765</v>
      </c>
      <c r="E1645" s="2" t="s">
        <v>2717</v>
      </c>
      <c r="F1645" s="2" t="s">
        <v>32</v>
      </c>
      <c r="G1645" s="2" t="n">
        <v>18917</v>
      </c>
      <c r="H1645" s="2" t="n">
        <v>14</v>
      </c>
      <c r="I1645" s="2" t="n">
        <v>177</v>
      </c>
      <c r="J1645" s="2" t="n">
        <v>0</v>
      </c>
      <c r="K1645" s="2" t="n">
        <v>8595</v>
      </c>
      <c r="L1645" s="2" t="n">
        <v>4830</v>
      </c>
      <c r="M1645" s="2" t="n">
        <v>381</v>
      </c>
      <c r="N1645" s="2" t="n">
        <v>21</v>
      </c>
      <c r="O1645" s="2" t="n">
        <v>34</v>
      </c>
      <c r="P1645" s="2" t="n">
        <v>37</v>
      </c>
      <c r="Q1645" s="2" t="n">
        <v>93</v>
      </c>
      <c r="R1645" s="2" t="n">
        <v>21</v>
      </c>
      <c r="S1645" s="2" t="n">
        <v>14</v>
      </c>
      <c r="T1645" s="2" t="s">
        <v>96</v>
      </c>
      <c r="U1645" s="4" t="n">
        <f aca="false">(M1645+N1645+O1645+P1645)/L1645</f>
        <v>0.0979296066252588</v>
      </c>
      <c r="V1645" s="2" t="str">
        <f aca="false">IF(S1645&lt;=5,"Late night (0-5)",IF(S1645&lt;=11,"Morning (6-11)",IF(S1645&lt;=17,"Afternoon (12-17)","Evening (18-23)")))</f>
        <v>Afternoon (12-17)</v>
      </c>
    </row>
    <row r="1646" customFormat="false" ht="15" hidden="false" customHeight="false" outlineLevel="0" collapsed="false">
      <c r="A1646" s="2" t="s">
        <v>2718</v>
      </c>
      <c r="B1646" s="2" t="s">
        <v>94</v>
      </c>
      <c r="C1646" s="2" t="s">
        <v>30</v>
      </c>
      <c r="D1646" s="3" t="n">
        <v>45706</v>
      </c>
      <c r="E1646" s="2" t="s">
        <v>1578</v>
      </c>
      <c r="F1646" s="2" t="s">
        <v>32</v>
      </c>
      <c r="G1646" s="2" t="n">
        <v>58559</v>
      </c>
      <c r="H1646" s="2" t="n">
        <v>7</v>
      </c>
      <c r="I1646" s="2" t="n">
        <v>185</v>
      </c>
      <c r="J1646" s="2" t="n">
        <v>0</v>
      </c>
      <c r="K1646" s="2" t="n">
        <v>29120</v>
      </c>
      <c r="L1646" s="2" t="n">
        <v>25079</v>
      </c>
      <c r="M1646" s="2" t="n">
        <v>1699</v>
      </c>
      <c r="N1646" s="2" t="n">
        <v>93</v>
      </c>
      <c r="O1646" s="2" t="n">
        <v>177</v>
      </c>
      <c r="P1646" s="2" t="n">
        <v>242</v>
      </c>
      <c r="Q1646" s="2" t="n">
        <v>170</v>
      </c>
      <c r="R1646" s="2" t="n">
        <v>17</v>
      </c>
      <c r="S1646" s="2" t="n">
        <v>2</v>
      </c>
      <c r="T1646" s="2" t="s">
        <v>51</v>
      </c>
      <c r="U1646" s="4" t="n">
        <f aca="false">(M1646+N1646+O1646+P1646)/L1646</f>
        <v>0.0881614099445751</v>
      </c>
      <c r="V1646" s="2" t="str">
        <f aca="false">IF(S1646&lt;=5,"Late night (0-5)",IF(S1646&lt;=11,"Morning (6-11)",IF(S1646&lt;=17,"Afternoon (12-17)","Evening (18-23)")))</f>
        <v>Late night (0-5)</v>
      </c>
    </row>
    <row r="1647" customFormat="false" ht="15" hidden="false" customHeight="false" outlineLevel="0" collapsed="false">
      <c r="A1647" s="2" t="s">
        <v>2719</v>
      </c>
      <c r="B1647" s="2" t="s">
        <v>87</v>
      </c>
      <c r="C1647" s="2" t="s">
        <v>36</v>
      </c>
      <c r="D1647" s="3" t="n">
        <v>45821</v>
      </c>
      <c r="E1647" s="2" t="s">
        <v>1789</v>
      </c>
      <c r="F1647" s="2" t="s">
        <v>26</v>
      </c>
      <c r="G1647" s="2" t="n">
        <v>25592</v>
      </c>
      <c r="H1647" s="2" t="n">
        <v>14</v>
      </c>
      <c r="I1647" s="2" t="n">
        <v>206</v>
      </c>
      <c r="J1647" s="2" t="n">
        <v>1</v>
      </c>
      <c r="K1647" s="2" t="n">
        <v>17449</v>
      </c>
      <c r="L1647" s="2" t="n">
        <v>12688</v>
      </c>
      <c r="M1647" s="2" t="n">
        <v>776</v>
      </c>
      <c r="N1647" s="2" t="n">
        <v>36</v>
      </c>
      <c r="O1647" s="2" t="n">
        <v>139</v>
      </c>
      <c r="P1647" s="2" t="n">
        <v>301</v>
      </c>
      <c r="Q1647" s="2" t="n">
        <v>164</v>
      </c>
      <c r="R1647" s="2" t="n">
        <v>47</v>
      </c>
      <c r="S1647" s="2" t="n">
        <v>23</v>
      </c>
      <c r="T1647" s="2" t="s">
        <v>96</v>
      </c>
      <c r="U1647" s="4" t="n">
        <f aca="false">(M1647+N1647+O1647+P1647)/L1647</f>
        <v>0.0986759142496847</v>
      </c>
      <c r="V1647" s="2" t="str">
        <f aca="false">IF(S1647&lt;=5,"Late night (0-5)",IF(S1647&lt;=11,"Morning (6-11)",IF(S1647&lt;=17,"Afternoon (12-17)","Evening (18-23)")))</f>
        <v>Evening (18-23)</v>
      </c>
    </row>
    <row r="1648" customFormat="false" ht="15" hidden="false" customHeight="false" outlineLevel="0" collapsed="false">
      <c r="A1648" s="2" t="s">
        <v>2720</v>
      </c>
      <c r="B1648" s="2" t="s">
        <v>71</v>
      </c>
      <c r="C1648" s="2" t="s">
        <v>48</v>
      </c>
      <c r="D1648" s="3" t="n">
        <v>45841</v>
      </c>
      <c r="E1648" s="2" t="s">
        <v>2721</v>
      </c>
      <c r="F1648" s="2" t="s">
        <v>26</v>
      </c>
      <c r="G1648" s="2" t="n">
        <v>7316</v>
      </c>
      <c r="H1648" s="2" t="n">
        <v>7</v>
      </c>
      <c r="I1648" s="2" t="n">
        <v>96</v>
      </c>
      <c r="J1648" s="2" t="n">
        <v>0</v>
      </c>
      <c r="K1648" s="2" t="n">
        <v>4397</v>
      </c>
      <c r="L1648" s="2" t="n">
        <v>3463</v>
      </c>
      <c r="M1648" s="2" t="n">
        <v>287</v>
      </c>
      <c r="N1648" s="2" t="n">
        <v>15</v>
      </c>
      <c r="O1648" s="2" t="n">
        <v>10</v>
      </c>
      <c r="P1648" s="2" t="n">
        <v>90</v>
      </c>
      <c r="Q1648" s="2" t="n">
        <v>61</v>
      </c>
      <c r="R1648" s="2" t="n">
        <v>16</v>
      </c>
      <c r="S1648" s="2" t="n">
        <v>13</v>
      </c>
      <c r="T1648" s="2" t="s">
        <v>79</v>
      </c>
      <c r="U1648" s="4" t="n">
        <f aca="false">(M1648+N1648+O1648+P1648)/L1648</f>
        <v>0.116084319953797</v>
      </c>
      <c r="V1648" s="2" t="str">
        <f aca="false">IF(S1648&lt;=5,"Late night (0-5)",IF(S1648&lt;=11,"Morning (6-11)",IF(S1648&lt;=17,"Afternoon (12-17)","Evening (18-23)")))</f>
        <v>Afternoon (12-17)</v>
      </c>
    </row>
    <row r="1649" customFormat="false" ht="15" hidden="false" customHeight="false" outlineLevel="0" collapsed="false">
      <c r="A1649" s="2" t="s">
        <v>2722</v>
      </c>
      <c r="B1649" s="2" t="s">
        <v>452</v>
      </c>
      <c r="C1649" s="2" t="s">
        <v>91</v>
      </c>
      <c r="D1649" s="3" t="n">
        <v>45858</v>
      </c>
      <c r="E1649" s="2" t="s">
        <v>198</v>
      </c>
      <c r="F1649" s="2" t="s">
        <v>50</v>
      </c>
      <c r="G1649" s="2" t="n">
        <v>14201</v>
      </c>
      <c r="H1649" s="2" t="n">
        <v>11</v>
      </c>
      <c r="I1649" s="2" t="n">
        <v>150</v>
      </c>
      <c r="J1649" s="2" t="n">
        <v>0</v>
      </c>
      <c r="K1649" s="2" t="n">
        <v>15245</v>
      </c>
      <c r="L1649" s="2" t="n">
        <v>13455</v>
      </c>
      <c r="M1649" s="2" t="n">
        <v>1039</v>
      </c>
      <c r="N1649" s="2" t="n">
        <v>65</v>
      </c>
      <c r="O1649" s="2" t="n">
        <v>203</v>
      </c>
      <c r="P1649" s="2" t="n">
        <v>295</v>
      </c>
      <c r="Q1649" s="2" t="n">
        <v>263</v>
      </c>
      <c r="R1649" s="2" t="n">
        <v>58</v>
      </c>
      <c r="S1649" s="2" t="n">
        <v>1</v>
      </c>
      <c r="T1649" s="2" t="s">
        <v>27</v>
      </c>
      <c r="U1649" s="4" t="n">
        <f aca="false">(M1649+N1649+O1649+P1649)/L1649</f>
        <v>0.119063545150502</v>
      </c>
      <c r="V1649" s="2" t="str">
        <f aca="false">IF(S1649&lt;=5,"Late night (0-5)",IF(S1649&lt;=11,"Morning (6-11)",IF(S1649&lt;=17,"Afternoon (12-17)","Evening (18-23)")))</f>
        <v>Late night (0-5)</v>
      </c>
    </row>
    <row r="1650" customFormat="false" ht="15" hidden="false" customHeight="false" outlineLevel="0" collapsed="false">
      <c r="A1650" s="2" t="s">
        <v>2723</v>
      </c>
      <c r="B1650" s="2" t="s">
        <v>129</v>
      </c>
      <c r="C1650" s="2" t="s">
        <v>54</v>
      </c>
      <c r="D1650" s="3" t="n">
        <v>45879</v>
      </c>
      <c r="E1650" s="2" t="s">
        <v>265</v>
      </c>
      <c r="F1650" s="2" t="s">
        <v>50</v>
      </c>
      <c r="G1650" s="2" t="n">
        <v>10312</v>
      </c>
      <c r="H1650" s="2" t="n">
        <v>0</v>
      </c>
      <c r="I1650" s="2" t="n">
        <v>52</v>
      </c>
      <c r="J1650" s="2" t="n">
        <v>1</v>
      </c>
      <c r="K1650" s="2" t="n">
        <v>6260</v>
      </c>
      <c r="L1650" s="2" t="n">
        <v>4807</v>
      </c>
      <c r="M1650" s="2" t="n">
        <v>356</v>
      </c>
      <c r="N1650" s="2" t="n">
        <v>19</v>
      </c>
      <c r="O1650" s="2" t="n">
        <v>44</v>
      </c>
      <c r="P1650" s="2" t="n">
        <v>91</v>
      </c>
      <c r="Q1650" s="2" t="n">
        <v>109</v>
      </c>
      <c r="R1650" s="2" t="n">
        <v>6</v>
      </c>
      <c r="S1650" s="2" t="n">
        <v>15</v>
      </c>
      <c r="T1650" s="2" t="s">
        <v>27</v>
      </c>
      <c r="U1650" s="4" t="n">
        <f aca="false">(M1650+N1650+O1650+P1650)/L1650</f>
        <v>0.106095277719992</v>
      </c>
      <c r="V1650" s="2" t="str">
        <f aca="false">IF(S1650&lt;=5,"Late night (0-5)",IF(S1650&lt;=11,"Morning (6-11)",IF(S1650&lt;=17,"Afternoon (12-17)","Evening (18-23)")))</f>
        <v>Afternoon (12-17)</v>
      </c>
    </row>
    <row r="1651" customFormat="false" ht="15" hidden="false" customHeight="false" outlineLevel="0" collapsed="false">
      <c r="A1651" s="2" t="s">
        <v>2724</v>
      </c>
      <c r="B1651" s="2" t="s">
        <v>23</v>
      </c>
      <c r="C1651" s="2" t="s">
        <v>24</v>
      </c>
      <c r="D1651" s="3" t="n">
        <v>45993</v>
      </c>
      <c r="E1651" s="2" t="s">
        <v>1001</v>
      </c>
      <c r="F1651" s="2" t="s">
        <v>32</v>
      </c>
      <c r="G1651" s="2" t="n">
        <v>63447</v>
      </c>
      <c r="H1651" s="2" t="n">
        <v>10</v>
      </c>
      <c r="I1651" s="2" t="n">
        <v>245</v>
      </c>
      <c r="J1651" s="2" t="n">
        <v>1</v>
      </c>
      <c r="K1651" s="2" t="n">
        <v>96399</v>
      </c>
      <c r="L1651" s="2" t="n">
        <v>56459</v>
      </c>
      <c r="M1651" s="2" t="n">
        <v>5203</v>
      </c>
      <c r="N1651" s="2" t="n">
        <v>183</v>
      </c>
      <c r="O1651" s="2" t="n">
        <v>1273</v>
      </c>
      <c r="P1651" s="2" t="n">
        <v>809</v>
      </c>
      <c r="Q1651" s="2" t="n">
        <v>1376</v>
      </c>
      <c r="R1651" s="2" t="n">
        <v>179</v>
      </c>
      <c r="S1651" s="2" t="n">
        <v>22</v>
      </c>
      <c r="T1651" s="2" t="s">
        <v>51</v>
      </c>
      <c r="U1651" s="4" t="n">
        <f aca="false">(M1651+N1651+O1651+P1651)/L1651</f>
        <v>0.132272976850458</v>
      </c>
      <c r="V1651" s="2" t="str">
        <f aca="false">IF(S1651&lt;=5,"Late night (0-5)",IF(S1651&lt;=11,"Morning (6-11)",IF(S1651&lt;=17,"Afternoon (12-17)","Evening (18-23)")))</f>
        <v>Evening (18-23)</v>
      </c>
    </row>
    <row r="1652" customFormat="false" ht="15" hidden="false" customHeight="false" outlineLevel="0" collapsed="false">
      <c r="A1652" s="2" t="s">
        <v>2725</v>
      </c>
      <c r="B1652" s="2" t="s">
        <v>188</v>
      </c>
      <c r="C1652" s="2" t="s">
        <v>30</v>
      </c>
      <c r="D1652" s="3" t="n">
        <v>45791</v>
      </c>
      <c r="E1652" s="2" t="s">
        <v>1446</v>
      </c>
      <c r="F1652" s="2" t="s">
        <v>38</v>
      </c>
      <c r="G1652" s="2" t="n">
        <v>38900</v>
      </c>
      <c r="H1652" s="2" t="n">
        <v>24</v>
      </c>
      <c r="I1652" s="2" t="n">
        <v>184</v>
      </c>
      <c r="J1652" s="2" t="n">
        <v>0</v>
      </c>
      <c r="K1652" s="2" t="n">
        <v>30542</v>
      </c>
      <c r="L1652" s="2" t="n">
        <v>19984</v>
      </c>
      <c r="M1652" s="2" t="n">
        <v>631</v>
      </c>
      <c r="N1652" s="2" t="n">
        <v>39</v>
      </c>
      <c r="O1652" s="2" t="n">
        <v>110</v>
      </c>
      <c r="P1652" s="2" t="n">
        <v>114</v>
      </c>
      <c r="Q1652" s="2" t="n">
        <v>520</v>
      </c>
      <c r="R1652" s="2" t="n">
        <v>77</v>
      </c>
      <c r="S1652" s="2" t="n">
        <v>17</v>
      </c>
      <c r="T1652" s="2" t="s">
        <v>66</v>
      </c>
      <c r="U1652" s="4" t="n">
        <f aca="false">(M1652+N1652+O1652+P1652)/L1652</f>
        <v>0.0447357886309047</v>
      </c>
      <c r="V1652" s="2" t="str">
        <f aca="false">IF(S1652&lt;=5,"Late night (0-5)",IF(S1652&lt;=11,"Morning (6-11)",IF(S1652&lt;=17,"Afternoon (12-17)","Evening (18-23)")))</f>
        <v>Afternoon (12-17)</v>
      </c>
    </row>
    <row r="1653" customFormat="false" ht="15" hidden="false" customHeight="false" outlineLevel="0" collapsed="false">
      <c r="A1653" s="2" t="s">
        <v>2726</v>
      </c>
      <c r="B1653" s="2" t="s">
        <v>135</v>
      </c>
      <c r="C1653" s="2" t="s">
        <v>36</v>
      </c>
      <c r="D1653" s="3" t="n">
        <v>46018</v>
      </c>
      <c r="E1653" s="2" t="s">
        <v>1715</v>
      </c>
      <c r="F1653" s="2" t="s">
        <v>38</v>
      </c>
      <c r="G1653" s="2" t="n">
        <v>45812</v>
      </c>
      <c r="H1653" s="2" t="n">
        <v>11</v>
      </c>
      <c r="I1653" s="2" t="n">
        <v>187</v>
      </c>
      <c r="J1653" s="2" t="n">
        <v>0</v>
      </c>
      <c r="K1653" s="2" t="n">
        <v>30827</v>
      </c>
      <c r="L1653" s="2" t="n">
        <v>18634</v>
      </c>
      <c r="M1653" s="2" t="n">
        <v>1130</v>
      </c>
      <c r="N1653" s="2" t="n">
        <v>87</v>
      </c>
      <c r="O1653" s="2" t="n">
        <v>89</v>
      </c>
      <c r="P1653" s="2" t="n">
        <v>227</v>
      </c>
      <c r="Q1653" s="2" t="n">
        <v>469</v>
      </c>
      <c r="R1653" s="2" t="n">
        <v>128</v>
      </c>
      <c r="S1653" s="2" t="n">
        <v>14</v>
      </c>
      <c r="T1653" s="2" t="s">
        <v>62</v>
      </c>
      <c r="U1653" s="4" t="n">
        <f aca="false">(M1653+N1653+O1653+P1653)/L1653</f>
        <v>0.0822689706987228</v>
      </c>
      <c r="V1653" s="2" t="str">
        <f aca="false">IF(S1653&lt;=5,"Late night (0-5)",IF(S1653&lt;=11,"Morning (6-11)",IF(S1653&lt;=17,"Afternoon (12-17)","Evening (18-23)")))</f>
        <v>Afternoon (12-17)</v>
      </c>
    </row>
    <row r="1654" customFormat="false" ht="15" hidden="false" customHeight="false" outlineLevel="0" collapsed="false">
      <c r="A1654" s="2" t="s">
        <v>2727</v>
      </c>
      <c r="B1654" s="2" t="s">
        <v>181</v>
      </c>
      <c r="C1654" s="2" t="s">
        <v>91</v>
      </c>
      <c r="D1654" s="3" t="n">
        <v>45717</v>
      </c>
      <c r="E1654" s="2" t="s">
        <v>2728</v>
      </c>
      <c r="F1654" s="2" t="s">
        <v>32</v>
      </c>
      <c r="G1654" s="2" t="n">
        <v>31658</v>
      </c>
      <c r="H1654" s="2" t="n">
        <v>15</v>
      </c>
      <c r="I1654" s="2" t="n">
        <v>341</v>
      </c>
      <c r="J1654" s="2" t="n">
        <v>0</v>
      </c>
      <c r="K1654" s="2" t="n">
        <v>44216</v>
      </c>
      <c r="L1654" s="2" t="n">
        <v>35495</v>
      </c>
      <c r="M1654" s="2" t="n">
        <v>1659</v>
      </c>
      <c r="N1654" s="2" t="n">
        <v>113</v>
      </c>
      <c r="O1654" s="2" t="n">
        <v>449</v>
      </c>
      <c r="P1654" s="2" t="n">
        <v>458</v>
      </c>
      <c r="Q1654" s="2" t="n">
        <v>906</v>
      </c>
      <c r="R1654" s="2" t="n">
        <v>76</v>
      </c>
      <c r="S1654" s="2" t="n">
        <v>6</v>
      </c>
      <c r="T1654" s="2" t="s">
        <v>62</v>
      </c>
      <c r="U1654" s="4" t="n">
        <f aca="false">(M1654+N1654+O1654+P1654)/L1654</f>
        <v>0.0754754190731089</v>
      </c>
      <c r="V1654" s="2" t="str">
        <f aca="false">IF(S1654&lt;=5,"Late night (0-5)",IF(S1654&lt;=11,"Morning (6-11)",IF(S1654&lt;=17,"Afternoon (12-17)","Evening (18-23)")))</f>
        <v>Morning (6-11)</v>
      </c>
    </row>
    <row r="1655" customFormat="false" ht="15" hidden="false" customHeight="false" outlineLevel="0" collapsed="false">
      <c r="A1655" s="2" t="s">
        <v>2729</v>
      </c>
      <c r="B1655" s="2" t="s">
        <v>154</v>
      </c>
      <c r="C1655" s="2" t="s">
        <v>41</v>
      </c>
      <c r="D1655" s="3" t="n">
        <v>45701</v>
      </c>
      <c r="E1655" s="2" t="s">
        <v>2155</v>
      </c>
      <c r="F1655" s="2" t="s">
        <v>32</v>
      </c>
      <c r="G1655" s="2" t="n">
        <v>33644</v>
      </c>
      <c r="H1655" s="2" t="n">
        <v>21</v>
      </c>
      <c r="I1655" s="2" t="n">
        <v>81</v>
      </c>
      <c r="J1655" s="2" t="n">
        <v>1</v>
      </c>
      <c r="K1655" s="2" t="n">
        <v>67933</v>
      </c>
      <c r="L1655" s="2" t="n">
        <v>57776</v>
      </c>
      <c r="M1655" s="2" t="n">
        <v>2864</v>
      </c>
      <c r="N1655" s="2" t="n">
        <v>218</v>
      </c>
      <c r="O1655" s="2" t="n">
        <v>615</v>
      </c>
      <c r="P1655" s="2" t="n">
        <v>802</v>
      </c>
      <c r="Q1655" s="2" t="n">
        <v>659</v>
      </c>
      <c r="R1655" s="2" t="n">
        <v>174</v>
      </c>
      <c r="S1655" s="2" t="n">
        <v>16</v>
      </c>
      <c r="T1655" s="2" t="s">
        <v>79</v>
      </c>
      <c r="U1655" s="4" t="n">
        <f aca="false">(M1655+N1655+O1655+P1655)/L1655</f>
        <v>0.0778697036831903</v>
      </c>
      <c r="V1655" s="2" t="str">
        <f aca="false">IF(S1655&lt;=5,"Late night (0-5)",IF(S1655&lt;=11,"Morning (6-11)",IF(S1655&lt;=17,"Afternoon (12-17)","Evening (18-23)")))</f>
        <v>Afternoon (12-17)</v>
      </c>
    </row>
    <row r="1656" customFormat="false" ht="15" hidden="false" customHeight="false" outlineLevel="0" collapsed="false">
      <c r="A1656" s="2" t="s">
        <v>2730</v>
      </c>
      <c r="B1656" s="2" t="s">
        <v>129</v>
      </c>
      <c r="C1656" s="2" t="s">
        <v>54</v>
      </c>
      <c r="D1656" s="3" t="n">
        <v>45710</v>
      </c>
      <c r="E1656" s="2" t="s">
        <v>2731</v>
      </c>
      <c r="F1656" s="2" t="s">
        <v>26</v>
      </c>
      <c r="G1656" s="2" t="n">
        <v>10312</v>
      </c>
      <c r="H1656" s="2" t="n">
        <v>9</v>
      </c>
      <c r="I1656" s="2" t="n">
        <v>68</v>
      </c>
      <c r="J1656" s="2" t="n">
        <v>0</v>
      </c>
      <c r="K1656" s="2" t="n">
        <v>9983</v>
      </c>
      <c r="L1656" s="2" t="n">
        <v>5912</v>
      </c>
      <c r="M1656" s="2" t="n">
        <v>381</v>
      </c>
      <c r="N1656" s="2" t="n">
        <v>14</v>
      </c>
      <c r="O1656" s="2" t="n">
        <v>32</v>
      </c>
      <c r="P1656" s="2" t="n">
        <v>102</v>
      </c>
      <c r="Q1656" s="2" t="n">
        <v>92</v>
      </c>
      <c r="R1656" s="2" t="n">
        <v>8</v>
      </c>
      <c r="S1656" s="2" t="n">
        <v>10</v>
      </c>
      <c r="T1656" s="2" t="s">
        <v>62</v>
      </c>
      <c r="U1656" s="4" t="n">
        <f aca="false">(M1656+N1656+O1656+P1656)/L1656</f>
        <v>0.0894790257104195</v>
      </c>
      <c r="V1656" s="2" t="str">
        <f aca="false">IF(S1656&lt;=5,"Late night (0-5)",IF(S1656&lt;=11,"Morning (6-11)",IF(S1656&lt;=17,"Afternoon (12-17)","Evening (18-23)")))</f>
        <v>Morning (6-11)</v>
      </c>
    </row>
    <row r="1657" customFormat="false" ht="15" hidden="false" customHeight="false" outlineLevel="0" collapsed="false">
      <c r="A1657" s="2" t="s">
        <v>2732</v>
      </c>
      <c r="B1657" s="2" t="s">
        <v>240</v>
      </c>
      <c r="C1657" s="2" t="s">
        <v>41</v>
      </c>
      <c r="D1657" s="3" t="n">
        <v>45766</v>
      </c>
      <c r="E1657" s="2" t="s">
        <v>2733</v>
      </c>
      <c r="F1657" s="2" t="s">
        <v>26</v>
      </c>
      <c r="G1657" s="2" t="n">
        <v>83197</v>
      </c>
      <c r="H1657" s="2" t="n">
        <v>1</v>
      </c>
      <c r="I1657" s="2" t="n">
        <v>271</v>
      </c>
      <c r="J1657" s="2" t="n">
        <v>0</v>
      </c>
      <c r="K1657" s="2" t="n">
        <v>33590</v>
      </c>
      <c r="L1657" s="2" t="n">
        <v>25295</v>
      </c>
      <c r="M1657" s="2" t="n">
        <v>1436</v>
      </c>
      <c r="N1657" s="2" t="n">
        <v>48</v>
      </c>
      <c r="O1657" s="2" t="n">
        <v>180</v>
      </c>
      <c r="P1657" s="2" t="n">
        <v>280</v>
      </c>
      <c r="Q1657" s="2" t="n">
        <v>680</v>
      </c>
      <c r="R1657" s="2" t="n">
        <v>123</v>
      </c>
      <c r="S1657" s="2" t="n">
        <v>2</v>
      </c>
      <c r="T1657" s="2" t="s">
        <v>62</v>
      </c>
      <c r="U1657" s="4" t="n">
        <f aca="false">(M1657+N1657+O1657+P1657)/L1657</f>
        <v>0.0768531330302431</v>
      </c>
      <c r="V1657" s="2" t="str">
        <f aca="false">IF(S1657&lt;=5,"Late night (0-5)",IF(S1657&lt;=11,"Morning (6-11)",IF(S1657&lt;=17,"Afternoon (12-17)","Evening (18-23)")))</f>
        <v>Late night (0-5)</v>
      </c>
    </row>
    <row r="1658" customFormat="false" ht="15" hidden="false" customHeight="false" outlineLevel="0" collapsed="false">
      <c r="A1658" s="2" t="s">
        <v>2734</v>
      </c>
      <c r="B1658" s="2" t="s">
        <v>154</v>
      </c>
      <c r="C1658" s="2" t="s">
        <v>41</v>
      </c>
      <c r="D1658" s="3" t="n">
        <v>45740</v>
      </c>
      <c r="E1658" s="2" t="s">
        <v>2735</v>
      </c>
      <c r="F1658" s="2" t="s">
        <v>32</v>
      </c>
      <c r="G1658" s="2" t="n">
        <v>33644</v>
      </c>
      <c r="H1658" s="2" t="n">
        <v>12</v>
      </c>
      <c r="I1658" s="2" t="n">
        <v>347</v>
      </c>
      <c r="J1658" s="2" t="n">
        <v>0</v>
      </c>
      <c r="K1658" s="2" t="n">
        <v>52640</v>
      </c>
      <c r="L1658" s="2" t="n">
        <v>39816</v>
      </c>
      <c r="M1658" s="2" t="n">
        <v>3552</v>
      </c>
      <c r="N1658" s="2" t="n">
        <v>116</v>
      </c>
      <c r="O1658" s="2" t="n">
        <v>391</v>
      </c>
      <c r="P1658" s="2" t="n">
        <v>1008</v>
      </c>
      <c r="Q1658" s="2" t="n">
        <v>280</v>
      </c>
      <c r="R1658" s="2" t="n">
        <v>43</v>
      </c>
      <c r="S1658" s="2" t="n">
        <v>8</v>
      </c>
      <c r="T1658" s="2" t="s">
        <v>33</v>
      </c>
      <c r="U1658" s="4" t="n">
        <f aca="false">(M1658+N1658+O1658+P1658)/L1658</f>
        <v>0.127260397830018</v>
      </c>
      <c r="V1658" s="2" t="str">
        <f aca="false">IF(S1658&lt;=5,"Late night (0-5)",IF(S1658&lt;=11,"Morning (6-11)",IF(S1658&lt;=17,"Afternoon (12-17)","Evening (18-23)")))</f>
        <v>Morning (6-11)</v>
      </c>
    </row>
    <row r="1659" customFormat="false" ht="15" hidden="false" customHeight="false" outlineLevel="0" collapsed="false">
      <c r="A1659" s="2" t="s">
        <v>2736</v>
      </c>
      <c r="B1659" s="2" t="s">
        <v>111</v>
      </c>
      <c r="C1659" s="2" t="s">
        <v>48</v>
      </c>
      <c r="D1659" s="3" t="n">
        <v>45846</v>
      </c>
      <c r="E1659" s="2" t="s">
        <v>1658</v>
      </c>
      <c r="F1659" s="2" t="s">
        <v>38</v>
      </c>
      <c r="G1659" s="2" t="n">
        <v>16824</v>
      </c>
      <c r="H1659" s="2" t="n">
        <v>17</v>
      </c>
      <c r="I1659" s="2" t="n">
        <v>176</v>
      </c>
      <c r="J1659" s="2" t="n">
        <v>1</v>
      </c>
      <c r="K1659" s="2" t="n">
        <v>12195</v>
      </c>
      <c r="L1659" s="2" t="n">
        <v>7499</v>
      </c>
      <c r="M1659" s="2" t="n">
        <v>295</v>
      </c>
      <c r="N1659" s="2" t="n">
        <v>22</v>
      </c>
      <c r="O1659" s="2" t="n">
        <v>19</v>
      </c>
      <c r="P1659" s="2" t="n">
        <v>79</v>
      </c>
      <c r="Q1659" s="2" t="n">
        <v>128</v>
      </c>
      <c r="R1659" s="2" t="n">
        <v>33</v>
      </c>
      <c r="S1659" s="2" t="n">
        <v>0</v>
      </c>
      <c r="T1659" s="2" t="s">
        <v>51</v>
      </c>
      <c r="U1659" s="4" t="n">
        <f aca="false">(M1659+N1659+O1659+P1659)/L1659</f>
        <v>0.055340712094946</v>
      </c>
      <c r="V1659" s="2" t="str">
        <f aca="false">IF(S1659&lt;=5,"Late night (0-5)",IF(S1659&lt;=11,"Morning (6-11)",IF(S1659&lt;=17,"Afternoon (12-17)","Evening (18-23)")))</f>
        <v>Late night (0-5)</v>
      </c>
    </row>
    <row r="1660" customFormat="false" ht="15" hidden="false" customHeight="false" outlineLevel="0" collapsed="false">
      <c r="A1660" s="2" t="s">
        <v>2737</v>
      </c>
      <c r="B1660" s="2" t="s">
        <v>374</v>
      </c>
      <c r="C1660" s="2" t="s">
        <v>24</v>
      </c>
      <c r="D1660" s="3" t="n">
        <v>45707</v>
      </c>
      <c r="E1660" s="2" t="s">
        <v>2738</v>
      </c>
      <c r="F1660" s="2" t="s">
        <v>26</v>
      </c>
      <c r="G1660" s="2" t="n">
        <v>9509</v>
      </c>
      <c r="H1660" s="2" t="n">
        <v>8</v>
      </c>
      <c r="I1660" s="2" t="n">
        <v>309</v>
      </c>
      <c r="J1660" s="2" t="n">
        <v>0</v>
      </c>
      <c r="K1660" s="2" t="n">
        <v>9560</v>
      </c>
      <c r="L1660" s="2" t="n">
        <v>8414</v>
      </c>
      <c r="M1660" s="2" t="n">
        <v>493</v>
      </c>
      <c r="N1660" s="2" t="n">
        <v>35</v>
      </c>
      <c r="O1660" s="2" t="n">
        <v>81</v>
      </c>
      <c r="P1660" s="2" t="n">
        <v>119</v>
      </c>
      <c r="Q1660" s="2" t="n">
        <v>78</v>
      </c>
      <c r="R1660" s="2" t="n">
        <v>20</v>
      </c>
      <c r="S1660" s="2" t="n">
        <v>10</v>
      </c>
      <c r="T1660" s="2" t="s">
        <v>66</v>
      </c>
      <c r="U1660" s="4" t="n">
        <f aca="false">(M1660+N1660+O1660+P1660)/L1660</f>
        <v>0.086522462562396</v>
      </c>
      <c r="V1660" s="2" t="str">
        <f aca="false">IF(S1660&lt;=5,"Late night (0-5)",IF(S1660&lt;=11,"Morning (6-11)",IF(S1660&lt;=17,"Afternoon (12-17)","Evening (18-23)")))</f>
        <v>Morning (6-11)</v>
      </c>
    </row>
    <row r="1661" customFormat="false" ht="15" hidden="false" customHeight="false" outlineLevel="0" collapsed="false">
      <c r="A1661" s="2" t="s">
        <v>2739</v>
      </c>
      <c r="B1661" s="2" t="s">
        <v>138</v>
      </c>
      <c r="C1661" s="2" t="s">
        <v>41</v>
      </c>
      <c r="D1661" s="3" t="n">
        <v>45794</v>
      </c>
      <c r="E1661" s="2" t="s">
        <v>2740</v>
      </c>
      <c r="F1661" s="2" t="s">
        <v>26</v>
      </c>
      <c r="G1661" s="2" t="n">
        <v>18712</v>
      </c>
      <c r="H1661" s="2" t="n">
        <v>5</v>
      </c>
      <c r="I1661" s="2" t="n">
        <v>232</v>
      </c>
      <c r="J1661" s="2" t="n">
        <v>0</v>
      </c>
      <c r="K1661" s="2" t="n">
        <v>11034</v>
      </c>
      <c r="L1661" s="2" t="n">
        <v>7867</v>
      </c>
      <c r="M1661" s="2" t="n">
        <v>626</v>
      </c>
      <c r="N1661" s="2" t="n">
        <v>46</v>
      </c>
      <c r="O1661" s="2" t="n">
        <v>117</v>
      </c>
      <c r="P1661" s="2" t="n">
        <v>167</v>
      </c>
      <c r="Q1661" s="2" t="n">
        <v>126</v>
      </c>
      <c r="R1661" s="2" t="n">
        <v>28</v>
      </c>
      <c r="S1661" s="2" t="n">
        <v>9</v>
      </c>
      <c r="T1661" s="2" t="s">
        <v>62</v>
      </c>
      <c r="U1661" s="4" t="n">
        <f aca="false">(M1661+N1661+O1661+P1661)/L1661</f>
        <v>0.121520274564637</v>
      </c>
      <c r="V1661" s="2" t="str">
        <f aca="false">IF(S1661&lt;=5,"Late night (0-5)",IF(S1661&lt;=11,"Morning (6-11)",IF(S1661&lt;=17,"Afternoon (12-17)","Evening (18-23)")))</f>
        <v>Morning (6-11)</v>
      </c>
    </row>
    <row r="1662" customFormat="false" ht="15" hidden="false" customHeight="false" outlineLevel="0" collapsed="false">
      <c r="A1662" s="2" t="s">
        <v>2741</v>
      </c>
      <c r="B1662" s="2" t="s">
        <v>111</v>
      </c>
      <c r="C1662" s="2" t="s">
        <v>48</v>
      </c>
      <c r="D1662" s="3" t="n">
        <v>45831</v>
      </c>
      <c r="E1662" s="2" t="s">
        <v>1196</v>
      </c>
      <c r="F1662" s="2" t="s">
        <v>38</v>
      </c>
      <c r="G1662" s="2" t="n">
        <v>16824</v>
      </c>
      <c r="H1662" s="2" t="n">
        <v>5</v>
      </c>
      <c r="I1662" s="2" t="n">
        <v>64</v>
      </c>
      <c r="J1662" s="2" t="n">
        <v>1</v>
      </c>
      <c r="K1662" s="2" t="n">
        <v>13632</v>
      </c>
      <c r="L1662" s="2" t="n">
        <v>10185</v>
      </c>
      <c r="M1662" s="2" t="n">
        <v>608</v>
      </c>
      <c r="N1662" s="2" t="n">
        <v>23</v>
      </c>
      <c r="O1662" s="2" t="n">
        <v>94</v>
      </c>
      <c r="P1662" s="2" t="n">
        <v>140</v>
      </c>
      <c r="Q1662" s="2" t="n">
        <v>298</v>
      </c>
      <c r="R1662" s="2" t="n">
        <v>44</v>
      </c>
      <c r="S1662" s="2" t="n">
        <v>13</v>
      </c>
      <c r="T1662" s="2" t="s">
        <v>33</v>
      </c>
      <c r="U1662" s="4" t="n">
        <f aca="false">(M1662+N1662+O1662+P1662)/L1662</f>
        <v>0.0849288168875798</v>
      </c>
      <c r="V1662" s="2" t="str">
        <f aca="false">IF(S1662&lt;=5,"Late night (0-5)",IF(S1662&lt;=11,"Morning (6-11)",IF(S1662&lt;=17,"Afternoon (12-17)","Evening (18-23)")))</f>
        <v>Afternoon (12-17)</v>
      </c>
    </row>
    <row r="1663" customFormat="false" ht="15" hidden="false" customHeight="false" outlineLevel="0" collapsed="false">
      <c r="A1663" s="2" t="s">
        <v>2742</v>
      </c>
      <c r="B1663" s="2" t="s">
        <v>247</v>
      </c>
      <c r="C1663" s="2" t="s">
        <v>24</v>
      </c>
      <c r="D1663" s="3" t="n">
        <v>45741</v>
      </c>
      <c r="E1663" s="2" t="s">
        <v>1631</v>
      </c>
      <c r="F1663" s="2" t="s">
        <v>32</v>
      </c>
      <c r="G1663" s="2" t="n">
        <v>70847</v>
      </c>
      <c r="H1663" s="2" t="n">
        <v>10</v>
      </c>
      <c r="I1663" s="2" t="n">
        <v>141</v>
      </c>
      <c r="J1663" s="2" t="n">
        <v>0</v>
      </c>
      <c r="K1663" s="2" t="n">
        <v>288456</v>
      </c>
      <c r="L1663" s="2" t="n">
        <v>168543</v>
      </c>
      <c r="M1663" s="2" t="n">
        <v>6624</v>
      </c>
      <c r="N1663" s="2" t="n">
        <v>251</v>
      </c>
      <c r="O1663" s="2" t="n">
        <v>534</v>
      </c>
      <c r="P1663" s="2" t="n">
        <v>1465</v>
      </c>
      <c r="Q1663" s="2" t="n">
        <v>3001</v>
      </c>
      <c r="R1663" s="2" t="n">
        <v>854</v>
      </c>
      <c r="S1663" s="2" t="n">
        <v>7</v>
      </c>
      <c r="T1663" s="2" t="s">
        <v>51</v>
      </c>
      <c r="U1663" s="4" t="n">
        <f aca="false">(M1663+N1663+O1663+P1663)/L1663</f>
        <v>0.052651252202702</v>
      </c>
      <c r="V1663" s="2" t="str">
        <f aca="false">IF(S1663&lt;=5,"Late night (0-5)",IF(S1663&lt;=11,"Morning (6-11)",IF(S1663&lt;=17,"Afternoon (12-17)","Evening (18-23)")))</f>
        <v>Morning (6-11)</v>
      </c>
    </row>
    <row r="1664" customFormat="false" ht="15" hidden="false" customHeight="false" outlineLevel="0" collapsed="false">
      <c r="A1664" s="2" t="s">
        <v>2743</v>
      </c>
      <c r="B1664" s="2" t="s">
        <v>98</v>
      </c>
      <c r="C1664" s="2" t="s">
        <v>54</v>
      </c>
      <c r="D1664" s="3" t="n">
        <v>45843</v>
      </c>
      <c r="E1664" s="2" t="s">
        <v>520</v>
      </c>
      <c r="F1664" s="2" t="s">
        <v>50</v>
      </c>
      <c r="G1664" s="2" t="n">
        <v>18366</v>
      </c>
      <c r="H1664" s="2" t="n">
        <v>9</v>
      </c>
      <c r="I1664" s="2" t="n">
        <v>258</v>
      </c>
      <c r="J1664" s="2" t="n">
        <v>0</v>
      </c>
      <c r="K1664" s="2" t="n">
        <v>15204</v>
      </c>
      <c r="L1664" s="2" t="n">
        <v>10842</v>
      </c>
      <c r="M1664" s="2" t="n">
        <v>510</v>
      </c>
      <c r="N1664" s="2" t="n">
        <v>13</v>
      </c>
      <c r="O1664" s="2" t="n">
        <v>59</v>
      </c>
      <c r="P1664" s="2" t="n">
        <v>200</v>
      </c>
      <c r="Q1664" s="2" t="n">
        <v>214</v>
      </c>
      <c r="R1664" s="2" t="n">
        <v>19</v>
      </c>
      <c r="S1664" s="2" t="n">
        <v>13</v>
      </c>
      <c r="T1664" s="2" t="s">
        <v>62</v>
      </c>
      <c r="U1664" s="4" t="n">
        <f aca="false">(M1664+N1664+O1664+P1664)/L1664</f>
        <v>0.0721269138535326</v>
      </c>
      <c r="V1664" s="2" t="str">
        <f aca="false">IF(S1664&lt;=5,"Late night (0-5)",IF(S1664&lt;=11,"Morning (6-11)",IF(S1664&lt;=17,"Afternoon (12-17)","Evening (18-23)")))</f>
        <v>Afternoon (12-17)</v>
      </c>
    </row>
    <row r="1665" customFormat="false" ht="15" hidden="false" customHeight="false" outlineLevel="0" collapsed="false">
      <c r="A1665" s="2" t="s">
        <v>2744</v>
      </c>
      <c r="B1665" s="2" t="s">
        <v>35</v>
      </c>
      <c r="C1665" s="2" t="s">
        <v>36</v>
      </c>
      <c r="D1665" s="3" t="n">
        <v>45709</v>
      </c>
      <c r="E1665" s="2" t="s">
        <v>2745</v>
      </c>
      <c r="F1665" s="2" t="s">
        <v>38</v>
      </c>
      <c r="G1665" s="2" t="n">
        <v>33933</v>
      </c>
      <c r="H1665" s="2" t="n">
        <v>18</v>
      </c>
      <c r="I1665" s="2" t="n">
        <v>232</v>
      </c>
      <c r="J1665" s="2" t="n">
        <v>0</v>
      </c>
      <c r="K1665" s="2" t="n">
        <v>19846</v>
      </c>
      <c r="L1665" s="2" t="n">
        <v>12458</v>
      </c>
      <c r="M1665" s="2" t="n">
        <v>485</v>
      </c>
      <c r="N1665" s="2" t="n">
        <v>25</v>
      </c>
      <c r="O1665" s="2" t="n">
        <v>70</v>
      </c>
      <c r="P1665" s="2" t="n">
        <v>79</v>
      </c>
      <c r="Q1665" s="2" t="n">
        <v>110</v>
      </c>
      <c r="R1665" s="2" t="n">
        <v>12</v>
      </c>
      <c r="S1665" s="2" t="n">
        <v>13</v>
      </c>
      <c r="T1665" s="2" t="s">
        <v>96</v>
      </c>
      <c r="U1665" s="4" t="n">
        <f aca="false">(M1665+N1665+O1665+P1665)/L1665</f>
        <v>0.0528977363942848</v>
      </c>
      <c r="V1665" s="2" t="str">
        <f aca="false">IF(S1665&lt;=5,"Late night (0-5)",IF(S1665&lt;=11,"Morning (6-11)",IF(S1665&lt;=17,"Afternoon (12-17)","Evening (18-23)")))</f>
        <v>Afternoon (12-17)</v>
      </c>
    </row>
    <row r="1666" customFormat="false" ht="15" hidden="false" customHeight="false" outlineLevel="0" collapsed="false">
      <c r="A1666" s="2" t="s">
        <v>2746</v>
      </c>
      <c r="B1666" s="2" t="s">
        <v>188</v>
      </c>
      <c r="C1666" s="2" t="s">
        <v>30</v>
      </c>
      <c r="D1666" s="3" t="n">
        <v>45747</v>
      </c>
      <c r="E1666" s="2" t="s">
        <v>2747</v>
      </c>
      <c r="F1666" s="2" t="s">
        <v>32</v>
      </c>
      <c r="G1666" s="2" t="n">
        <v>38900</v>
      </c>
      <c r="H1666" s="2" t="n">
        <v>7</v>
      </c>
      <c r="I1666" s="2" t="n">
        <v>145</v>
      </c>
      <c r="J1666" s="2" t="n">
        <v>0</v>
      </c>
      <c r="K1666" s="2" t="n">
        <v>100143</v>
      </c>
      <c r="L1666" s="2" t="n">
        <v>66815</v>
      </c>
      <c r="M1666" s="2" t="n">
        <v>4352</v>
      </c>
      <c r="N1666" s="2" t="n">
        <v>101</v>
      </c>
      <c r="O1666" s="2" t="n">
        <v>1151</v>
      </c>
      <c r="P1666" s="2" t="n">
        <v>234</v>
      </c>
      <c r="Q1666" s="2" t="n">
        <v>1834</v>
      </c>
      <c r="R1666" s="2" t="n">
        <v>454</v>
      </c>
      <c r="S1666" s="2" t="n">
        <v>18</v>
      </c>
      <c r="T1666" s="2" t="s">
        <v>33</v>
      </c>
      <c r="U1666" s="4" t="n">
        <f aca="false">(M1666+N1666+O1666+P1666)/L1666</f>
        <v>0.0873755893137768</v>
      </c>
      <c r="V1666" s="2" t="str">
        <f aca="false">IF(S1666&lt;=5,"Late night (0-5)",IF(S1666&lt;=11,"Morning (6-11)",IF(S1666&lt;=17,"Afternoon (12-17)","Evening (18-23)")))</f>
        <v>Evening (18-23)</v>
      </c>
    </row>
    <row r="1667" customFormat="false" ht="15" hidden="false" customHeight="false" outlineLevel="0" collapsed="false">
      <c r="A1667" s="2" t="s">
        <v>2748</v>
      </c>
      <c r="B1667" s="2" t="s">
        <v>151</v>
      </c>
      <c r="C1667" s="2" t="s">
        <v>36</v>
      </c>
      <c r="D1667" s="3" t="n">
        <v>45708</v>
      </c>
      <c r="E1667" s="2" t="s">
        <v>2749</v>
      </c>
      <c r="F1667" s="2" t="s">
        <v>50</v>
      </c>
      <c r="G1667" s="2" t="n">
        <v>19247</v>
      </c>
      <c r="H1667" s="2" t="n">
        <v>13</v>
      </c>
      <c r="I1667" s="2" t="n">
        <v>199</v>
      </c>
      <c r="J1667" s="2" t="n">
        <v>0</v>
      </c>
      <c r="K1667" s="2" t="n">
        <v>23465</v>
      </c>
      <c r="L1667" s="2" t="n">
        <v>13741</v>
      </c>
      <c r="M1667" s="2" t="n">
        <v>707</v>
      </c>
      <c r="N1667" s="2" t="n">
        <v>23</v>
      </c>
      <c r="O1667" s="2" t="n">
        <v>104</v>
      </c>
      <c r="P1667" s="2" t="n">
        <v>59</v>
      </c>
      <c r="Q1667" s="2" t="n">
        <v>357</v>
      </c>
      <c r="R1667" s="2" t="n">
        <v>85</v>
      </c>
      <c r="S1667" s="2" t="n">
        <v>7</v>
      </c>
      <c r="T1667" s="2" t="s">
        <v>79</v>
      </c>
      <c r="U1667" s="4" t="n">
        <f aca="false">(M1667+N1667+O1667+P1667)/L1667</f>
        <v>0.06498799214031</v>
      </c>
      <c r="V1667" s="2" t="str">
        <f aca="false">IF(S1667&lt;=5,"Late night (0-5)",IF(S1667&lt;=11,"Morning (6-11)",IF(S1667&lt;=17,"Afternoon (12-17)","Evening (18-23)")))</f>
        <v>Morning (6-11)</v>
      </c>
    </row>
    <row r="1668" customFormat="false" ht="15" hidden="false" customHeight="false" outlineLevel="0" collapsed="false">
      <c r="A1668" s="2" t="s">
        <v>2750</v>
      </c>
      <c r="B1668" s="2" t="s">
        <v>154</v>
      </c>
      <c r="C1668" s="2" t="s">
        <v>41</v>
      </c>
      <c r="D1668" s="3" t="n">
        <v>45821</v>
      </c>
      <c r="E1668" s="2" t="s">
        <v>2751</v>
      </c>
      <c r="F1668" s="2" t="s">
        <v>26</v>
      </c>
      <c r="G1668" s="2" t="n">
        <v>33644</v>
      </c>
      <c r="H1668" s="2" t="n">
        <v>21</v>
      </c>
      <c r="I1668" s="2" t="n">
        <v>246</v>
      </c>
      <c r="J1668" s="2" t="n">
        <v>1</v>
      </c>
      <c r="K1668" s="2" t="n">
        <v>197270</v>
      </c>
      <c r="L1668" s="2" t="n">
        <v>121485</v>
      </c>
      <c r="M1668" s="2" t="n">
        <v>9284</v>
      </c>
      <c r="N1668" s="2" t="n">
        <v>207</v>
      </c>
      <c r="O1668" s="2" t="n">
        <v>1722</v>
      </c>
      <c r="P1668" s="2" t="n">
        <v>2517</v>
      </c>
      <c r="Q1668" s="2" t="n">
        <v>2137</v>
      </c>
      <c r="R1668" s="2" t="n">
        <v>112</v>
      </c>
      <c r="S1668" s="2" t="n">
        <v>19</v>
      </c>
      <c r="T1668" s="2" t="s">
        <v>96</v>
      </c>
      <c r="U1668" s="4" t="n">
        <f aca="false">(M1668+N1668+O1668+P1668)/L1668</f>
        <v>0.113018068074248</v>
      </c>
      <c r="V1668" s="2" t="str">
        <f aca="false">IF(S1668&lt;=5,"Late night (0-5)",IF(S1668&lt;=11,"Morning (6-11)",IF(S1668&lt;=17,"Afternoon (12-17)","Evening (18-23)")))</f>
        <v>Evening (18-23)</v>
      </c>
    </row>
    <row r="1669" customFormat="false" ht="15" hidden="false" customHeight="false" outlineLevel="0" collapsed="false">
      <c r="A1669" s="2" t="s">
        <v>2752</v>
      </c>
      <c r="B1669" s="2" t="s">
        <v>148</v>
      </c>
      <c r="C1669" s="2" t="s">
        <v>48</v>
      </c>
      <c r="D1669" s="3" t="n">
        <v>45836</v>
      </c>
      <c r="E1669" s="2" t="s">
        <v>155</v>
      </c>
      <c r="F1669" s="2" t="s">
        <v>32</v>
      </c>
      <c r="G1669" s="2" t="n">
        <v>46311</v>
      </c>
      <c r="H1669" s="2" t="n">
        <v>12</v>
      </c>
      <c r="I1669" s="2" t="n">
        <v>168</v>
      </c>
      <c r="J1669" s="2" t="n">
        <v>0</v>
      </c>
      <c r="K1669" s="2" t="n">
        <v>55626</v>
      </c>
      <c r="L1669" s="2" t="n">
        <v>37692</v>
      </c>
      <c r="M1669" s="2" t="n">
        <v>3430</v>
      </c>
      <c r="N1669" s="2" t="n">
        <v>263</v>
      </c>
      <c r="O1669" s="2" t="n">
        <v>310</v>
      </c>
      <c r="P1669" s="2" t="n">
        <v>432</v>
      </c>
      <c r="Q1669" s="2" t="n">
        <v>516</v>
      </c>
      <c r="R1669" s="2" t="n">
        <v>106</v>
      </c>
      <c r="S1669" s="2" t="n">
        <v>16</v>
      </c>
      <c r="T1669" s="2" t="s">
        <v>62</v>
      </c>
      <c r="U1669" s="4" t="n">
        <f aca="false">(M1669+N1669+O1669+P1669)/L1669</f>
        <v>0.117664225830415</v>
      </c>
      <c r="V1669" s="2" t="str">
        <f aca="false">IF(S1669&lt;=5,"Late night (0-5)",IF(S1669&lt;=11,"Morning (6-11)",IF(S1669&lt;=17,"Afternoon (12-17)","Evening (18-23)")))</f>
        <v>Afternoon (12-17)</v>
      </c>
    </row>
    <row r="1670" customFormat="false" ht="15" hidden="false" customHeight="false" outlineLevel="0" collapsed="false">
      <c r="A1670" s="2" t="s">
        <v>2753</v>
      </c>
      <c r="B1670" s="2" t="s">
        <v>132</v>
      </c>
      <c r="C1670" s="2" t="s">
        <v>36</v>
      </c>
      <c r="D1670" s="3" t="n">
        <v>45712</v>
      </c>
      <c r="E1670" s="2" t="s">
        <v>2754</v>
      </c>
      <c r="F1670" s="2" t="s">
        <v>32</v>
      </c>
      <c r="G1670" s="2" t="n">
        <v>83053</v>
      </c>
      <c r="H1670" s="2" t="n">
        <v>3</v>
      </c>
      <c r="I1670" s="2" t="n">
        <v>96</v>
      </c>
      <c r="J1670" s="2" t="n">
        <v>0</v>
      </c>
      <c r="K1670" s="2" t="n">
        <v>55203</v>
      </c>
      <c r="L1670" s="2" t="n">
        <v>44537</v>
      </c>
      <c r="M1670" s="2" t="n">
        <v>3029</v>
      </c>
      <c r="N1670" s="2" t="n">
        <v>72</v>
      </c>
      <c r="O1670" s="2" t="n">
        <v>674</v>
      </c>
      <c r="P1670" s="2" t="n">
        <v>466</v>
      </c>
      <c r="Q1670" s="2" t="n">
        <v>1215</v>
      </c>
      <c r="R1670" s="2" t="n">
        <v>143</v>
      </c>
      <c r="S1670" s="2" t="n">
        <v>23</v>
      </c>
      <c r="T1670" s="2" t="s">
        <v>33</v>
      </c>
      <c r="U1670" s="4" t="n">
        <f aca="false">(M1670+N1670+O1670+P1670)/L1670</f>
        <v>0.0952241956126367</v>
      </c>
      <c r="V1670" s="2" t="str">
        <f aca="false">IF(S1670&lt;=5,"Late night (0-5)",IF(S1670&lt;=11,"Morning (6-11)",IF(S1670&lt;=17,"Afternoon (12-17)","Evening (18-23)")))</f>
        <v>Evening (18-23)</v>
      </c>
    </row>
    <row r="1671" customFormat="false" ht="15" hidden="false" customHeight="false" outlineLevel="0" collapsed="false">
      <c r="A1671" s="2" t="s">
        <v>2755</v>
      </c>
      <c r="B1671" s="2" t="s">
        <v>129</v>
      </c>
      <c r="C1671" s="2" t="s">
        <v>54</v>
      </c>
      <c r="D1671" s="3" t="n">
        <v>45823</v>
      </c>
      <c r="E1671" s="2" t="s">
        <v>1283</v>
      </c>
      <c r="F1671" s="2" t="s">
        <v>26</v>
      </c>
      <c r="G1671" s="2" t="n">
        <v>10312</v>
      </c>
      <c r="H1671" s="2" t="n">
        <v>20</v>
      </c>
      <c r="I1671" s="2" t="n">
        <v>100</v>
      </c>
      <c r="J1671" s="2" t="n">
        <v>0</v>
      </c>
      <c r="K1671" s="2" t="n">
        <v>16552</v>
      </c>
      <c r="L1671" s="2" t="n">
        <v>9869</v>
      </c>
      <c r="M1671" s="2" t="n">
        <v>486</v>
      </c>
      <c r="N1671" s="2" t="n">
        <v>38</v>
      </c>
      <c r="O1671" s="2" t="n">
        <v>69</v>
      </c>
      <c r="P1671" s="2" t="n">
        <v>165</v>
      </c>
      <c r="Q1671" s="2" t="n">
        <v>261</v>
      </c>
      <c r="R1671" s="2" t="n">
        <v>21</v>
      </c>
      <c r="S1671" s="2" t="n">
        <v>7</v>
      </c>
      <c r="T1671" s="2" t="s">
        <v>27</v>
      </c>
      <c r="U1671" s="4" t="n">
        <f aca="false">(M1671+N1671+O1671+P1671)/L1671</f>
        <v>0.0768061607052386</v>
      </c>
      <c r="V1671" s="2" t="str">
        <f aca="false">IF(S1671&lt;=5,"Late night (0-5)",IF(S1671&lt;=11,"Morning (6-11)",IF(S1671&lt;=17,"Afternoon (12-17)","Evening (18-23)")))</f>
        <v>Morning (6-11)</v>
      </c>
    </row>
    <row r="1672" customFormat="false" ht="15" hidden="false" customHeight="false" outlineLevel="0" collapsed="false">
      <c r="A1672" s="2" t="s">
        <v>2756</v>
      </c>
      <c r="B1672" s="2" t="s">
        <v>94</v>
      </c>
      <c r="C1672" s="2" t="s">
        <v>30</v>
      </c>
      <c r="D1672" s="3" t="n">
        <v>45688</v>
      </c>
      <c r="E1672" s="2" t="s">
        <v>341</v>
      </c>
      <c r="F1672" s="2" t="s">
        <v>50</v>
      </c>
      <c r="G1672" s="2" t="n">
        <v>58559</v>
      </c>
      <c r="H1672" s="2" t="n">
        <v>24</v>
      </c>
      <c r="I1672" s="2" t="n">
        <v>249</v>
      </c>
      <c r="J1672" s="2" t="n">
        <v>1</v>
      </c>
      <c r="K1672" s="2" t="n">
        <v>38929</v>
      </c>
      <c r="L1672" s="2" t="n">
        <v>27472</v>
      </c>
      <c r="M1672" s="2" t="n">
        <v>1990</v>
      </c>
      <c r="N1672" s="2" t="n">
        <v>138</v>
      </c>
      <c r="O1672" s="2" t="n">
        <v>153</v>
      </c>
      <c r="P1672" s="2" t="n">
        <v>158</v>
      </c>
      <c r="Q1672" s="2" t="n">
        <v>566</v>
      </c>
      <c r="R1672" s="2" t="n">
        <v>111</v>
      </c>
      <c r="S1672" s="2" t="n">
        <v>16</v>
      </c>
      <c r="T1672" s="2" t="s">
        <v>96</v>
      </c>
      <c r="U1672" s="4" t="n">
        <f aca="false">(M1672+N1672+O1672+P1672)/L1672</f>
        <v>0.0887813046010483</v>
      </c>
      <c r="V1672" s="2" t="str">
        <f aca="false">IF(S1672&lt;=5,"Late night (0-5)",IF(S1672&lt;=11,"Morning (6-11)",IF(S1672&lt;=17,"Afternoon (12-17)","Evening (18-23)")))</f>
        <v>Afternoon (12-17)</v>
      </c>
    </row>
    <row r="1673" customFormat="false" ht="15" hidden="false" customHeight="false" outlineLevel="0" collapsed="false">
      <c r="A1673" s="2" t="s">
        <v>2757</v>
      </c>
      <c r="B1673" s="2" t="s">
        <v>409</v>
      </c>
      <c r="C1673" s="2" t="s">
        <v>48</v>
      </c>
      <c r="D1673" s="3" t="n">
        <v>45818</v>
      </c>
      <c r="E1673" s="2" t="s">
        <v>1221</v>
      </c>
      <c r="F1673" s="2" t="s">
        <v>32</v>
      </c>
      <c r="G1673" s="2" t="n">
        <v>31525</v>
      </c>
      <c r="H1673" s="2" t="n">
        <v>7</v>
      </c>
      <c r="I1673" s="2" t="n">
        <v>156</v>
      </c>
      <c r="J1673" s="2" t="n">
        <v>0</v>
      </c>
      <c r="K1673" s="2" t="n">
        <v>32774</v>
      </c>
      <c r="L1673" s="2" t="n">
        <v>23749</v>
      </c>
      <c r="M1673" s="2" t="n">
        <v>1789</v>
      </c>
      <c r="N1673" s="2" t="n">
        <v>104</v>
      </c>
      <c r="O1673" s="2" t="n">
        <v>509</v>
      </c>
      <c r="P1673" s="2" t="n">
        <v>238</v>
      </c>
      <c r="Q1673" s="2" t="n">
        <v>465</v>
      </c>
      <c r="R1673" s="2" t="n">
        <v>128</v>
      </c>
      <c r="S1673" s="2" t="n">
        <v>15</v>
      </c>
      <c r="T1673" s="2" t="s">
        <v>51</v>
      </c>
      <c r="U1673" s="4" t="n">
        <f aca="false">(M1673+N1673+O1673+P1673)/L1673</f>
        <v>0.111162575266327</v>
      </c>
      <c r="V1673" s="2" t="str">
        <f aca="false">IF(S1673&lt;=5,"Late night (0-5)",IF(S1673&lt;=11,"Morning (6-11)",IF(S1673&lt;=17,"Afternoon (12-17)","Evening (18-23)")))</f>
        <v>Afternoon (12-17)</v>
      </c>
    </row>
    <row r="1674" customFormat="false" ht="15" hidden="false" customHeight="false" outlineLevel="0" collapsed="false">
      <c r="A1674" s="2" t="s">
        <v>2758</v>
      </c>
      <c r="B1674" s="2" t="s">
        <v>360</v>
      </c>
      <c r="C1674" s="2" t="s">
        <v>48</v>
      </c>
      <c r="D1674" s="3" t="n">
        <v>45949</v>
      </c>
      <c r="E1674" s="2" t="s">
        <v>2759</v>
      </c>
      <c r="F1674" s="2" t="s">
        <v>50</v>
      </c>
      <c r="G1674" s="2" t="n">
        <v>19542</v>
      </c>
      <c r="H1674" s="2" t="n">
        <v>14</v>
      </c>
      <c r="I1674" s="2" t="n">
        <v>86</v>
      </c>
      <c r="J1674" s="2" t="n">
        <v>0</v>
      </c>
      <c r="K1674" s="2" t="n">
        <v>13452</v>
      </c>
      <c r="L1674" s="2" t="n">
        <v>8787</v>
      </c>
      <c r="M1674" s="2" t="n">
        <v>659</v>
      </c>
      <c r="N1674" s="2" t="n">
        <v>40</v>
      </c>
      <c r="O1674" s="2" t="n">
        <v>93</v>
      </c>
      <c r="P1674" s="2" t="n">
        <v>200</v>
      </c>
      <c r="Q1674" s="2" t="n">
        <v>166</v>
      </c>
      <c r="R1674" s="2" t="n">
        <v>46</v>
      </c>
      <c r="S1674" s="2" t="n">
        <v>5</v>
      </c>
      <c r="T1674" s="2" t="s">
        <v>27</v>
      </c>
      <c r="U1674" s="4" t="n">
        <f aca="false">(M1674+N1674+O1674+P1674)/L1674</f>
        <v>0.112894048025492</v>
      </c>
      <c r="V1674" s="2" t="str">
        <f aca="false">IF(S1674&lt;=5,"Late night (0-5)",IF(S1674&lt;=11,"Morning (6-11)",IF(S1674&lt;=17,"Afternoon (12-17)","Evening (18-23)")))</f>
        <v>Late night (0-5)</v>
      </c>
    </row>
    <row r="1675" customFormat="false" ht="15" hidden="false" customHeight="false" outlineLevel="0" collapsed="false">
      <c r="A1675" s="2" t="s">
        <v>2760</v>
      </c>
      <c r="B1675" s="2" t="s">
        <v>29</v>
      </c>
      <c r="C1675" s="2" t="s">
        <v>30</v>
      </c>
      <c r="D1675" s="3" t="n">
        <v>45828</v>
      </c>
      <c r="E1675" s="2" t="s">
        <v>2761</v>
      </c>
      <c r="F1675" s="2" t="s">
        <v>50</v>
      </c>
      <c r="G1675" s="2" t="n">
        <v>11612</v>
      </c>
      <c r="H1675" s="2" t="n">
        <v>14</v>
      </c>
      <c r="I1675" s="2" t="n">
        <v>77</v>
      </c>
      <c r="J1675" s="2" t="n">
        <v>1</v>
      </c>
      <c r="K1675" s="2" t="n">
        <v>13388</v>
      </c>
      <c r="L1675" s="2" t="n">
        <v>9442</v>
      </c>
      <c r="M1675" s="2" t="n">
        <v>780</v>
      </c>
      <c r="N1675" s="2" t="n">
        <v>36</v>
      </c>
      <c r="O1675" s="2" t="n">
        <v>112</v>
      </c>
      <c r="P1675" s="2" t="n">
        <v>112</v>
      </c>
      <c r="Q1675" s="2" t="n">
        <v>122</v>
      </c>
      <c r="R1675" s="2" t="n">
        <v>31</v>
      </c>
      <c r="S1675" s="2" t="n">
        <v>8</v>
      </c>
      <c r="T1675" s="2" t="s">
        <v>96</v>
      </c>
      <c r="U1675" s="4" t="n">
        <f aca="false">(M1675+N1675+O1675+P1675)/L1675</f>
        <v>0.110146155475535</v>
      </c>
      <c r="V1675" s="2" t="str">
        <f aca="false">IF(S1675&lt;=5,"Late night (0-5)",IF(S1675&lt;=11,"Morning (6-11)",IF(S1675&lt;=17,"Afternoon (12-17)","Evening (18-23)")))</f>
        <v>Morning (6-11)</v>
      </c>
    </row>
    <row r="1676" customFormat="false" ht="15" hidden="false" customHeight="false" outlineLevel="0" collapsed="false">
      <c r="A1676" s="2" t="s">
        <v>2762</v>
      </c>
      <c r="B1676" s="2" t="s">
        <v>64</v>
      </c>
      <c r="C1676" s="2" t="s">
        <v>36</v>
      </c>
      <c r="D1676" s="3" t="n">
        <v>45756</v>
      </c>
      <c r="E1676" s="2" t="s">
        <v>1826</v>
      </c>
      <c r="F1676" s="2" t="s">
        <v>26</v>
      </c>
      <c r="G1676" s="2" t="n">
        <v>43781</v>
      </c>
      <c r="H1676" s="2" t="n">
        <v>6</v>
      </c>
      <c r="I1676" s="2" t="n">
        <v>220</v>
      </c>
      <c r="J1676" s="2" t="n">
        <v>1</v>
      </c>
      <c r="K1676" s="2" t="n">
        <v>54208</v>
      </c>
      <c r="L1676" s="2" t="n">
        <v>35310</v>
      </c>
      <c r="M1676" s="2" t="n">
        <v>1391</v>
      </c>
      <c r="N1676" s="2" t="n">
        <v>76</v>
      </c>
      <c r="O1676" s="2" t="n">
        <v>127</v>
      </c>
      <c r="P1676" s="2" t="n">
        <v>200</v>
      </c>
      <c r="Q1676" s="2" t="n">
        <v>178</v>
      </c>
      <c r="R1676" s="2" t="n">
        <v>46</v>
      </c>
      <c r="S1676" s="2" t="n">
        <v>21</v>
      </c>
      <c r="T1676" s="2" t="s">
        <v>66</v>
      </c>
      <c r="U1676" s="4" t="n">
        <f aca="false">(M1676+N1676+O1676+P1676)/L1676</f>
        <v>0.0508071367884452</v>
      </c>
      <c r="V1676" s="2" t="str">
        <f aca="false">IF(S1676&lt;=5,"Late night (0-5)",IF(S1676&lt;=11,"Morning (6-11)",IF(S1676&lt;=17,"Afternoon (12-17)","Evening (18-23)")))</f>
        <v>Evening (18-23)</v>
      </c>
    </row>
    <row r="1677" customFormat="false" ht="15" hidden="false" customHeight="false" outlineLevel="0" collapsed="false">
      <c r="A1677" s="2" t="s">
        <v>2763</v>
      </c>
      <c r="B1677" s="2" t="s">
        <v>53</v>
      </c>
      <c r="C1677" s="2" t="s">
        <v>54</v>
      </c>
      <c r="D1677" s="3" t="n">
        <v>45949</v>
      </c>
      <c r="E1677" s="2" t="s">
        <v>619</v>
      </c>
      <c r="F1677" s="2" t="s">
        <v>38</v>
      </c>
      <c r="G1677" s="2" t="n">
        <v>11318</v>
      </c>
      <c r="H1677" s="2" t="n">
        <v>6</v>
      </c>
      <c r="I1677" s="2" t="n">
        <v>283</v>
      </c>
      <c r="J1677" s="2" t="n">
        <v>0</v>
      </c>
      <c r="K1677" s="2" t="n">
        <v>6898</v>
      </c>
      <c r="L1677" s="2" t="n">
        <v>4746</v>
      </c>
      <c r="M1677" s="2" t="n">
        <v>205</v>
      </c>
      <c r="N1677" s="2" t="n">
        <v>8</v>
      </c>
      <c r="O1677" s="2" t="n">
        <v>39</v>
      </c>
      <c r="P1677" s="2" t="n">
        <v>45</v>
      </c>
      <c r="Q1677" s="2" t="n">
        <v>124</v>
      </c>
      <c r="R1677" s="2" t="n">
        <v>22</v>
      </c>
      <c r="S1677" s="2" t="n">
        <v>17</v>
      </c>
      <c r="T1677" s="2" t="s">
        <v>27</v>
      </c>
      <c r="U1677" s="4" t="n">
        <f aca="false">(M1677+N1677+O1677+P1677)/L1677</f>
        <v>0.0625790139064475</v>
      </c>
      <c r="V1677" s="2" t="str">
        <f aca="false">IF(S1677&lt;=5,"Late night (0-5)",IF(S1677&lt;=11,"Morning (6-11)",IF(S1677&lt;=17,"Afternoon (12-17)","Evening (18-23)")))</f>
        <v>Afternoon (12-17)</v>
      </c>
    </row>
    <row r="1678" customFormat="false" ht="15" hidden="false" customHeight="false" outlineLevel="0" collapsed="false">
      <c r="A1678" s="2" t="s">
        <v>2764</v>
      </c>
      <c r="B1678" s="2" t="s">
        <v>64</v>
      </c>
      <c r="C1678" s="2" t="s">
        <v>36</v>
      </c>
      <c r="D1678" s="3" t="n">
        <v>45810</v>
      </c>
      <c r="E1678" s="2" t="s">
        <v>2602</v>
      </c>
      <c r="F1678" s="2" t="s">
        <v>32</v>
      </c>
      <c r="G1678" s="2" t="n">
        <v>43781</v>
      </c>
      <c r="H1678" s="2" t="n">
        <v>15</v>
      </c>
      <c r="I1678" s="2" t="n">
        <v>76</v>
      </c>
      <c r="J1678" s="2" t="n">
        <v>0</v>
      </c>
      <c r="K1678" s="2" t="n">
        <v>54584</v>
      </c>
      <c r="L1678" s="2" t="n">
        <v>38353</v>
      </c>
      <c r="M1678" s="2" t="n">
        <v>3091</v>
      </c>
      <c r="N1678" s="2" t="n">
        <v>101</v>
      </c>
      <c r="O1678" s="2" t="n">
        <v>476</v>
      </c>
      <c r="P1678" s="2" t="n">
        <v>879</v>
      </c>
      <c r="Q1678" s="2" t="n">
        <v>420</v>
      </c>
      <c r="R1678" s="2" t="n">
        <v>117</v>
      </c>
      <c r="S1678" s="2" t="n">
        <v>11</v>
      </c>
      <c r="T1678" s="2" t="s">
        <v>33</v>
      </c>
      <c r="U1678" s="4" t="n">
        <f aca="false">(M1678+N1678+O1678+P1678)/L1678</f>
        <v>0.118556566631033</v>
      </c>
      <c r="V1678" s="2" t="str">
        <f aca="false">IF(S1678&lt;=5,"Late night (0-5)",IF(S1678&lt;=11,"Morning (6-11)",IF(S1678&lt;=17,"Afternoon (12-17)","Evening (18-23)")))</f>
        <v>Morning (6-11)</v>
      </c>
    </row>
    <row r="1679" customFormat="false" ht="15" hidden="false" customHeight="false" outlineLevel="0" collapsed="false">
      <c r="A1679" s="2" t="s">
        <v>2765</v>
      </c>
      <c r="B1679" s="2" t="s">
        <v>94</v>
      </c>
      <c r="C1679" s="2" t="s">
        <v>30</v>
      </c>
      <c r="D1679" s="3" t="n">
        <v>45967</v>
      </c>
      <c r="E1679" s="2" t="s">
        <v>728</v>
      </c>
      <c r="F1679" s="2" t="s">
        <v>32</v>
      </c>
      <c r="G1679" s="2" t="n">
        <v>58559</v>
      </c>
      <c r="H1679" s="2" t="n">
        <v>9</v>
      </c>
      <c r="I1679" s="2" t="n">
        <v>161</v>
      </c>
      <c r="J1679" s="2" t="n">
        <v>1</v>
      </c>
      <c r="K1679" s="2" t="n">
        <v>517260</v>
      </c>
      <c r="L1679" s="2" t="n">
        <v>290225</v>
      </c>
      <c r="M1679" s="2" t="n">
        <v>24409</v>
      </c>
      <c r="N1679" s="2" t="n">
        <v>1775</v>
      </c>
      <c r="O1679" s="2" t="n">
        <v>6624</v>
      </c>
      <c r="P1679" s="2" t="n">
        <v>4493</v>
      </c>
      <c r="Q1679" s="2" t="n">
        <v>3388</v>
      </c>
      <c r="R1679" s="2" t="n">
        <v>887</v>
      </c>
      <c r="S1679" s="2" t="n">
        <v>6</v>
      </c>
      <c r="T1679" s="2" t="s">
        <v>79</v>
      </c>
      <c r="U1679" s="4" t="n">
        <f aca="false">(M1679+N1679+O1679+P1679)/L1679</f>
        <v>0.128524420708071</v>
      </c>
      <c r="V1679" s="2" t="str">
        <f aca="false">IF(S1679&lt;=5,"Late night (0-5)",IF(S1679&lt;=11,"Morning (6-11)",IF(S1679&lt;=17,"Afternoon (12-17)","Evening (18-23)")))</f>
        <v>Morning (6-11)</v>
      </c>
    </row>
    <row r="1680" customFormat="false" ht="15" hidden="false" customHeight="false" outlineLevel="0" collapsed="false">
      <c r="A1680" s="2" t="s">
        <v>2766</v>
      </c>
      <c r="B1680" s="2" t="s">
        <v>129</v>
      </c>
      <c r="C1680" s="2" t="s">
        <v>54</v>
      </c>
      <c r="D1680" s="3" t="n">
        <v>45811</v>
      </c>
      <c r="E1680" s="2" t="s">
        <v>262</v>
      </c>
      <c r="F1680" s="2" t="s">
        <v>32</v>
      </c>
      <c r="G1680" s="2" t="n">
        <v>10312</v>
      </c>
      <c r="H1680" s="2" t="n">
        <v>9</v>
      </c>
      <c r="I1680" s="2" t="n">
        <v>314</v>
      </c>
      <c r="J1680" s="2" t="n">
        <v>1</v>
      </c>
      <c r="K1680" s="2" t="n">
        <v>9787</v>
      </c>
      <c r="L1680" s="2" t="n">
        <v>5936</v>
      </c>
      <c r="M1680" s="2" t="n">
        <v>316</v>
      </c>
      <c r="N1680" s="2" t="n">
        <v>8</v>
      </c>
      <c r="O1680" s="2" t="n">
        <v>73</v>
      </c>
      <c r="P1680" s="2" t="n">
        <v>91</v>
      </c>
      <c r="Q1680" s="2" t="n">
        <v>124</v>
      </c>
      <c r="R1680" s="2" t="n">
        <v>10</v>
      </c>
      <c r="S1680" s="2" t="n">
        <v>0</v>
      </c>
      <c r="T1680" s="2" t="s">
        <v>51</v>
      </c>
      <c r="U1680" s="4" t="n">
        <f aca="false">(M1680+N1680+O1680+P1680)/L1680</f>
        <v>0.0822102425876011</v>
      </c>
      <c r="V1680" s="2" t="str">
        <f aca="false">IF(S1680&lt;=5,"Late night (0-5)",IF(S1680&lt;=11,"Morning (6-11)",IF(S1680&lt;=17,"Afternoon (12-17)","Evening (18-23)")))</f>
        <v>Late night (0-5)</v>
      </c>
    </row>
    <row r="1681" customFormat="false" ht="15" hidden="false" customHeight="false" outlineLevel="0" collapsed="false">
      <c r="A1681" s="2" t="s">
        <v>2767</v>
      </c>
      <c r="B1681" s="2" t="s">
        <v>98</v>
      </c>
      <c r="C1681" s="2" t="s">
        <v>54</v>
      </c>
      <c r="D1681" s="3" t="n">
        <v>46022</v>
      </c>
      <c r="E1681" s="2" t="s">
        <v>971</v>
      </c>
      <c r="F1681" s="2" t="s">
        <v>50</v>
      </c>
      <c r="G1681" s="2" t="n">
        <v>18366</v>
      </c>
      <c r="H1681" s="2" t="n">
        <v>7</v>
      </c>
      <c r="I1681" s="2" t="n">
        <v>84</v>
      </c>
      <c r="J1681" s="2" t="n">
        <v>0</v>
      </c>
      <c r="K1681" s="2" t="n">
        <v>6651</v>
      </c>
      <c r="L1681" s="2" t="n">
        <v>5322</v>
      </c>
      <c r="M1681" s="2" t="n">
        <v>381</v>
      </c>
      <c r="N1681" s="2" t="n">
        <v>10</v>
      </c>
      <c r="O1681" s="2" t="n">
        <v>63</v>
      </c>
      <c r="P1681" s="2" t="n">
        <v>78</v>
      </c>
      <c r="Q1681" s="2" t="n">
        <v>40</v>
      </c>
      <c r="R1681" s="2" t="n">
        <v>4</v>
      </c>
      <c r="S1681" s="2" t="n">
        <v>12</v>
      </c>
      <c r="T1681" s="2" t="s">
        <v>66</v>
      </c>
      <c r="U1681" s="4" t="n">
        <f aca="false">(M1681+N1681+O1681+P1681)/L1681</f>
        <v>0.0999624201428035</v>
      </c>
      <c r="V1681" s="2" t="str">
        <f aca="false">IF(S1681&lt;=5,"Late night (0-5)",IF(S1681&lt;=11,"Morning (6-11)",IF(S1681&lt;=17,"Afternoon (12-17)","Evening (18-23)")))</f>
        <v>Afternoon (12-17)</v>
      </c>
    </row>
    <row r="1682" customFormat="false" ht="15" hidden="false" customHeight="false" outlineLevel="0" collapsed="false">
      <c r="A1682" s="2" t="s">
        <v>2768</v>
      </c>
      <c r="B1682" s="2" t="s">
        <v>452</v>
      </c>
      <c r="C1682" s="2" t="s">
        <v>91</v>
      </c>
      <c r="D1682" s="3" t="n">
        <v>45867</v>
      </c>
      <c r="E1682" s="2" t="s">
        <v>167</v>
      </c>
      <c r="F1682" s="2" t="s">
        <v>26</v>
      </c>
      <c r="G1682" s="2" t="n">
        <v>14201</v>
      </c>
      <c r="H1682" s="2" t="n">
        <v>9</v>
      </c>
      <c r="I1682" s="2" t="n">
        <v>128</v>
      </c>
      <c r="J1682" s="2" t="n">
        <v>0</v>
      </c>
      <c r="K1682" s="2" t="n">
        <v>8566</v>
      </c>
      <c r="L1682" s="2" t="n">
        <v>6576</v>
      </c>
      <c r="M1682" s="2" t="n">
        <v>291</v>
      </c>
      <c r="N1682" s="2" t="n">
        <v>20</v>
      </c>
      <c r="O1682" s="2" t="n">
        <v>42</v>
      </c>
      <c r="P1682" s="2" t="n">
        <v>68</v>
      </c>
      <c r="Q1682" s="2" t="n">
        <v>78</v>
      </c>
      <c r="R1682" s="2" t="n">
        <v>6</v>
      </c>
      <c r="S1682" s="2" t="n">
        <v>0</v>
      </c>
      <c r="T1682" s="2" t="s">
        <v>51</v>
      </c>
      <c r="U1682" s="4" t="n">
        <f aca="false">(M1682+N1682+O1682+P1682)/L1682</f>
        <v>0.0640206812652068</v>
      </c>
      <c r="V1682" s="2" t="str">
        <f aca="false">IF(S1682&lt;=5,"Late night (0-5)",IF(S1682&lt;=11,"Morning (6-11)",IF(S1682&lt;=17,"Afternoon (12-17)","Evening (18-23)")))</f>
        <v>Late night (0-5)</v>
      </c>
    </row>
    <row r="1683" customFormat="false" ht="15" hidden="false" customHeight="false" outlineLevel="0" collapsed="false">
      <c r="A1683" s="2" t="s">
        <v>2769</v>
      </c>
      <c r="B1683" s="2" t="s">
        <v>138</v>
      </c>
      <c r="C1683" s="2" t="s">
        <v>41</v>
      </c>
      <c r="D1683" s="3" t="n">
        <v>45871</v>
      </c>
      <c r="E1683" s="2" t="s">
        <v>207</v>
      </c>
      <c r="F1683" s="2" t="s">
        <v>26</v>
      </c>
      <c r="G1683" s="2" t="n">
        <v>18712</v>
      </c>
      <c r="H1683" s="2" t="n">
        <v>11</v>
      </c>
      <c r="I1683" s="2" t="n">
        <v>70</v>
      </c>
      <c r="J1683" s="2" t="n">
        <v>1</v>
      </c>
      <c r="K1683" s="2" t="n">
        <v>9264</v>
      </c>
      <c r="L1683" s="2" t="n">
        <v>5719</v>
      </c>
      <c r="M1683" s="2" t="n">
        <v>252</v>
      </c>
      <c r="N1683" s="2" t="n">
        <v>17</v>
      </c>
      <c r="O1683" s="2" t="n">
        <v>30</v>
      </c>
      <c r="P1683" s="2" t="n">
        <v>84</v>
      </c>
      <c r="Q1683" s="2" t="n">
        <v>96</v>
      </c>
      <c r="R1683" s="2" t="n">
        <v>16</v>
      </c>
      <c r="S1683" s="2" t="n">
        <v>4</v>
      </c>
      <c r="T1683" s="2" t="s">
        <v>62</v>
      </c>
      <c r="U1683" s="4" t="n">
        <f aca="false">(M1683+N1683+O1683+P1683)/L1683</f>
        <v>0.0669697499562861</v>
      </c>
      <c r="V1683" s="2" t="str">
        <f aca="false">IF(S1683&lt;=5,"Late night (0-5)",IF(S1683&lt;=11,"Morning (6-11)",IF(S1683&lt;=17,"Afternoon (12-17)","Evening (18-23)")))</f>
        <v>Late night (0-5)</v>
      </c>
    </row>
    <row r="1684" customFormat="false" ht="15" hidden="false" customHeight="false" outlineLevel="0" collapsed="false">
      <c r="A1684" s="2" t="s">
        <v>2770</v>
      </c>
      <c r="B1684" s="2" t="s">
        <v>227</v>
      </c>
      <c r="C1684" s="2" t="s">
        <v>54</v>
      </c>
      <c r="D1684" s="3" t="n">
        <v>45941</v>
      </c>
      <c r="E1684" s="2" t="s">
        <v>1187</v>
      </c>
      <c r="F1684" s="2" t="s">
        <v>38</v>
      </c>
      <c r="G1684" s="2" t="n">
        <v>11796</v>
      </c>
      <c r="H1684" s="2" t="n">
        <v>0</v>
      </c>
      <c r="I1684" s="2" t="n">
        <v>213</v>
      </c>
      <c r="J1684" s="2" t="n">
        <v>1</v>
      </c>
      <c r="K1684" s="2" t="n">
        <v>7404</v>
      </c>
      <c r="L1684" s="2" t="n">
        <v>4628</v>
      </c>
      <c r="M1684" s="2" t="n">
        <v>173</v>
      </c>
      <c r="N1684" s="2" t="n">
        <v>6</v>
      </c>
      <c r="O1684" s="2" t="n">
        <v>31</v>
      </c>
      <c r="P1684" s="2" t="n">
        <v>40</v>
      </c>
      <c r="Q1684" s="2" t="n">
        <v>130</v>
      </c>
      <c r="R1684" s="2" t="n">
        <v>35</v>
      </c>
      <c r="S1684" s="2" t="n">
        <v>17</v>
      </c>
      <c r="T1684" s="2" t="s">
        <v>62</v>
      </c>
      <c r="U1684" s="4" t="n">
        <f aca="false">(M1684+N1684+O1684+P1684)/L1684</f>
        <v>0.054019014693172</v>
      </c>
      <c r="V1684" s="2" t="str">
        <f aca="false">IF(S1684&lt;=5,"Late night (0-5)",IF(S1684&lt;=11,"Morning (6-11)",IF(S1684&lt;=17,"Afternoon (12-17)","Evening (18-23)")))</f>
        <v>Afternoon (12-17)</v>
      </c>
    </row>
    <row r="1685" customFormat="false" ht="15" hidden="false" customHeight="false" outlineLevel="0" collapsed="false">
      <c r="A1685" s="2" t="s">
        <v>2771</v>
      </c>
      <c r="B1685" s="2" t="s">
        <v>77</v>
      </c>
      <c r="C1685" s="2" t="s">
        <v>30</v>
      </c>
      <c r="D1685" s="3" t="n">
        <v>45671</v>
      </c>
      <c r="E1685" s="2" t="s">
        <v>2772</v>
      </c>
      <c r="F1685" s="2" t="s">
        <v>38</v>
      </c>
      <c r="G1685" s="2" t="n">
        <v>17548</v>
      </c>
      <c r="H1685" s="2" t="n">
        <v>15</v>
      </c>
      <c r="I1685" s="2" t="n">
        <v>142</v>
      </c>
      <c r="J1685" s="2" t="n">
        <v>0</v>
      </c>
      <c r="K1685" s="2" t="n">
        <v>5106</v>
      </c>
      <c r="L1685" s="2" t="n">
        <v>2969</v>
      </c>
      <c r="M1685" s="2" t="n">
        <v>195</v>
      </c>
      <c r="N1685" s="2" t="n">
        <v>12</v>
      </c>
      <c r="O1685" s="2" t="n">
        <v>18</v>
      </c>
      <c r="P1685" s="2" t="n">
        <v>28</v>
      </c>
      <c r="Q1685" s="2" t="n">
        <v>15</v>
      </c>
      <c r="R1685" s="2" t="n">
        <v>2</v>
      </c>
      <c r="S1685" s="2" t="n">
        <v>1</v>
      </c>
      <c r="T1685" s="2" t="s">
        <v>51</v>
      </c>
      <c r="U1685" s="4" t="n">
        <f aca="false">(M1685+N1685+O1685+P1685)/L1685</f>
        <v>0.0852138767261704</v>
      </c>
      <c r="V1685" s="2" t="str">
        <f aca="false">IF(S1685&lt;=5,"Late night (0-5)",IF(S1685&lt;=11,"Morning (6-11)",IF(S1685&lt;=17,"Afternoon (12-17)","Evening (18-23)")))</f>
        <v>Late night (0-5)</v>
      </c>
    </row>
    <row r="1686" customFormat="false" ht="15" hidden="false" customHeight="false" outlineLevel="0" collapsed="false">
      <c r="A1686" s="2" t="s">
        <v>2773</v>
      </c>
      <c r="B1686" s="2" t="s">
        <v>60</v>
      </c>
      <c r="C1686" s="2" t="s">
        <v>41</v>
      </c>
      <c r="D1686" s="3" t="n">
        <v>45715</v>
      </c>
      <c r="E1686" s="2" t="s">
        <v>720</v>
      </c>
      <c r="F1686" s="2" t="s">
        <v>32</v>
      </c>
      <c r="G1686" s="2" t="n">
        <v>7512</v>
      </c>
      <c r="H1686" s="2" t="n">
        <v>9</v>
      </c>
      <c r="I1686" s="2" t="n">
        <v>243</v>
      </c>
      <c r="J1686" s="2" t="n">
        <v>1</v>
      </c>
      <c r="K1686" s="2" t="n">
        <v>11433</v>
      </c>
      <c r="L1686" s="2" t="n">
        <v>7523</v>
      </c>
      <c r="M1686" s="2" t="n">
        <v>343</v>
      </c>
      <c r="N1686" s="2" t="n">
        <v>11</v>
      </c>
      <c r="O1686" s="2" t="n">
        <v>43</v>
      </c>
      <c r="P1686" s="2" t="n">
        <v>55</v>
      </c>
      <c r="Q1686" s="2" t="n">
        <v>44</v>
      </c>
      <c r="R1686" s="2" t="n">
        <v>13</v>
      </c>
      <c r="S1686" s="2" t="n">
        <v>0</v>
      </c>
      <c r="T1686" s="2" t="s">
        <v>79</v>
      </c>
      <c r="U1686" s="4" t="n">
        <f aca="false">(M1686+N1686+O1686+P1686)/L1686</f>
        <v>0.0600824139306128</v>
      </c>
      <c r="V1686" s="2" t="str">
        <f aca="false">IF(S1686&lt;=5,"Late night (0-5)",IF(S1686&lt;=11,"Morning (6-11)",IF(S1686&lt;=17,"Afternoon (12-17)","Evening (18-23)")))</f>
        <v>Late night (0-5)</v>
      </c>
    </row>
    <row r="1687" customFormat="false" ht="15" hidden="false" customHeight="false" outlineLevel="0" collapsed="false">
      <c r="A1687" s="2" t="s">
        <v>2774</v>
      </c>
      <c r="B1687" s="2" t="s">
        <v>462</v>
      </c>
      <c r="C1687" s="2" t="s">
        <v>84</v>
      </c>
      <c r="D1687" s="3" t="n">
        <v>45718</v>
      </c>
      <c r="E1687" s="2" t="s">
        <v>418</v>
      </c>
      <c r="F1687" s="2" t="s">
        <v>32</v>
      </c>
      <c r="G1687" s="2" t="n">
        <v>43510</v>
      </c>
      <c r="H1687" s="2" t="n">
        <v>11</v>
      </c>
      <c r="I1687" s="2" t="n">
        <v>212</v>
      </c>
      <c r="J1687" s="2" t="n">
        <v>1</v>
      </c>
      <c r="K1687" s="2" t="n">
        <v>180697</v>
      </c>
      <c r="L1687" s="2" t="n">
        <v>100591</v>
      </c>
      <c r="M1687" s="2" t="n">
        <v>10272</v>
      </c>
      <c r="N1687" s="2" t="n">
        <v>337</v>
      </c>
      <c r="O1687" s="2" t="n">
        <v>1274</v>
      </c>
      <c r="P1687" s="2" t="n">
        <v>1704</v>
      </c>
      <c r="Q1687" s="2" t="n">
        <v>2626</v>
      </c>
      <c r="R1687" s="2" t="n">
        <v>658</v>
      </c>
      <c r="S1687" s="2" t="n">
        <v>13</v>
      </c>
      <c r="T1687" s="2" t="s">
        <v>27</v>
      </c>
      <c r="U1687" s="4" t="n">
        <f aca="false">(M1687+N1687+O1687+P1687)/L1687</f>
        <v>0.135071726098756</v>
      </c>
      <c r="V1687" s="2" t="str">
        <f aca="false">IF(S1687&lt;=5,"Late night (0-5)",IF(S1687&lt;=11,"Morning (6-11)",IF(S1687&lt;=17,"Afternoon (12-17)","Evening (18-23)")))</f>
        <v>Afternoon (12-17)</v>
      </c>
    </row>
    <row r="1688" customFormat="false" ht="15" hidden="false" customHeight="false" outlineLevel="0" collapsed="false">
      <c r="A1688" s="2" t="s">
        <v>2775</v>
      </c>
      <c r="B1688" s="2" t="s">
        <v>220</v>
      </c>
      <c r="C1688" s="2" t="s">
        <v>48</v>
      </c>
      <c r="D1688" s="3" t="n">
        <v>45832</v>
      </c>
      <c r="E1688" s="2" t="s">
        <v>1075</v>
      </c>
      <c r="F1688" s="2" t="s">
        <v>38</v>
      </c>
      <c r="G1688" s="2" t="n">
        <v>18917</v>
      </c>
      <c r="H1688" s="2" t="n">
        <v>16</v>
      </c>
      <c r="I1688" s="2" t="n">
        <v>175</v>
      </c>
      <c r="J1688" s="2" t="n">
        <v>0</v>
      </c>
      <c r="K1688" s="2" t="n">
        <v>17103</v>
      </c>
      <c r="L1688" s="2" t="n">
        <v>11835</v>
      </c>
      <c r="M1688" s="2" t="n">
        <v>787</v>
      </c>
      <c r="N1688" s="2" t="n">
        <v>59</v>
      </c>
      <c r="O1688" s="2" t="n">
        <v>79</v>
      </c>
      <c r="P1688" s="2" t="n">
        <v>82</v>
      </c>
      <c r="Q1688" s="2" t="n">
        <v>86</v>
      </c>
      <c r="R1688" s="2" t="n">
        <v>16</v>
      </c>
      <c r="S1688" s="2" t="n">
        <v>11</v>
      </c>
      <c r="T1688" s="2" t="s">
        <v>51</v>
      </c>
      <c r="U1688" s="4" t="n">
        <f aca="false">(M1688+N1688+O1688+P1688)/L1688</f>
        <v>0.0850866075200676</v>
      </c>
      <c r="V1688" s="2" t="str">
        <f aca="false">IF(S1688&lt;=5,"Late night (0-5)",IF(S1688&lt;=11,"Morning (6-11)",IF(S1688&lt;=17,"Afternoon (12-17)","Evening (18-23)")))</f>
        <v>Morning (6-11)</v>
      </c>
    </row>
    <row r="1689" customFormat="false" ht="15" hidden="false" customHeight="false" outlineLevel="0" collapsed="false">
      <c r="A1689" s="2" t="s">
        <v>2776</v>
      </c>
      <c r="B1689" s="2" t="s">
        <v>114</v>
      </c>
      <c r="C1689" s="2" t="s">
        <v>84</v>
      </c>
      <c r="D1689" s="3" t="n">
        <v>45921</v>
      </c>
      <c r="E1689" s="2" t="s">
        <v>2777</v>
      </c>
      <c r="F1689" s="2" t="s">
        <v>38</v>
      </c>
      <c r="G1689" s="2" t="n">
        <v>64307</v>
      </c>
      <c r="H1689" s="2" t="n">
        <v>15</v>
      </c>
      <c r="I1689" s="2" t="n">
        <v>362</v>
      </c>
      <c r="J1689" s="2" t="n">
        <v>0</v>
      </c>
      <c r="K1689" s="2" t="n">
        <v>94945</v>
      </c>
      <c r="L1689" s="2" t="n">
        <v>78987</v>
      </c>
      <c r="M1689" s="2" t="n">
        <v>3536</v>
      </c>
      <c r="N1689" s="2" t="n">
        <v>268</v>
      </c>
      <c r="O1689" s="2" t="n">
        <v>485</v>
      </c>
      <c r="P1689" s="2" t="n">
        <v>210</v>
      </c>
      <c r="Q1689" s="2" t="n">
        <v>547</v>
      </c>
      <c r="R1689" s="2" t="n">
        <v>134</v>
      </c>
      <c r="S1689" s="2" t="n">
        <v>23</v>
      </c>
      <c r="T1689" s="2" t="s">
        <v>27</v>
      </c>
      <c r="U1689" s="4" t="n">
        <f aca="false">(M1689+N1689+O1689+P1689)/L1689</f>
        <v>0.0569587400458303</v>
      </c>
      <c r="V1689" s="2" t="str">
        <f aca="false">IF(S1689&lt;=5,"Late night (0-5)",IF(S1689&lt;=11,"Morning (6-11)",IF(S1689&lt;=17,"Afternoon (12-17)","Evening (18-23)")))</f>
        <v>Evening (18-23)</v>
      </c>
    </row>
    <row r="1690" customFormat="false" ht="15" hidden="false" customHeight="false" outlineLevel="0" collapsed="false">
      <c r="A1690" s="2" t="s">
        <v>2778</v>
      </c>
      <c r="B1690" s="2" t="s">
        <v>220</v>
      </c>
      <c r="C1690" s="2" t="s">
        <v>48</v>
      </c>
      <c r="D1690" s="3" t="n">
        <v>45814</v>
      </c>
      <c r="E1690" s="2" t="s">
        <v>2779</v>
      </c>
      <c r="F1690" s="2" t="s">
        <v>38</v>
      </c>
      <c r="G1690" s="2" t="n">
        <v>18917</v>
      </c>
      <c r="H1690" s="2" t="n">
        <v>20</v>
      </c>
      <c r="I1690" s="2" t="n">
        <v>253</v>
      </c>
      <c r="J1690" s="2" t="n">
        <v>1</v>
      </c>
      <c r="K1690" s="2" t="n">
        <v>16508</v>
      </c>
      <c r="L1690" s="2" t="n">
        <v>13291</v>
      </c>
      <c r="M1690" s="2" t="n">
        <v>1125</v>
      </c>
      <c r="N1690" s="2" t="n">
        <v>76</v>
      </c>
      <c r="O1690" s="2" t="n">
        <v>59</v>
      </c>
      <c r="P1690" s="2" t="n">
        <v>266</v>
      </c>
      <c r="Q1690" s="2" t="n">
        <v>205</v>
      </c>
      <c r="R1690" s="2" t="n">
        <v>11</v>
      </c>
      <c r="S1690" s="2" t="n">
        <v>16</v>
      </c>
      <c r="T1690" s="2" t="s">
        <v>96</v>
      </c>
      <c r="U1690" s="4" t="n">
        <f aca="false">(M1690+N1690+O1690+P1690)/L1690</f>
        <v>0.114814536152284</v>
      </c>
      <c r="V1690" s="2" t="str">
        <f aca="false">IF(S1690&lt;=5,"Late night (0-5)",IF(S1690&lt;=11,"Morning (6-11)",IF(S1690&lt;=17,"Afternoon (12-17)","Evening (18-23)")))</f>
        <v>Afternoon (12-17)</v>
      </c>
    </row>
    <row r="1691" customFormat="false" ht="15" hidden="false" customHeight="false" outlineLevel="0" collapsed="false">
      <c r="A1691" s="2" t="s">
        <v>2780</v>
      </c>
      <c r="B1691" s="2" t="s">
        <v>409</v>
      </c>
      <c r="C1691" s="2" t="s">
        <v>48</v>
      </c>
      <c r="D1691" s="3" t="n">
        <v>45951</v>
      </c>
      <c r="E1691" s="2" t="s">
        <v>492</v>
      </c>
      <c r="F1691" s="2" t="s">
        <v>32</v>
      </c>
      <c r="G1691" s="2" t="n">
        <v>31525</v>
      </c>
      <c r="H1691" s="2" t="n">
        <v>9</v>
      </c>
      <c r="I1691" s="2" t="n">
        <v>257</v>
      </c>
      <c r="J1691" s="2" t="n">
        <v>0</v>
      </c>
      <c r="K1691" s="2" t="n">
        <v>53077</v>
      </c>
      <c r="L1691" s="2" t="n">
        <v>48059</v>
      </c>
      <c r="M1691" s="2" t="n">
        <v>4870</v>
      </c>
      <c r="N1691" s="2" t="n">
        <v>118</v>
      </c>
      <c r="O1691" s="2" t="n">
        <v>779</v>
      </c>
      <c r="P1691" s="2" t="n">
        <v>495</v>
      </c>
      <c r="Q1691" s="2" t="n">
        <v>869</v>
      </c>
      <c r="R1691" s="2" t="n">
        <v>104</v>
      </c>
      <c r="S1691" s="2" t="n">
        <v>12</v>
      </c>
      <c r="T1691" s="2" t="s">
        <v>51</v>
      </c>
      <c r="U1691" s="4" t="n">
        <f aca="false">(M1691+N1691+O1691+P1691)/L1691</f>
        <v>0.1302981751597</v>
      </c>
      <c r="V1691" s="2" t="str">
        <f aca="false">IF(S1691&lt;=5,"Late night (0-5)",IF(S1691&lt;=11,"Morning (6-11)",IF(S1691&lt;=17,"Afternoon (12-17)","Evening (18-23)")))</f>
        <v>Afternoon (12-17)</v>
      </c>
    </row>
    <row r="1692" customFormat="false" ht="15" hidden="false" customHeight="false" outlineLevel="0" collapsed="false">
      <c r="A1692" s="2" t="s">
        <v>2781</v>
      </c>
      <c r="B1692" s="2" t="s">
        <v>426</v>
      </c>
      <c r="C1692" s="2" t="s">
        <v>30</v>
      </c>
      <c r="D1692" s="3" t="n">
        <v>45896</v>
      </c>
      <c r="E1692" s="2" t="s">
        <v>713</v>
      </c>
      <c r="F1692" s="2" t="s">
        <v>32</v>
      </c>
      <c r="G1692" s="2" t="n">
        <v>40649</v>
      </c>
      <c r="H1692" s="2" t="n">
        <v>11</v>
      </c>
      <c r="I1692" s="2" t="n">
        <v>210</v>
      </c>
      <c r="J1692" s="2" t="n">
        <v>1</v>
      </c>
      <c r="K1692" s="2" t="n">
        <v>59424</v>
      </c>
      <c r="L1692" s="2" t="n">
        <v>38762</v>
      </c>
      <c r="M1692" s="2" t="n">
        <v>2003</v>
      </c>
      <c r="N1692" s="2" t="n">
        <v>138</v>
      </c>
      <c r="O1692" s="2" t="n">
        <v>143</v>
      </c>
      <c r="P1692" s="2" t="n">
        <v>266</v>
      </c>
      <c r="Q1692" s="2" t="n">
        <v>909</v>
      </c>
      <c r="R1692" s="2" t="n">
        <v>184</v>
      </c>
      <c r="S1692" s="2" t="n">
        <v>4</v>
      </c>
      <c r="T1692" s="2" t="s">
        <v>66</v>
      </c>
      <c r="U1692" s="4" t="n">
        <f aca="false">(M1692+N1692+O1692+P1692)/L1692</f>
        <v>0.0657860791496827</v>
      </c>
      <c r="V1692" s="2" t="str">
        <f aca="false">IF(S1692&lt;=5,"Late night (0-5)",IF(S1692&lt;=11,"Morning (6-11)",IF(S1692&lt;=17,"Afternoon (12-17)","Evening (18-23)")))</f>
        <v>Late night (0-5)</v>
      </c>
    </row>
    <row r="1693" customFormat="false" ht="15" hidden="false" customHeight="false" outlineLevel="0" collapsed="false">
      <c r="A1693" s="2" t="s">
        <v>2782</v>
      </c>
      <c r="B1693" s="2" t="s">
        <v>123</v>
      </c>
      <c r="C1693" s="2" t="s">
        <v>24</v>
      </c>
      <c r="D1693" s="3" t="n">
        <v>45828</v>
      </c>
      <c r="E1693" s="2" t="s">
        <v>805</v>
      </c>
      <c r="F1693" s="2" t="s">
        <v>32</v>
      </c>
      <c r="G1693" s="2" t="n">
        <v>41391</v>
      </c>
      <c r="H1693" s="2" t="n">
        <v>8</v>
      </c>
      <c r="I1693" s="2" t="n">
        <v>164</v>
      </c>
      <c r="J1693" s="2" t="n">
        <v>1</v>
      </c>
      <c r="K1693" s="2" t="n">
        <v>107520</v>
      </c>
      <c r="L1693" s="2" t="n">
        <v>60529</v>
      </c>
      <c r="M1693" s="2" t="n">
        <v>4453</v>
      </c>
      <c r="N1693" s="2" t="n">
        <v>332</v>
      </c>
      <c r="O1693" s="2" t="n">
        <v>1101</v>
      </c>
      <c r="P1693" s="2" t="n">
        <v>288</v>
      </c>
      <c r="Q1693" s="2" t="n">
        <v>951</v>
      </c>
      <c r="R1693" s="2" t="n">
        <v>213</v>
      </c>
      <c r="S1693" s="2" t="n">
        <v>11</v>
      </c>
      <c r="T1693" s="2" t="s">
        <v>96</v>
      </c>
      <c r="U1693" s="4" t="n">
        <f aca="false">(M1693+N1693+O1693+P1693)/L1693</f>
        <v>0.102000693882271</v>
      </c>
      <c r="V1693" s="2" t="str">
        <f aca="false">IF(S1693&lt;=5,"Late night (0-5)",IF(S1693&lt;=11,"Morning (6-11)",IF(S1693&lt;=17,"Afternoon (12-17)","Evening (18-23)")))</f>
        <v>Morning (6-11)</v>
      </c>
    </row>
    <row r="1694" customFormat="false" ht="15" hidden="false" customHeight="false" outlineLevel="0" collapsed="false">
      <c r="A1694" s="2" t="s">
        <v>2783</v>
      </c>
      <c r="B1694" s="2" t="s">
        <v>327</v>
      </c>
      <c r="C1694" s="2" t="s">
        <v>91</v>
      </c>
      <c r="D1694" s="3" t="n">
        <v>45972</v>
      </c>
      <c r="E1694" s="2" t="s">
        <v>2784</v>
      </c>
      <c r="F1694" s="2" t="s">
        <v>38</v>
      </c>
      <c r="G1694" s="2" t="n">
        <v>16943</v>
      </c>
      <c r="H1694" s="2" t="n">
        <v>9</v>
      </c>
      <c r="I1694" s="2" t="n">
        <v>218</v>
      </c>
      <c r="J1694" s="2" t="n">
        <v>0</v>
      </c>
      <c r="K1694" s="2" t="n">
        <v>7106</v>
      </c>
      <c r="L1694" s="2" t="n">
        <v>4542</v>
      </c>
      <c r="M1694" s="2" t="n">
        <v>138</v>
      </c>
      <c r="N1694" s="2" t="n">
        <v>8</v>
      </c>
      <c r="O1694" s="2" t="n">
        <v>10</v>
      </c>
      <c r="P1694" s="2" t="n">
        <v>25</v>
      </c>
      <c r="Q1694" s="2" t="n">
        <v>35</v>
      </c>
      <c r="R1694" s="2" t="n">
        <v>1</v>
      </c>
      <c r="S1694" s="2" t="n">
        <v>6</v>
      </c>
      <c r="T1694" s="2" t="s">
        <v>51</v>
      </c>
      <c r="U1694" s="4" t="n">
        <f aca="false">(M1694+N1694+O1694+P1694)/L1694</f>
        <v>0.0398502862175253</v>
      </c>
      <c r="V1694" s="2" t="str">
        <f aca="false">IF(S1694&lt;=5,"Late night (0-5)",IF(S1694&lt;=11,"Morning (6-11)",IF(S1694&lt;=17,"Afternoon (12-17)","Evening (18-23)")))</f>
        <v>Morning (6-11)</v>
      </c>
    </row>
    <row r="1695" customFormat="false" ht="15" hidden="false" customHeight="false" outlineLevel="0" collapsed="false">
      <c r="A1695" s="2" t="s">
        <v>2785</v>
      </c>
      <c r="B1695" s="2" t="s">
        <v>409</v>
      </c>
      <c r="C1695" s="2" t="s">
        <v>48</v>
      </c>
      <c r="D1695" s="3" t="n">
        <v>45711</v>
      </c>
      <c r="E1695" s="2" t="s">
        <v>1510</v>
      </c>
      <c r="F1695" s="2" t="s">
        <v>38</v>
      </c>
      <c r="G1695" s="2" t="n">
        <v>31525</v>
      </c>
      <c r="H1695" s="2" t="n">
        <v>16</v>
      </c>
      <c r="I1695" s="2" t="n">
        <v>130</v>
      </c>
      <c r="J1695" s="2" t="n">
        <v>0</v>
      </c>
      <c r="K1695" s="2" t="n">
        <v>34518</v>
      </c>
      <c r="L1695" s="2" t="n">
        <v>25803</v>
      </c>
      <c r="M1695" s="2" t="n">
        <v>839</v>
      </c>
      <c r="N1695" s="2" t="n">
        <v>60</v>
      </c>
      <c r="O1695" s="2" t="n">
        <v>108</v>
      </c>
      <c r="P1695" s="2" t="n">
        <v>104</v>
      </c>
      <c r="Q1695" s="2" t="n">
        <v>173</v>
      </c>
      <c r="R1695" s="2" t="n">
        <v>39</v>
      </c>
      <c r="S1695" s="2" t="n">
        <v>8</v>
      </c>
      <c r="T1695" s="2" t="s">
        <v>27</v>
      </c>
      <c r="U1695" s="4" t="n">
        <f aca="false">(M1695+N1695+O1695+P1695)/L1695</f>
        <v>0.043057008874937</v>
      </c>
      <c r="V1695" s="2" t="str">
        <f aca="false">IF(S1695&lt;=5,"Late night (0-5)",IF(S1695&lt;=11,"Morning (6-11)",IF(S1695&lt;=17,"Afternoon (12-17)","Evening (18-23)")))</f>
        <v>Morning (6-11)</v>
      </c>
    </row>
    <row r="1696" customFormat="false" ht="15" hidden="false" customHeight="false" outlineLevel="0" collapsed="false">
      <c r="A1696" s="2" t="s">
        <v>2786</v>
      </c>
      <c r="B1696" s="2" t="s">
        <v>247</v>
      </c>
      <c r="C1696" s="2" t="s">
        <v>24</v>
      </c>
      <c r="D1696" s="3" t="n">
        <v>46016</v>
      </c>
      <c r="E1696" s="2" t="s">
        <v>536</v>
      </c>
      <c r="F1696" s="2" t="s">
        <v>32</v>
      </c>
      <c r="G1696" s="2" t="n">
        <v>70847</v>
      </c>
      <c r="H1696" s="2" t="n">
        <v>0</v>
      </c>
      <c r="I1696" s="2" t="n">
        <v>221</v>
      </c>
      <c r="J1696" s="2" t="n">
        <v>0</v>
      </c>
      <c r="K1696" s="2" t="n">
        <v>136036</v>
      </c>
      <c r="L1696" s="2" t="n">
        <v>114971</v>
      </c>
      <c r="M1696" s="2" t="n">
        <v>10441</v>
      </c>
      <c r="N1696" s="2" t="n">
        <v>339</v>
      </c>
      <c r="O1696" s="2" t="n">
        <v>2804</v>
      </c>
      <c r="P1696" s="2" t="n">
        <v>1161</v>
      </c>
      <c r="Q1696" s="2" t="n">
        <v>1988</v>
      </c>
      <c r="R1696" s="2" t="n">
        <v>341</v>
      </c>
      <c r="S1696" s="2" t="n">
        <v>8</v>
      </c>
      <c r="T1696" s="2" t="s">
        <v>79</v>
      </c>
      <c r="U1696" s="4" t="n">
        <f aca="false">(M1696+N1696+O1696+P1696)/L1696</f>
        <v>0.12824973254125</v>
      </c>
      <c r="V1696" s="2" t="str">
        <f aca="false">IF(S1696&lt;=5,"Late night (0-5)",IF(S1696&lt;=11,"Morning (6-11)",IF(S1696&lt;=17,"Afternoon (12-17)","Evening (18-23)")))</f>
        <v>Morning (6-11)</v>
      </c>
    </row>
    <row r="1697" customFormat="false" ht="15" hidden="false" customHeight="false" outlineLevel="0" collapsed="false">
      <c r="A1697" s="2" t="s">
        <v>2787</v>
      </c>
      <c r="B1697" s="2" t="s">
        <v>431</v>
      </c>
      <c r="C1697" s="2" t="s">
        <v>36</v>
      </c>
      <c r="D1697" s="3" t="n">
        <v>45883</v>
      </c>
      <c r="E1697" s="2" t="s">
        <v>2621</v>
      </c>
      <c r="F1697" s="2" t="s">
        <v>26</v>
      </c>
      <c r="G1697" s="2" t="n">
        <v>64821</v>
      </c>
      <c r="H1697" s="2" t="n">
        <v>10</v>
      </c>
      <c r="I1697" s="2" t="n">
        <v>236</v>
      </c>
      <c r="J1697" s="2" t="n">
        <v>0</v>
      </c>
      <c r="K1697" s="2" t="n">
        <v>49087</v>
      </c>
      <c r="L1697" s="2" t="n">
        <v>34279</v>
      </c>
      <c r="M1697" s="2" t="n">
        <v>1876</v>
      </c>
      <c r="N1697" s="2" t="n">
        <v>92</v>
      </c>
      <c r="O1697" s="2" t="n">
        <v>343</v>
      </c>
      <c r="P1697" s="2" t="n">
        <v>391</v>
      </c>
      <c r="Q1697" s="2" t="n">
        <v>721</v>
      </c>
      <c r="R1697" s="2" t="n">
        <v>186</v>
      </c>
      <c r="S1697" s="2" t="n">
        <v>11</v>
      </c>
      <c r="T1697" s="2" t="s">
        <v>79</v>
      </c>
      <c r="U1697" s="4" t="n">
        <f aca="false">(M1697+N1697+O1697+P1697)/L1697</f>
        <v>0.0788237696548908</v>
      </c>
      <c r="V1697" s="2" t="str">
        <f aca="false">IF(S1697&lt;=5,"Late night (0-5)",IF(S1697&lt;=11,"Morning (6-11)",IF(S1697&lt;=17,"Afternoon (12-17)","Evening (18-23)")))</f>
        <v>Morning (6-11)</v>
      </c>
    </row>
    <row r="1698" customFormat="false" ht="15" hidden="false" customHeight="false" outlineLevel="0" collapsed="false">
      <c r="A1698" s="2" t="s">
        <v>2788</v>
      </c>
      <c r="B1698" s="2" t="s">
        <v>77</v>
      </c>
      <c r="C1698" s="2" t="s">
        <v>30</v>
      </c>
      <c r="D1698" s="3" t="n">
        <v>45743</v>
      </c>
      <c r="E1698" s="2" t="s">
        <v>2316</v>
      </c>
      <c r="F1698" s="2" t="s">
        <v>26</v>
      </c>
      <c r="G1698" s="2" t="n">
        <v>17548</v>
      </c>
      <c r="H1698" s="2" t="n">
        <v>15</v>
      </c>
      <c r="I1698" s="2" t="n">
        <v>147</v>
      </c>
      <c r="J1698" s="2" t="n">
        <v>0</v>
      </c>
      <c r="K1698" s="2" t="n">
        <v>24830</v>
      </c>
      <c r="L1698" s="2" t="n">
        <v>14682</v>
      </c>
      <c r="M1698" s="2" t="n">
        <v>818</v>
      </c>
      <c r="N1698" s="2" t="n">
        <v>46</v>
      </c>
      <c r="O1698" s="2" t="n">
        <v>79</v>
      </c>
      <c r="P1698" s="2" t="n">
        <v>130</v>
      </c>
      <c r="Q1698" s="2" t="n">
        <v>246</v>
      </c>
      <c r="R1698" s="2" t="n">
        <v>56</v>
      </c>
      <c r="S1698" s="2" t="n">
        <v>0</v>
      </c>
      <c r="T1698" s="2" t="s">
        <v>79</v>
      </c>
      <c r="U1698" s="4" t="n">
        <f aca="false">(M1698+N1698+O1698+P1698)/L1698</f>
        <v>0.0730826862825228</v>
      </c>
      <c r="V1698" s="2" t="str">
        <f aca="false">IF(S1698&lt;=5,"Late night (0-5)",IF(S1698&lt;=11,"Morning (6-11)",IF(S1698&lt;=17,"Afternoon (12-17)","Evening (18-23)")))</f>
        <v>Late night (0-5)</v>
      </c>
    </row>
    <row r="1699" customFormat="false" ht="15" hidden="false" customHeight="false" outlineLevel="0" collapsed="false">
      <c r="A1699" s="2" t="s">
        <v>2789</v>
      </c>
      <c r="B1699" s="2" t="s">
        <v>327</v>
      </c>
      <c r="C1699" s="2" t="s">
        <v>91</v>
      </c>
      <c r="D1699" s="3" t="n">
        <v>45907</v>
      </c>
      <c r="E1699" s="2" t="s">
        <v>1393</v>
      </c>
      <c r="F1699" s="2" t="s">
        <v>38</v>
      </c>
      <c r="G1699" s="2" t="n">
        <v>16943</v>
      </c>
      <c r="H1699" s="2" t="n">
        <v>12</v>
      </c>
      <c r="I1699" s="2" t="n">
        <v>230</v>
      </c>
      <c r="J1699" s="2" t="n">
        <v>0</v>
      </c>
      <c r="K1699" s="2" t="n">
        <v>8535</v>
      </c>
      <c r="L1699" s="2" t="n">
        <v>6414</v>
      </c>
      <c r="M1699" s="2" t="n">
        <v>343</v>
      </c>
      <c r="N1699" s="2" t="n">
        <v>18</v>
      </c>
      <c r="O1699" s="2" t="n">
        <v>26</v>
      </c>
      <c r="P1699" s="2" t="n">
        <v>64</v>
      </c>
      <c r="Q1699" s="2" t="n">
        <v>177</v>
      </c>
      <c r="R1699" s="2" t="n">
        <v>27</v>
      </c>
      <c r="S1699" s="2" t="n">
        <v>9</v>
      </c>
      <c r="T1699" s="2" t="s">
        <v>27</v>
      </c>
      <c r="U1699" s="4" t="n">
        <f aca="false">(M1699+N1699+O1699+P1699)/L1699</f>
        <v>0.0703149360773308</v>
      </c>
      <c r="V1699" s="2" t="str">
        <f aca="false">IF(S1699&lt;=5,"Late night (0-5)",IF(S1699&lt;=11,"Morning (6-11)",IF(S1699&lt;=17,"Afternoon (12-17)","Evening (18-23)")))</f>
        <v>Morning (6-11)</v>
      </c>
    </row>
    <row r="1700" customFormat="false" ht="15" hidden="false" customHeight="false" outlineLevel="0" collapsed="false">
      <c r="A1700" s="2" t="s">
        <v>2790</v>
      </c>
      <c r="B1700" s="2" t="s">
        <v>126</v>
      </c>
      <c r="C1700" s="2" t="s">
        <v>36</v>
      </c>
      <c r="D1700" s="3" t="n">
        <v>45902</v>
      </c>
      <c r="E1700" s="2" t="s">
        <v>2791</v>
      </c>
      <c r="F1700" s="2" t="s">
        <v>50</v>
      </c>
      <c r="G1700" s="2" t="n">
        <v>28784</v>
      </c>
      <c r="H1700" s="2" t="n">
        <v>12</v>
      </c>
      <c r="I1700" s="2" t="n">
        <v>182</v>
      </c>
      <c r="J1700" s="2" t="n">
        <v>1</v>
      </c>
      <c r="K1700" s="2" t="n">
        <v>10292</v>
      </c>
      <c r="L1700" s="2" t="n">
        <v>7277</v>
      </c>
      <c r="M1700" s="2" t="n">
        <v>387</v>
      </c>
      <c r="N1700" s="2" t="n">
        <v>12</v>
      </c>
      <c r="O1700" s="2" t="n">
        <v>70</v>
      </c>
      <c r="P1700" s="2" t="n">
        <v>62</v>
      </c>
      <c r="Q1700" s="2" t="n">
        <v>146</v>
      </c>
      <c r="R1700" s="2" t="n">
        <v>11</v>
      </c>
      <c r="S1700" s="2" t="n">
        <v>14</v>
      </c>
      <c r="T1700" s="2" t="s">
        <v>51</v>
      </c>
      <c r="U1700" s="4" t="n">
        <f aca="false">(M1700+N1700+O1700+P1700)/L1700</f>
        <v>0.072969630342174</v>
      </c>
      <c r="V1700" s="2" t="str">
        <f aca="false">IF(S1700&lt;=5,"Late night (0-5)",IF(S1700&lt;=11,"Morning (6-11)",IF(S1700&lt;=17,"Afternoon (12-17)","Evening (18-23)")))</f>
        <v>Afternoon (12-17)</v>
      </c>
    </row>
    <row r="1701" customFormat="false" ht="15" hidden="false" customHeight="false" outlineLevel="0" collapsed="false">
      <c r="A1701" s="2" t="s">
        <v>2792</v>
      </c>
      <c r="B1701" s="2" t="s">
        <v>188</v>
      </c>
      <c r="C1701" s="2" t="s">
        <v>30</v>
      </c>
      <c r="D1701" s="3" t="n">
        <v>45659</v>
      </c>
      <c r="E1701" s="2" t="s">
        <v>2793</v>
      </c>
      <c r="F1701" s="2" t="s">
        <v>38</v>
      </c>
      <c r="G1701" s="2" t="n">
        <v>38900</v>
      </c>
      <c r="H1701" s="2" t="n">
        <v>13</v>
      </c>
      <c r="I1701" s="2" t="n">
        <v>137</v>
      </c>
      <c r="J1701" s="2" t="n">
        <v>0</v>
      </c>
      <c r="K1701" s="2" t="n">
        <v>52023</v>
      </c>
      <c r="L1701" s="2" t="n">
        <v>30714</v>
      </c>
      <c r="M1701" s="2" t="n">
        <v>2481</v>
      </c>
      <c r="N1701" s="2" t="n">
        <v>126</v>
      </c>
      <c r="O1701" s="2" t="n">
        <v>312</v>
      </c>
      <c r="P1701" s="2" t="n">
        <v>656</v>
      </c>
      <c r="Q1701" s="2" t="n">
        <v>821</v>
      </c>
      <c r="R1701" s="2" t="n">
        <v>205</v>
      </c>
      <c r="S1701" s="2" t="n">
        <v>15</v>
      </c>
      <c r="T1701" s="2" t="s">
        <v>79</v>
      </c>
      <c r="U1701" s="4" t="n">
        <f aca="false">(M1701+N1701+O1701+P1701)/L1701</f>
        <v>0.116396431594713</v>
      </c>
      <c r="V1701" s="2" t="str">
        <f aca="false">IF(S1701&lt;=5,"Late night (0-5)",IF(S1701&lt;=11,"Morning (6-11)",IF(S1701&lt;=17,"Afternoon (12-17)","Evening (18-23)")))</f>
        <v>Afternoon (12-17)</v>
      </c>
    </row>
    <row r="1702" customFormat="false" ht="15" hidden="false" customHeight="false" outlineLevel="0" collapsed="false">
      <c r="A1702" s="2" t="s">
        <v>2794</v>
      </c>
      <c r="B1702" s="2" t="s">
        <v>47</v>
      </c>
      <c r="C1702" s="2" t="s">
        <v>48</v>
      </c>
      <c r="D1702" s="3" t="n">
        <v>45981</v>
      </c>
      <c r="E1702" s="2" t="s">
        <v>2795</v>
      </c>
      <c r="F1702" s="2" t="s">
        <v>26</v>
      </c>
      <c r="G1702" s="2" t="n">
        <v>19609</v>
      </c>
      <c r="H1702" s="2" t="n">
        <v>16</v>
      </c>
      <c r="I1702" s="2" t="n">
        <v>330</v>
      </c>
      <c r="J1702" s="2" t="n">
        <v>1</v>
      </c>
      <c r="K1702" s="2" t="n">
        <v>21244</v>
      </c>
      <c r="L1702" s="2" t="n">
        <v>12503</v>
      </c>
      <c r="M1702" s="2" t="n">
        <v>832</v>
      </c>
      <c r="N1702" s="2" t="n">
        <v>23</v>
      </c>
      <c r="O1702" s="2" t="n">
        <v>140</v>
      </c>
      <c r="P1702" s="2" t="n">
        <v>267</v>
      </c>
      <c r="Q1702" s="2" t="n">
        <v>299</v>
      </c>
      <c r="R1702" s="2" t="n">
        <v>44</v>
      </c>
      <c r="S1702" s="2" t="n">
        <v>11</v>
      </c>
      <c r="T1702" s="2" t="s">
        <v>79</v>
      </c>
      <c r="U1702" s="4" t="n">
        <f aca="false">(M1702+N1702+O1702+P1702)/L1702</f>
        <v>0.100935775413901</v>
      </c>
      <c r="V1702" s="2" t="str">
        <f aca="false">IF(S1702&lt;=5,"Late night (0-5)",IF(S1702&lt;=11,"Morning (6-11)",IF(S1702&lt;=17,"Afternoon (12-17)","Evening (18-23)")))</f>
        <v>Morning (6-11)</v>
      </c>
    </row>
    <row r="1703" customFormat="false" ht="15" hidden="false" customHeight="false" outlineLevel="0" collapsed="false">
      <c r="A1703" s="2" t="s">
        <v>2796</v>
      </c>
      <c r="B1703" s="2" t="s">
        <v>390</v>
      </c>
      <c r="C1703" s="2" t="s">
        <v>36</v>
      </c>
      <c r="D1703" s="3" t="n">
        <v>45731</v>
      </c>
      <c r="E1703" s="2" t="s">
        <v>2362</v>
      </c>
      <c r="F1703" s="2" t="s">
        <v>26</v>
      </c>
      <c r="G1703" s="2" t="n">
        <v>30232</v>
      </c>
      <c r="H1703" s="2" t="n">
        <v>11</v>
      </c>
      <c r="I1703" s="2" t="n">
        <v>302</v>
      </c>
      <c r="J1703" s="2" t="n">
        <v>0</v>
      </c>
      <c r="K1703" s="2" t="n">
        <v>15241</v>
      </c>
      <c r="L1703" s="2" t="n">
        <v>10230</v>
      </c>
      <c r="M1703" s="2" t="n">
        <v>488</v>
      </c>
      <c r="N1703" s="2" t="n">
        <v>14</v>
      </c>
      <c r="O1703" s="2" t="n">
        <v>30</v>
      </c>
      <c r="P1703" s="2" t="n">
        <v>44</v>
      </c>
      <c r="Q1703" s="2" t="n">
        <v>293</v>
      </c>
      <c r="R1703" s="2" t="n">
        <v>44</v>
      </c>
      <c r="S1703" s="2" t="n">
        <v>20</v>
      </c>
      <c r="T1703" s="2" t="s">
        <v>62</v>
      </c>
      <c r="U1703" s="4" t="n">
        <f aca="false">(M1703+N1703+O1703+P1703)/L1703</f>
        <v>0.0563049853372434</v>
      </c>
      <c r="V1703" s="2" t="str">
        <f aca="false">IF(S1703&lt;=5,"Late night (0-5)",IF(S1703&lt;=11,"Morning (6-11)",IF(S1703&lt;=17,"Afternoon (12-17)","Evening (18-23)")))</f>
        <v>Evening (18-23)</v>
      </c>
    </row>
    <row r="1704" customFormat="false" ht="15" hidden="false" customHeight="false" outlineLevel="0" collapsed="false">
      <c r="A1704" s="2" t="s">
        <v>2797</v>
      </c>
      <c r="B1704" s="2" t="s">
        <v>452</v>
      </c>
      <c r="C1704" s="2" t="s">
        <v>91</v>
      </c>
      <c r="D1704" s="3" t="n">
        <v>45746</v>
      </c>
      <c r="E1704" s="2" t="s">
        <v>820</v>
      </c>
      <c r="F1704" s="2" t="s">
        <v>26</v>
      </c>
      <c r="G1704" s="2" t="n">
        <v>14201</v>
      </c>
      <c r="H1704" s="2" t="n">
        <v>23</v>
      </c>
      <c r="I1704" s="2" t="n">
        <v>255</v>
      </c>
      <c r="J1704" s="2" t="n">
        <v>0</v>
      </c>
      <c r="K1704" s="2" t="n">
        <v>5445</v>
      </c>
      <c r="L1704" s="2" t="n">
        <v>4227</v>
      </c>
      <c r="M1704" s="2" t="n">
        <v>342</v>
      </c>
      <c r="N1704" s="2" t="n">
        <v>21</v>
      </c>
      <c r="O1704" s="2" t="n">
        <v>65</v>
      </c>
      <c r="P1704" s="2" t="n">
        <v>33</v>
      </c>
      <c r="Q1704" s="2" t="n">
        <v>103</v>
      </c>
      <c r="R1704" s="2" t="n">
        <v>7</v>
      </c>
      <c r="S1704" s="2" t="n">
        <v>23</v>
      </c>
      <c r="T1704" s="2" t="s">
        <v>27</v>
      </c>
      <c r="U1704" s="4" t="n">
        <f aca="false">(M1704+N1704+O1704+P1704)/L1704</f>
        <v>0.109060799621481</v>
      </c>
      <c r="V1704" s="2" t="str">
        <f aca="false">IF(S1704&lt;=5,"Late night (0-5)",IF(S1704&lt;=11,"Morning (6-11)",IF(S1704&lt;=17,"Afternoon (12-17)","Evening (18-23)")))</f>
        <v>Evening (18-23)</v>
      </c>
    </row>
    <row r="1705" customFormat="false" ht="15" hidden="false" customHeight="false" outlineLevel="0" collapsed="false">
      <c r="A1705" s="2" t="s">
        <v>2798</v>
      </c>
      <c r="B1705" s="2" t="s">
        <v>243</v>
      </c>
      <c r="C1705" s="2" t="s">
        <v>91</v>
      </c>
      <c r="D1705" s="3" t="n">
        <v>46005</v>
      </c>
      <c r="E1705" s="2" t="s">
        <v>2799</v>
      </c>
      <c r="F1705" s="2" t="s">
        <v>32</v>
      </c>
      <c r="G1705" s="2" t="n">
        <v>42046</v>
      </c>
      <c r="H1705" s="2" t="n">
        <v>22</v>
      </c>
      <c r="I1705" s="2" t="n">
        <v>162</v>
      </c>
      <c r="J1705" s="2" t="n">
        <v>1</v>
      </c>
      <c r="K1705" s="2" t="n">
        <v>112404</v>
      </c>
      <c r="L1705" s="2" t="n">
        <v>98705</v>
      </c>
      <c r="M1705" s="2" t="n">
        <v>9078</v>
      </c>
      <c r="N1705" s="2" t="n">
        <v>533</v>
      </c>
      <c r="O1705" s="2" t="n">
        <v>1582</v>
      </c>
      <c r="P1705" s="2" t="n">
        <v>2433</v>
      </c>
      <c r="Q1705" s="2" t="n">
        <v>992</v>
      </c>
      <c r="R1705" s="2" t="n">
        <v>248</v>
      </c>
      <c r="S1705" s="2" t="n">
        <v>20</v>
      </c>
      <c r="T1705" s="2" t="s">
        <v>27</v>
      </c>
      <c r="U1705" s="4" t="n">
        <f aca="false">(M1705+N1705+O1705+P1705)/L1705</f>
        <v>0.138047717947419</v>
      </c>
      <c r="V1705" s="2" t="str">
        <f aca="false">IF(S1705&lt;=5,"Late night (0-5)",IF(S1705&lt;=11,"Morning (6-11)",IF(S1705&lt;=17,"Afternoon (12-17)","Evening (18-23)")))</f>
        <v>Evening (18-23)</v>
      </c>
    </row>
    <row r="1706" customFormat="false" ht="15" hidden="false" customHeight="false" outlineLevel="0" collapsed="false">
      <c r="A1706" s="2" t="s">
        <v>2800</v>
      </c>
      <c r="B1706" s="2" t="s">
        <v>371</v>
      </c>
      <c r="C1706" s="2" t="s">
        <v>48</v>
      </c>
      <c r="D1706" s="3" t="n">
        <v>45782</v>
      </c>
      <c r="E1706" s="2" t="s">
        <v>1008</v>
      </c>
      <c r="F1706" s="2" t="s">
        <v>26</v>
      </c>
      <c r="G1706" s="2" t="n">
        <v>42479</v>
      </c>
      <c r="H1706" s="2" t="n">
        <v>5</v>
      </c>
      <c r="I1706" s="2" t="n">
        <v>182</v>
      </c>
      <c r="J1706" s="2" t="n">
        <v>1</v>
      </c>
      <c r="K1706" s="2" t="n">
        <v>32811</v>
      </c>
      <c r="L1706" s="2" t="n">
        <v>21249</v>
      </c>
      <c r="M1706" s="2" t="n">
        <v>672</v>
      </c>
      <c r="N1706" s="2" t="n">
        <v>34</v>
      </c>
      <c r="O1706" s="2" t="n">
        <v>24</v>
      </c>
      <c r="P1706" s="2" t="n">
        <v>206</v>
      </c>
      <c r="Q1706" s="2" t="n">
        <v>603</v>
      </c>
      <c r="R1706" s="2" t="n">
        <v>166</v>
      </c>
      <c r="S1706" s="2" t="n">
        <v>7</v>
      </c>
      <c r="T1706" s="2" t="s">
        <v>33</v>
      </c>
      <c r="U1706" s="4" t="n">
        <f aca="false">(M1706+N1706+O1706+P1706)/L1706</f>
        <v>0.0440491317238458</v>
      </c>
      <c r="V1706" s="2" t="str">
        <f aca="false">IF(S1706&lt;=5,"Late night (0-5)",IF(S1706&lt;=11,"Morning (6-11)",IF(S1706&lt;=17,"Afternoon (12-17)","Evening (18-23)")))</f>
        <v>Morning (6-11)</v>
      </c>
    </row>
    <row r="1707" customFormat="false" ht="15" hidden="false" customHeight="false" outlineLevel="0" collapsed="false">
      <c r="A1707" s="2" t="s">
        <v>2801</v>
      </c>
      <c r="B1707" s="2" t="s">
        <v>40</v>
      </c>
      <c r="C1707" s="2" t="s">
        <v>41</v>
      </c>
      <c r="D1707" s="3" t="n">
        <v>45978</v>
      </c>
      <c r="E1707" s="2" t="s">
        <v>2802</v>
      </c>
      <c r="F1707" s="2" t="s">
        <v>38</v>
      </c>
      <c r="G1707" s="2" t="n">
        <v>23051</v>
      </c>
      <c r="H1707" s="2" t="n">
        <v>7</v>
      </c>
      <c r="I1707" s="2" t="n">
        <v>404</v>
      </c>
      <c r="J1707" s="2" t="n">
        <v>1</v>
      </c>
      <c r="K1707" s="2" t="n">
        <v>47732</v>
      </c>
      <c r="L1707" s="2" t="n">
        <v>33064</v>
      </c>
      <c r="M1707" s="2" t="n">
        <v>1679</v>
      </c>
      <c r="N1707" s="2" t="n">
        <v>39</v>
      </c>
      <c r="O1707" s="2" t="n">
        <v>68</v>
      </c>
      <c r="P1707" s="2" t="n">
        <v>122</v>
      </c>
      <c r="Q1707" s="2" t="n">
        <v>317</v>
      </c>
      <c r="R1707" s="2" t="n">
        <v>92</v>
      </c>
      <c r="S1707" s="2" t="n">
        <v>14</v>
      </c>
      <c r="T1707" s="2" t="s">
        <v>33</v>
      </c>
      <c r="U1707" s="4" t="n">
        <f aca="false">(M1707+N1707+O1707+P1707)/L1707</f>
        <v>0.057706266634406</v>
      </c>
      <c r="V1707" s="2" t="str">
        <f aca="false">IF(S1707&lt;=5,"Late night (0-5)",IF(S1707&lt;=11,"Morning (6-11)",IF(S1707&lt;=17,"Afternoon (12-17)","Evening (18-23)")))</f>
        <v>Afternoon (12-17)</v>
      </c>
    </row>
    <row r="1708" customFormat="false" ht="15" hidden="false" customHeight="false" outlineLevel="0" collapsed="false">
      <c r="A1708" s="2" t="s">
        <v>2803</v>
      </c>
      <c r="B1708" s="2" t="s">
        <v>151</v>
      </c>
      <c r="C1708" s="2" t="s">
        <v>36</v>
      </c>
      <c r="D1708" s="3" t="n">
        <v>45900</v>
      </c>
      <c r="E1708" s="2" t="s">
        <v>1451</v>
      </c>
      <c r="F1708" s="2" t="s">
        <v>38</v>
      </c>
      <c r="G1708" s="2" t="n">
        <v>19247</v>
      </c>
      <c r="H1708" s="2" t="n">
        <v>24</v>
      </c>
      <c r="I1708" s="2" t="n">
        <v>177</v>
      </c>
      <c r="J1708" s="2" t="n">
        <v>0</v>
      </c>
      <c r="K1708" s="2" t="n">
        <v>15197</v>
      </c>
      <c r="L1708" s="2" t="n">
        <v>13553</v>
      </c>
      <c r="M1708" s="2" t="n">
        <v>679</v>
      </c>
      <c r="N1708" s="2" t="n">
        <v>32</v>
      </c>
      <c r="O1708" s="2" t="n">
        <v>61</v>
      </c>
      <c r="P1708" s="2" t="n">
        <v>53</v>
      </c>
      <c r="Q1708" s="2" t="n">
        <v>138</v>
      </c>
      <c r="R1708" s="2" t="n">
        <v>7</v>
      </c>
      <c r="S1708" s="2" t="n">
        <v>23</v>
      </c>
      <c r="T1708" s="2" t="s">
        <v>27</v>
      </c>
      <c r="U1708" s="4" t="n">
        <f aca="false">(M1708+N1708+O1708+P1708)/L1708</f>
        <v>0.0608721316313731</v>
      </c>
      <c r="V1708" s="2" t="str">
        <f aca="false">IF(S1708&lt;=5,"Late night (0-5)",IF(S1708&lt;=11,"Morning (6-11)",IF(S1708&lt;=17,"Afternoon (12-17)","Evening (18-23)")))</f>
        <v>Evening (18-23)</v>
      </c>
    </row>
    <row r="1709" customFormat="false" ht="15" hidden="false" customHeight="false" outlineLevel="0" collapsed="false">
      <c r="A1709" s="2" t="s">
        <v>2804</v>
      </c>
      <c r="B1709" s="2" t="s">
        <v>148</v>
      </c>
      <c r="C1709" s="2" t="s">
        <v>48</v>
      </c>
      <c r="D1709" s="3" t="n">
        <v>46003</v>
      </c>
      <c r="E1709" s="2" t="s">
        <v>897</v>
      </c>
      <c r="F1709" s="2" t="s">
        <v>38</v>
      </c>
      <c r="G1709" s="2" t="n">
        <v>46311</v>
      </c>
      <c r="H1709" s="2" t="n">
        <v>14</v>
      </c>
      <c r="I1709" s="2" t="n">
        <v>414</v>
      </c>
      <c r="J1709" s="2" t="n">
        <v>1</v>
      </c>
      <c r="K1709" s="2" t="n">
        <v>42279</v>
      </c>
      <c r="L1709" s="2" t="n">
        <v>32348</v>
      </c>
      <c r="M1709" s="2" t="n">
        <v>1955</v>
      </c>
      <c r="N1709" s="2" t="n">
        <v>129</v>
      </c>
      <c r="O1709" s="2" t="n">
        <v>64</v>
      </c>
      <c r="P1709" s="2" t="n">
        <v>373</v>
      </c>
      <c r="Q1709" s="2" t="n">
        <v>302</v>
      </c>
      <c r="R1709" s="2" t="n">
        <v>36</v>
      </c>
      <c r="S1709" s="2" t="n">
        <v>23</v>
      </c>
      <c r="T1709" s="2" t="s">
        <v>96</v>
      </c>
      <c r="U1709" s="4" t="n">
        <f aca="false">(M1709+N1709+O1709+P1709)/L1709</f>
        <v>0.0779337207864474</v>
      </c>
      <c r="V1709" s="2" t="str">
        <f aca="false">IF(S1709&lt;=5,"Late night (0-5)",IF(S1709&lt;=11,"Morning (6-11)",IF(S1709&lt;=17,"Afternoon (12-17)","Evening (18-23)")))</f>
        <v>Evening (18-23)</v>
      </c>
    </row>
    <row r="1710" customFormat="false" ht="15" hidden="false" customHeight="false" outlineLevel="0" collapsed="false">
      <c r="A1710" s="2" t="s">
        <v>2805</v>
      </c>
      <c r="B1710" s="2" t="s">
        <v>47</v>
      </c>
      <c r="C1710" s="2" t="s">
        <v>48</v>
      </c>
      <c r="D1710" s="3" t="n">
        <v>45852</v>
      </c>
      <c r="E1710" s="2" t="s">
        <v>2806</v>
      </c>
      <c r="F1710" s="2" t="s">
        <v>26</v>
      </c>
      <c r="G1710" s="2" t="n">
        <v>19609</v>
      </c>
      <c r="H1710" s="2" t="n">
        <v>3</v>
      </c>
      <c r="I1710" s="2" t="n">
        <v>145</v>
      </c>
      <c r="J1710" s="2" t="n">
        <v>1</v>
      </c>
      <c r="K1710" s="2" t="n">
        <v>67672</v>
      </c>
      <c r="L1710" s="2" t="n">
        <v>42159</v>
      </c>
      <c r="M1710" s="2" t="n">
        <v>1830</v>
      </c>
      <c r="N1710" s="2" t="n">
        <v>141</v>
      </c>
      <c r="O1710" s="2" t="n">
        <v>71</v>
      </c>
      <c r="P1710" s="2" t="n">
        <v>599</v>
      </c>
      <c r="Q1710" s="2" t="n">
        <v>1231</v>
      </c>
      <c r="R1710" s="2" t="n">
        <v>156</v>
      </c>
      <c r="S1710" s="2" t="n">
        <v>21</v>
      </c>
      <c r="T1710" s="2" t="s">
        <v>33</v>
      </c>
      <c r="U1710" s="4" t="n">
        <f aca="false">(M1710+N1710+O1710+P1710)/L1710</f>
        <v>0.0626438008491663</v>
      </c>
      <c r="V1710" s="2" t="str">
        <f aca="false">IF(S1710&lt;=5,"Late night (0-5)",IF(S1710&lt;=11,"Morning (6-11)",IF(S1710&lt;=17,"Afternoon (12-17)","Evening (18-23)")))</f>
        <v>Evening (18-23)</v>
      </c>
    </row>
    <row r="1711" customFormat="false" ht="15" hidden="false" customHeight="false" outlineLevel="0" collapsed="false">
      <c r="A1711" s="2" t="s">
        <v>2807</v>
      </c>
      <c r="B1711" s="2" t="s">
        <v>459</v>
      </c>
      <c r="C1711" s="2" t="s">
        <v>84</v>
      </c>
      <c r="D1711" s="3" t="n">
        <v>45721</v>
      </c>
      <c r="E1711" s="2" t="s">
        <v>1124</v>
      </c>
      <c r="F1711" s="2" t="s">
        <v>26</v>
      </c>
      <c r="G1711" s="2" t="n">
        <v>19744</v>
      </c>
      <c r="H1711" s="2" t="n">
        <v>12</v>
      </c>
      <c r="I1711" s="2" t="n">
        <v>155</v>
      </c>
      <c r="J1711" s="2" t="n">
        <v>1</v>
      </c>
      <c r="K1711" s="2" t="n">
        <v>27135</v>
      </c>
      <c r="L1711" s="2" t="n">
        <v>17618</v>
      </c>
      <c r="M1711" s="2" t="n">
        <v>1383</v>
      </c>
      <c r="N1711" s="2" t="n">
        <v>81</v>
      </c>
      <c r="O1711" s="2" t="n">
        <v>222</v>
      </c>
      <c r="P1711" s="2" t="n">
        <v>300</v>
      </c>
      <c r="Q1711" s="2" t="n">
        <v>303</v>
      </c>
      <c r="R1711" s="2" t="n">
        <v>68</v>
      </c>
      <c r="S1711" s="2" t="n">
        <v>4</v>
      </c>
      <c r="T1711" s="2" t="s">
        <v>66</v>
      </c>
      <c r="U1711" s="4" t="n">
        <f aca="false">(M1711+N1711+O1711+P1711)/L1711</f>
        <v>0.112725621523442</v>
      </c>
      <c r="V1711" s="2" t="str">
        <f aca="false">IF(S1711&lt;=5,"Late night (0-5)",IF(S1711&lt;=11,"Morning (6-11)",IF(S1711&lt;=17,"Afternoon (12-17)","Evening (18-23)")))</f>
        <v>Late night (0-5)</v>
      </c>
    </row>
    <row r="1712" customFormat="false" ht="15" hidden="false" customHeight="false" outlineLevel="0" collapsed="false">
      <c r="A1712" s="2" t="s">
        <v>2808</v>
      </c>
      <c r="B1712" s="2" t="s">
        <v>35</v>
      </c>
      <c r="C1712" s="2" t="s">
        <v>36</v>
      </c>
      <c r="D1712" s="3" t="n">
        <v>45942</v>
      </c>
      <c r="E1712" s="2" t="s">
        <v>1196</v>
      </c>
      <c r="F1712" s="2" t="s">
        <v>32</v>
      </c>
      <c r="G1712" s="2" t="n">
        <v>33933</v>
      </c>
      <c r="H1712" s="2" t="n">
        <v>9</v>
      </c>
      <c r="I1712" s="2" t="n">
        <v>205</v>
      </c>
      <c r="J1712" s="2" t="n">
        <v>0</v>
      </c>
      <c r="K1712" s="2" t="n">
        <v>119130</v>
      </c>
      <c r="L1712" s="2" t="n">
        <v>74107</v>
      </c>
      <c r="M1712" s="2" t="n">
        <v>5399</v>
      </c>
      <c r="N1712" s="2" t="n">
        <v>399</v>
      </c>
      <c r="O1712" s="2" t="n">
        <v>502</v>
      </c>
      <c r="P1712" s="2" t="n">
        <v>417</v>
      </c>
      <c r="Q1712" s="2" t="n">
        <v>734</v>
      </c>
      <c r="R1712" s="2" t="n">
        <v>51</v>
      </c>
      <c r="S1712" s="2" t="n">
        <v>13</v>
      </c>
      <c r="T1712" s="2" t="s">
        <v>27</v>
      </c>
      <c r="U1712" s="4" t="n">
        <f aca="false">(M1712+N1712+O1712+P1712)/L1712</f>
        <v>0.0906392108707679</v>
      </c>
      <c r="V1712" s="2" t="str">
        <f aca="false">IF(S1712&lt;=5,"Late night (0-5)",IF(S1712&lt;=11,"Morning (6-11)",IF(S1712&lt;=17,"Afternoon (12-17)","Evening (18-23)")))</f>
        <v>Afternoon (12-17)</v>
      </c>
    </row>
    <row r="1713" customFormat="false" ht="15" hidden="false" customHeight="false" outlineLevel="0" collapsed="false">
      <c r="A1713" s="2" t="s">
        <v>2809</v>
      </c>
      <c r="B1713" s="2" t="s">
        <v>57</v>
      </c>
      <c r="C1713" s="2" t="s">
        <v>24</v>
      </c>
      <c r="D1713" s="3" t="n">
        <v>45809</v>
      </c>
      <c r="E1713" s="2" t="s">
        <v>2810</v>
      </c>
      <c r="F1713" s="2" t="s">
        <v>26</v>
      </c>
      <c r="G1713" s="2" t="n">
        <v>31021</v>
      </c>
      <c r="H1713" s="2" t="n">
        <v>20</v>
      </c>
      <c r="I1713" s="2" t="n">
        <v>98</v>
      </c>
      <c r="J1713" s="2" t="n">
        <v>1</v>
      </c>
      <c r="K1713" s="2" t="n">
        <v>45384</v>
      </c>
      <c r="L1713" s="2" t="n">
        <v>36835</v>
      </c>
      <c r="M1713" s="2" t="n">
        <v>2984</v>
      </c>
      <c r="N1713" s="2" t="n">
        <v>139</v>
      </c>
      <c r="O1713" s="2" t="n">
        <v>205</v>
      </c>
      <c r="P1713" s="2" t="n">
        <v>1001</v>
      </c>
      <c r="Q1713" s="2" t="n">
        <v>694</v>
      </c>
      <c r="R1713" s="2" t="n">
        <v>38</v>
      </c>
      <c r="S1713" s="2" t="n">
        <v>18</v>
      </c>
      <c r="T1713" s="2" t="s">
        <v>27</v>
      </c>
      <c r="U1713" s="4" t="n">
        <f aca="false">(M1713+N1713+O1713+P1713)/L1713</f>
        <v>0.117524093932401</v>
      </c>
      <c r="V1713" s="2" t="str">
        <f aca="false">IF(S1713&lt;=5,"Late night (0-5)",IF(S1713&lt;=11,"Morning (6-11)",IF(S1713&lt;=17,"Afternoon (12-17)","Evening (18-23)")))</f>
        <v>Evening (18-23)</v>
      </c>
    </row>
    <row r="1714" customFormat="false" ht="15" hidden="false" customHeight="false" outlineLevel="0" collapsed="false">
      <c r="A1714" s="2" t="s">
        <v>2811</v>
      </c>
      <c r="B1714" s="2" t="s">
        <v>98</v>
      </c>
      <c r="C1714" s="2" t="s">
        <v>54</v>
      </c>
      <c r="D1714" s="3" t="n">
        <v>45702</v>
      </c>
      <c r="E1714" s="2" t="s">
        <v>2812</v>
      </c>
      <c r="F1714" s="2" t="s">
        <v>50</v>
      </c>
      <c r="G1714" s="2" t="n">
        <v>18366</v>
      </c>
      <c r="H1714" s="2" t="n">
        <v>14</v>
      </c>
      <c r="I1714" s="2" t="n">
        <v>198</v>
      </c>
      <c r="J1714" s="2" t="n">
        <v>0</v>
      </c>
      <c r="K1714" s="2" t="n">
        <v>20021</v>
      </c>
      <c r="L1714" s="2" t="n">
        <v>13736</v>
      </c>
      <c r="M1714" s="2" t="n">
        <v>704</v>
      </c>
      <c r="N1714" s="2" t="n">
        <v>41</v>
      </c>
      <c r="O1714" s="2" t="n">
        <v>86</v>
      </c>
      <c r="P1714" s="2" t="n">
        <v>57</v>
      </c>
      <c r="Q1714" s="2" t="n">
        <v>203</v>
      </c>
      <c r="R1714" s="2" t="n">
        <v>26</v>
      </c>
      <c r="S1714" s="2" t="n">
        <v>11</v>
      </c>
      <c r="T1714" s="2" t="s">
        <v>96</v>
      </c>
      <c r="U1714" s="4" t="n">
        <f aca="false">(M1714+N1714+O1714+P1714)/L1714</f>
        <v>0.0646476412347117</v>
      </c>
      <c r="V1714" s="2" t="str">
        <f aca="false">IF(S1714&lt;=5,"Late night (0-5)",IF(S1714&lt;=11,"Morning (6-11)",IF(S1714&lt;=17,"Afternoon (12-17)","Evening (18-23)")))</f>
        <v>Morning (6-11)</v>
      </c>
    </row>
    <row r="1715" customFormat="false" ht="15" hidden="false" customHeight="false" outlineLevel="0" collapsed="false">
      <c r="A1715" s="2" t="s">
        <v>2813</v>
      </c>
      <c r="B1715" s="2" t="s">
        <v>164</v>
      </c>
      <c r="C1715" s="2" t="s">
        <v>36</v>
      </c>
      <c r="D1715" s="3" t="n">
        <v>46011</v>
      </c>
      <c r="E1715" s="2" t="s">
        <v>2333</v>
      </c>
      <c r="F1715" s="2" t="s">
        <v>38</v>
      </c>
      <c r="G1715" s="2" t="n">
        <v>44230</v>
      </c>
      <c r="H1715" s="2" t="n">
        <v>13</v>
      </c>
      <c r="I1715" s="2" t="n">
        <v>189</v>
      </c>
      <c r="J1715" s="2" t="n">
        <v>1</v>
      </c>
      <c r="K1715" s="2" t="n">
        <v>41816</v>
      </c>
      <c r="L1715" s="2" t="n">
        <v>30425</v>
      </c>
      <c r="M1715" s="2" t="n">
        <v>1246</v>
      </c>
      <c r="N1715" s="2" t="n">
        <v>95</v>
      </c>
      <c r="O1715" s="2" t="n">
        <v>144</v>
      </c>
      <c r="P1715" s="2" t="n">
        <v>226</v>
      </c>
      <c r="Q1715" s="2" t="n">
        <v>898</v>
      </c>
      <c r="R1715" s="2" t="n">
        <v>127</v>
      </c>
      <c r="S1715" s="2" t="n">
        <v>9</v>
      </c>
      <c r="T1715" s="2" t="s">
        <v>62</v>
      </c>
      <c r="U1715" s="4" t="n">
        <f aca="false">(M1715+N1715+O1715+P1715)/L1715</f>
        <v>0.0562366474938373</v>
      </c>
      <c r="V1715" s="2" t="str">
        <f aca="false">IF(S1715&lt;=5,"Late night (0-5)",IF(S1715&lt;=11,"Morning (6-11)",IF(S1715&lt;=17,"Afternoon (12-17)","Evening (18-23)")))</f>
        <v>Morning (6-11)</v>
      </c>
    </row>
    <row r="1716" customFormat="false" ht="15" hidden="false" customHeight="false" outlineLevel="0" collapsed="false">
      <c r="A1716" s="2" t="s">
        <v>2814</v>
      </c>
      <c r="B1716" s="2" t="s">
        <v>94</v>
      </c>
      <c r="C1716" s="2" t="s">
        <v>30</v>
      </c>
      <c r="D1716" s="3" t="n">
        <v>45830</v>
      </c>
      <c r="E1716" s="2" t="s">
        <v>2390</v>
      </c>
      <c r="F1716" s="2" t="s">
        <v>50</v>
      </c>
      <c r="G1716" s="2" t="n">
        <v>58559</v>
      </c>
      <c r="H1716" s="2" t="n">
        <v>9</v>
      </c>
      <c r="I1716" s="2" t="n">
        <v>223</v>
      </c>
      <c r="J1716" s="2" t="n">
        <v>0</v>
      </c>
      <c r="K1716" s="2" t="n">
        <v>116451</v>
      </c>
      <c r="L1716" s="2" t="n">
        <v>92006</v>
      </c>
      <c r="M1716" s="2" t="n">
        <v>5672</v>
      </c>
      <c r="N1716" s="2" t="n">
        <v>136</v>
      </c>
      <c r="O1716" s="2" t="n">
        <v>1068</v>
      </c>
      <c r="P1716" s="2" t="n">
        <v>459</v>
      </c>
      <c r="Q1716" s="2" t="n">
        <v>915</v>
      </c>
      <c r="R1716" s="2" t="n">
        <v>220</v>
      </c>
      <c r="S1716" s="2" t="n">
        <v>19</v>
      </c>
      <c r="T1716" s="2" t="s">
        <v>27</v>
      </c>
      <c r="U1716" s="4" t="n">
        <f aca="false">(M1716+N1716+O1716+P1716)/L1716</f>
        <v>0.0797230615394648</v>
      </c>
      <c r="V1716" s="2" t="str">
        <f aca="false">IF(S1716&lt;=5,"Late night (0-5)",IF(S1716&lt;=11,"Morning (6-11)",IF(S1716&lt;=17,"Afternoon (12-17)","Evening (18-23)")))</f>
        <v>Evening (18-23)</v>
      </c>
    </row>
    <row r="1717" customFormat="false" ht="15" hidden="false" customHeight="false" outlineLevel="0" collapsed="false">
      <c r="A1717" s="2" t="s">
        <v>2815</v>
      </c>
      <c r="B1717" s="2" t="s">
        <v>68</v>
      </c>
      <c r="C1717" s="2" t="s">
        <v>54</v>
      </c>
      <c r="D1717" s="3" t="n">
        <v>45659</v>
      </c>
      <c r="E1717" s="2" t="s">
        <v>2215</v>
      </c>
      <c r="F1717" s="2" t="s">
        <v>38</v>
      </c>
      <c r="G1717" s="2" t="n">
        <v>35922</v>
      </c>
      <c r="H1717" s="2" t="n">
        <v>12</v>
      </c>
      <c r="I1717" s="2" t="n">
        <v>310</v>
      </c>
      <c r="J1717" s="2" t="n">
        <v>0</v>
      </c>
      <c r="K1717" s="2" t="n">
        <v>18494</v>
      </c>
      <c r="L1717" s="2" t="n">
        <v>11548</v>
      </c>
      <c r="M1717" s="2" t="n">
        <v>607</v>
      </c>
      <c r="N1717" s="2" t="n">
        <v>28</v>
      </c>
      <c r="O1717" s="2" t="n">
        <v>35</v>
      </c>
      <c r="P1717" s="2" t="n">
        <v>133</v>
      </c>
      <c r="Q1717" s="2" t="n">
        <v>79</v>
      </c>
      <c r="R1717" s="2" t="n">
        <v>23</v>
      </c>
      <c r="S1717" s="2" t="n">
        <v>17</v>
      </c>
      <c r="T1717" s="2" t="s">
        <v>79</v>
      </c>
      <c r="U1717" s="4" t="n">
        <f aca="false">(M1717+N1717+O1717+P1717)/L1717</f>
        <v>0.0695358503636993</v>
      </c>
      <c r="V1717" s="2" t="str">
        <f aca="false">IF(S1717&lt;=5,"Late night (0-5)",IF(S1717&lt;=11,"Morning (6-11)",IF(S1717&lt;=17,"Afternoon (12-17)","Evening (18-23)")))</f>
        <v>Afternoon (12-17)</v>
      </c>
    </row>
    <row r="1718" customFormat="false" ht="15" hidden="false" customHeight="false" outlineLevel="0" collapsed="false">
      <c r="A1718" s="2" t="s">
        <v>2816</v>
      </c>
      <c r="B1718" s="2" t="s">
        <v>77</v>
      </c>
      <c r="C1718" s="2" t="s">
        <v>30</v>
      </c>
      <c r="D1718" s="3" t="n">
        <v>45712</v>
      </c>
      <c r="E1718" s="2" t="s">
        <v>2817</v>
      </c>
      <c r="F1718" s="2" t="s">
        <v>26</v>
      </c>
      <c r="G1718" s="2" t="n">
        <v>17548</v>
      </c>
      <c r="H1718" s="2" t="n">
        <v>10</v>
      </c>
      <c r="I1718" s="2" t="n">
        <v>254</v>
      </c>
      <c r="J1718" s="2" t="n">
        <v>0</v>
      </c>
      <c r="K1718" s="2" t="n">
        <v>7056</v>
      </c>
      <c r="L1718" s="2" t="n">
        <v>5059</v>
      </c>
      <c r="M1718" s="2" t="n">
        <v>231</v>
      </c>
      <c r="N1718" s="2" t="n">
        <v>5</v>
      </c>
      <c r="O1718" s="2" t="n">
        <v>37</v>
      </c>
      <c r="P1718" s="2" t="n">
        <v>49</v>
      </c>
      <c r="Q1718" s="2" t="n">
        <v>89</v>
      </c>
      <c r="R1718" s="2" t="n">
        <v>14</v>
      </c>
      <c r="S1718" s="2" t="n">
        <v>4</v>
      </c>
      <c r="T1718" s="2" t="s">
        <v>33</v>
      </c>
      <c r="U1718" s="4" t="n">
        <f aca="false">(M1718+N1718+O1718+P1718)/L1718</f>
        <v>0.0636489424787508</v>
      </c>
      <c r="V1718" s="2" t="str">
        <f aca="false">IF(S1718&lt;=5,"Late night (0-5)",IF(S1718&lt;=11,"Morning (6-11)",IF(S1718&lt;=17,"Afternoon (12-17)","Evening (18-23)")))</f>
        <v>Late night (0-5)</v>
      </c>
    </row>
    <row r="1719" customFormat="false" ht="15" hidden="false" customHeight="false" outlineLevel="0" collapsed="false">
      <c r="A1719" s="2" t="s">
        <v>2818</v>
      </c>
      <c r="B1719" s="2" t="s">
        <v>141</v>
      </c>
      <c r="C1719" s="2" t="s">
        <v>48</v>
      </c>
      <c r="D1719" s="3" t="n">
        <v>45930</v>
      </c>
      <c r="E1719" s="2" t="s">
        <v>196</v>
      </c>
      <c r="F1719" s="2" t="s">
        <v>38</v>
      </c>
      <c r="G1719" s="2" t="n">
        <v>16119</v>
      </c>
      <c r="H1719" s="2" t="n">
        <v>24</v>
      </c>
      <c r="I1719" s="2" t="n">
        <v>163</v>
      </c>
      <c r="J1719" s="2" t="n">
        <v>1</v>
      </c>
      <c r="K1719" s="2" t="n">
        <v>6997</v>
      </c>
      <c r="L1719" s="2" t="n">
        <v>5990</v>
      </c>
      <c r="M1719" s="2" t="n">
        <v>530</v>
      </c>
      <c r="N1719" s="2" t="n">
        <v>28</v>
      </c>
      <c r="O1719" s="2" t="n">
        <v>87</v>
      </c>
      <c r="P1719" s="2" t="n">
        <v>157</v>
      </c>
      <c r="Q1719" s="2" t="n">
        <v>156</v>
      </c>
      <c r="R1719" s="2" t="n">
        <v>23</v>
      </c>
      <c r="S1719" s="2" t="n">
        <v>2</v>
      </c>
      <c r="T1719" s="2" t="s">
        <v>51</v>
      </c>
      <c r="U1719" s="4" t="n">
        <f aca="false">(M1719+N1719+O1719+P1719)/L1719</f>
        <v>0.133889816360601</v>
      </c>
      <c r="V1719" s="2" t="str">
        <f aca="false">IF(S1719&lt;=5,"Late night (0-5)",IF(S1719&lt;=11,"Morning (6-11)",IF(S1719&lt;=17,"Afternoon (12-17)","Evening (18-23)")))</f>
        <v>Late night (0-5)</v>
      </c>
    </row>
    <row r="1720" customFormat="false" ht="15" hidden="false" customHeight="false" outlineLevel="0" collapsed="false">
      <c r="A1720" s="2" t="s">
        <v>2819</v>
      </c>
      <c r="B1720" s="2" t="s">
        <v>83</v>
      </c>
      <c r="C1720" s="2" t="s">
        <v>84</v>
      </c>
      <c r="D1720" s="3" t="n">
        <v>45950</v>
      </c>
      <c r="E1720" s="2" t="s">
        <v>1309</v>
      </c>
      <c r="F1720" s="2" t="s">
        <v>38</v>
      </c>
      <c r="G1720" s="2" t="n">
        <v>17918</v>
      </c>
      <c r="H1720" s="2" t="n">
        <v>16</v>
      </c>
      <c r="I1720" s="2" t="n">
        <v>63</v>
      </c>
      <c r="J1720" s="2" t="n">
        <v>1</v>
      </c>
      <c r="K1720" s="2" t="n">
        <v>14850</v>
      </c>
      <c r="L1720" s="2" t="n">
        <v>9377</v>
      </c>
      <c r="M1720" s="2" t="n">
        <v>678</v>
      </c>
      <c r="N1720" s="2" t="n">
        <v>35</v>
      </c>
      <c r="O1720" s="2" t="n">
        <v>121</v>
      </c>
      <c r="P1720" s="2" t="n">
        <v>72</v>
      </c>
      <c r="Q1720" s="2" t="n">
        <v>141</v>
      </c>
      <c r="R1720" s="2" t="n">
        <v>35</v>
      </c>
      <c r="S1720" s="2" t="n">
        <v>14</v>
      </c>
      <c r="T1720" s="2" t="s">
        <v>33</v>
      </c>
      <c r="U1720" s="4" t="n">
        <f aca="false">(M1720+N1720+O1720+P1720)/L1720</f>
        <v>0.0966193878639224</v>
      </c>
      <c r="V1720" s="2" t="str">
        <f aca="false">IF(S1720&lt;=5,"Late night (0-5)",IF(S1720&lt;=11,"Morning (6-11)",IF(S1720&lt;=17,"Afternoon (12-17)","Evening (18-23)")))</f>
        <v>Afternoon (12-17)</v>
      </c>
    </row>
    <row r="1721" customFormat="false" ht="15" hidden="false" customHeight="false" outlineLevel="0" collapsed="false">
      <c r="A1721" s="2" t="s">
        <v>2820</v>
      </c>
      <c r="B1721" s="2" t="s">
        <v>220</v>
      </c>
      <c r="C1721" s="2" t="s">
        <v>48</v>
      </c>
      <c r="D1721" s="3" t="n">
        <v>45996</v>
      </c>
      <c r="E1721" s="2" t="s">
        <v>1118</v>
      </c>
      <c r="F1721" s="2" t="s">
        <v>32</v>
      </c>
      <c r="G1721" s="2" t="n">
        <v>18917</v>
      </c>
      <c r="H1721" s="2" t="n">
        <v>14</v>
      </c>
      <c r="I1721" s="2" t="n">
        <v>10</v>
      </c>
      <c r="J1721" s="2" t="n">
        <v>1</v>
      </c>
      <c r="K1721" s="2" t="n">
        <v>51739</v>
      </c>
      <c r="L1721" s="2" t="n">
        <v>46817</v>
      </c>
      <c r="M1721" s="2" t="n">
        <v>2883</v>
      </c>
      <c r="N1721" s="2" t="n">
        <v>164</v>
      </c>
      <c r="O1721" s="2" t="n">
        <v>225</v>
      </c>
      <c r="P1721" s="2" t="n">
        <v>790</v>
      </c>
      <c r="Q1721" s="2" t="n">
        <v>416</v>
      </c>
      <c r="R1721" s="2" t="n">
        <v>115</v>
      </c>
      <c r="S1721" s="2" t="n">
        <v>13</v>
      </c>
      <c r="T1721" s="2" t="s">
        <v>96</v>
      </c>
      <c r="U1721" s="4" t="n">
        <f aca="false">(M1721+N1721+O1721+P1721)/L1721</f>
        <v>0.0867633551914903</v>
      </c>
      <c r="V1721" s="2" t="str">
        <f aca="false">IF(S1721&lt;=5,"Late night (0-5)",IF(S1721&lt;=11,"Morning (6-11)",IF(S1721&lt;=17,"Afternoon (12-17)","Evening (18-23)")))</f>
        <v>Afternoon (12-17)</v>
      </c>
    </row>
    <row r="1722" customFormat="false" ht="15" hidden="false" customHeight="false" outlineLevel="0" collapsed="false">
      <c r="A1722" s="2" t="s">
        <v>2821</v>
      </c>
      <c r="B1722" s="2" t="s">
        <v>390</v>
      </c>
      <c r="C1722" s="2" t="s">
        <v>36</v>
      </c>
      <c r="D1722" s="3" t="n">
        <v>45947</v>
      </c>
      <c r="E1722" s="2" t="s">
        <v>2041</v>
      </c>
      <c r="F1722" s="2" t="s">
        <v>38</v>
      </c>
      <c r="G1722" s="2" t="n">
        <v>30232</v>
      </c>
      <c r="H1722" s="2" t="n">
        <v>8</v>
      </c>
      <c r="I1722" s="2" t="n">
        <v>280</v>
      </c>
      <c r="J1722" s="2" t="n">
        <v>0</v>
      </c>
      <c r="K1722" s="2" t="n">
        <v>34979</v>
      </c>
      <c r="L1722" s="2" t="n">
        <v>20779</v>
      </c>
      <c r="M1722" s="2" t="n">
        <v>879</v>
      </c>
      <c r="N1722" s="2" t="n">
        <v>23</v>
      </c>
      <c r="O1722" s="2" t="n">
        <v>80</v>
      </c>
      <c r="P1722" s="2" t="n">
        <v>183</v>
      </c>
      <c r="Q1722" s="2" t="n">
        <v>356</v>
      </c>
      <c r="R1722" s="2" t="n">
        <v>26</v>
      </c>
      <c r="S1722" s="2" t="n">
        <v>22</v>
      </c>
      <c r="T1722" s="2" t="s">
        <v>96</v>
      </c>
      <c r="U1722" s="4" t="n">
        <f aca="false">(M1722+N1722+O1722+P1722)/L1722</f>
        <v>0.056066220703595</v>
      </c>
      <c r="V1722" s="2" t="str">
        <f aca="false">IF(S1722&lt;=5,"Late night (0-5)",IF(S1722&lt;=11,"Morning (6-11)",IF(S1722&lt;=17,"Afternoon (12-17)","Evening (18-23)")))</f>
        <v>Evening (18-23)</v>
      </c>
    </row>
    <row r="1723" customFormat="false" ht="15" hidden="false" customHeight="false" outlineLevel="0" collapsed="false">
      <c r="A1723" s="2" t="s">
        <v>2822</v>
      </c>
      <c r="B1723" s="2" t="s">
        <v>53</v>
      </c>
      <c r="C1723" s="2" t="s">
        <v>54</v>
      </c>
      <c r="D1723" s="3" t="n">
        <v>45775</v>
      </c>
      <c r="E1723" s="2" t="s">
        <v>2823</v>
      </c>
      <c r="F1723" s="2" t="s">
        <v>32</v>
      </c>
      <c r="G1723" s="2" t="n">
        <v>11318</v>
      </c>
      <c r="H1723" s="2" t="n">
        <v>9</v>
      </c>
      <c r="I1723" s="2" t="n">
        <v>343</v>
      </c>
      <c r="J1723" s="2" t="n">
        <v>1</v>
      </c>
      <c r="K1723" s="2" t="n">
        <v>25003</v>
      </c>
      <c r="L1723" s="2" t="n">
        <v>17811</v>
      </c>
      <c r="M1723" s="2" t="n">
        <v>1855</v>
      </c>
      <c r="N1723" s="2" t="n">
        <v>96</v>
      </c>
      <c r="O1723" s="2" t="n">
        <v>157</v>
      </c>
      <c r="P1723" s="2" t="n">
        <v>301</v>
      </c>
      <c r="Q1723" s="2" t="n">
        <v>179</v>
      </c>
      <c r="R1723" s="2" t="n">
        <v>48</v>
      </c>
      <c r="S1723" s="2" t="n">
        <v>22</v>
      </c>
      <c r="T1723" s="2" t="s">
        <v>33</v>
      </c>
      <c r="U1723" s="4" t="n">
        <f aca="false">(M1723+N1723+O1723+P1723)/L1723</f>
        <v>0.135253495031161</v>
      </c>
      <c r="V1723" s="2" t="str">
        <f aca="false">IF(S1723&lt;=5,"Late night (0-5)",IF(S1723&lt;=11,"Morning (6-11)",IF(S1723&lt;=17,"Afternoon (12-17)","Evening (18-23)")))</f>
        <v>Evening (18-23)</v>
      </c>
    </row>
    <row r="1724" customFormat="false" ht="15" hidden="false" customHeight="false" outlineLevel="0" collapsed="false">
      <c r="A1724" s="2" t="s">
        <v>2824</v>
      </c>
      <c r="B1724" s="2" t="s">
        <v>64</v>
      </c>
      <c r="C1724" s="2" t="s">
        <v>36</v>
      </c>
      <c r="D1724" s="3" t="n">
        <v>46012</v>
      </c>
      <c r="E1724" s="2" t="s">
        <v>2825</v>
      </c>
      <c r="F1724" s="2" t="s">
        <v>38</v>
      </c>
      <c r="G1724" s="2" t="n">
        <v>43781</v>
      </c>
      <c r="H1724" s="2" t="n">
        <v>6</v>
      </c>
      <c r="I1724" s="2" t="n">
        <v>88</v>
      </c>
      <c r="J1724" s="2" t="n">
        <v>0</v>
      </c>
      <c r="K1724" s="2" t="n">
        <v>22259</v>
      </c>
      <c r="L1724" s="2" t="n">
        <v>17514</v>
      </c>
      <c r="M1724" s="2" t="n">
        <v>1371</v>
      </c>
      <c r="N1724" s="2" t="n">
        <v>45</v>
      </c>
      <c r="O1724" s="2" t="n">
        <v>252</v>
      </c>
      <c r="P1724" s="2" t="n">
        <v>310</v>
      </c>
      <c r="Q1724" s="2" t="n">
        <v>111</v>
      </c>
      <c r="R1724" s="2" t="n">
        <v>27</v>
      </c>
      <c r="S1724" s="2" t="n">
        <v>14</v>
      </c>
      <c r="T1724" s="2" t="s">
        <v>27</v>
      </c>
      <c r="U1724" s="4" t="n">
        <f aca="false">(M1724+N1724+O1724+P1724)/L1724</f>
        <v>0.11293822085189</v>
      </c>
      <c r="V1724" s="2" t="str">
        <f aca="false">IF(S1724&lt;=5,"Late night (0-5)",IF(S1724&lt;=11,"Morning (6-11)",IF(S1724&lt;=17,"Afternoon (12-17)","Evening (18-23)")))</f>
        <v>Afternoon (12-17)</v>
      </c>
    </row>
    <row r="1725" customFormat="false" ht="15" hidden="false" customHeight="false" outlineLevel="0" collapsed="false">
      <c r="A1725" s="2" t="s">
        <v>2826</v>
      </c>
      <c r="B1725" s="2" t="s">
        <v>240</v>
      </c>
      <c r="C1725" s="2" t="s">
        <v>41</v>
      </c>
      <c r="D1725" s="3" t="n">
        <v>45889</v>
      </c>
      <c r="E1725" s="2" t="s">
        <v>1845</v>
      </c>
      <c r="F1725" s="2" t="s">
        <v>32</v>
      </c>
      <c r="G1725" s="2" t="n">
        <v>83197</v>
      </c>
      <c r="H1725" s="2" t="n">
        <v>12</v>
      </c>
      <c r="I1725" s="2" t="n">
        <v>10</v>
      </c>
      <c r="J1725" s="2" t="n">
        <v>1</v>
      </c>
      <c r="K1725" s="2" t="n">
        <v>295518</v>
      </c>
      <c r="L1725" s="2" t="n">
        <v>174687</v>
      </c>
      <c r="M1725" s="2" t="n">
        <v>15156</v>
      </c>
      <c r="N1725" s="2" t="n">
        <v>604</v>
      </c>
      <c r="O1725" s="2" t="n">
        <v>1600</v>
      </c>
      <c r="P1725" s="2" t="n">
        <v>1243</v>
      </c>
      <c r="Q1725" s="2" t="n">
        <v>1364</v>
      </c>
      <c r="R1725" s="2" t="n">
        <v>281</v>
      </c>
      <c r="S1725" s="2" t="n">
        <v>17</v>
      </c>
      <c r="T1725" s="2" t="s">
        <v>66</v>
      </c>
      <c r="U1725" s="4" t="n">
        <f aca="false">(M1725+N1725+O1725+P1725)/L1725</f>
        <v>0.106493328066771</v>
      </c>
      <c r="V1725" s="2" t="str">
        <f aca="false">IF(S1725&lt;=5,"Late night (0-5)",IF(S1725&lt;=11,"Morning (6-11)",IF(S1725&lt;=17,"Afternoon (12-17)","Evening (18-23)")))</f>
        <v>Afternoon (12-17)</v>
      </c>
    </row>
    <row r="1726" customFormat="false" ht="15" hidden="false" customHeight="false" outlineLevel="0" collapsed="false">
      <c r="A1726" s="2" t="s">
        <v>2827</v>
      </c>
      <c r="B1726" s="2" t="s">
        <v>40</v>
      </c>
      <c r="C1726" s="2" t="s">
        <v>41</v>
      </c>
      <c r="D1726" s="3" t="n">
        <v>45809</v>
      </c>
      <c r="E1726" s="2" t="s">
        <v>669</v>
      </c>
      <c r="F1726" s="2" t="s">
        <v>32</v>
      </c>
      <c r="G1726" s="2" t="n">
        <v>23051</v>
      </c>
      <c r="H1726" s="2" t="n">
        <v>9</v>
      </c>
      <c r="I1726" s="2" t="n">
        <v>186</v>
      </c>
      <c r="J1726" s="2" t="n">
        <v>1</v>
      </c>
      <c r="K1726" s="2" t="n">
        <v>64134</v>
      </c>
      <c r="L1726" s="2" t="n">
        <v>36310</v>
      </c>
      <c r="M1726" s="2" t="n">
        <v>1571</v>
      </c>
      <c r="N1726" s="2" t="n">
        <v>71</v>
      </c>
      <c r="O1726" s="2" t="n">
        <v>253</v>
      </c>
      <c r="P1726" s="2" t="n">
        <v>188</v>
      </c>
      <c r="Q1726" s="2" t="n">
        <v>434</v>
      </c>
      <c r="R1726" s="2" t="n">
        <v>99</v>
      </c>
      <c r="S1726" s="2" t="n">
        <v>13</v>
      </c>
      <c r="T1726" s="2" t="s">
        <v>27</v>
      </c>
      <c r="U1726" s="4" t="n">
        <f aca="false">(M1726+N1726+O1726+P1726)/L1726</f>
        <v>0.0573671164968328</v>
      </c>
      <c r="V1726" s="2" t="str">
        <f aca="false">IF(S1726&lt;=5,"Late night (0-5)",IF(S1726&lt;=11,"Morning (6-11)",IF(S1726&lt;=17,"Afternoon (12-17)","Evening (18-23)")))</f>
        <v>Afternoon (12-17)</v>
      </c>
    </row>
    <row r="1727" customFormat="false" ht="15" hidden="false" customHeight="false" outlineLevel="0" collapsed="false">
      <c r="A1727" s="2" t="s">
        <v>2828</v>
      </c>
      <c r="B1727" s="2" t="s">
        <v>164</v>
      </c>
      <c r="C1727" s="2" t="s">
        <v>36</v>
      </c>
      <c r="D1727" s="3" t="n">
        <v>45902</v>
      </c>
      <c r="E1727" s="2" t="s">
        <v>1221</v>
      </c>
      <c r="F1727" s="2" t="s">
        <v>38</v>
      </c>
      <c r="G1727" s="2" t="n">
        <v>44230</v>
      </c>
      <c r="H1727" s="2" t="n">
        <v>11</v>
      </c>
      <c r="I1727" s="2" t="n">
        <v>194</v>
      </c>
      <c r="J1727" s="2" t="n">
        <v>0</v>
      </c>
      <c r="K1727" s="2" t="n">
        <v>43663</v>
      </c>
      <c r="L1727" s="2" t="n">
        <v>32655</v>
      </c>
      <c r="M1727" s="2" t="n">
        <v>1602</v>
      </c>
      <c r="N1727" s="2" t="n">
        <v>74</v>
      </c>
      <c r="O1727" s="2" t="n">
        <v>269</v>
      </c>
      <c r="P1727" s="2" t="n">
        <v>267</v>
      </c>
      <c r="Q1727" s="2" t="n">
        <v>974</v>
      </c>
      <c r="R1727" s="2" t="n">
        <v>140</v>
      </c>
      <c r="S1727" s="2" t="n">
        <v>15</v>
      </c>
      <c r="T1727" s="2" t="s">
        <v>51</v>
      </c>
      <c r="U1727" s="4" t="n">
        <f aca="false">(M1727+N1727+O1727+P1727)/L1727</f>
        <v>0.0677384780278671</v>
      </c>
      <c r="V1727" s="2" t="str">
        <f aca="false">IF(S1727&lt;=5,"Late night (0-5)",IF(S1727&lt;=11,"Morning (6-11)",IF(S1727&lt;=17,"Afternoon (12-17)","Evening (18-23)")))</f>
        <v>Afternoon (12-17)</v>
      </c>
    </row>
    <row r="1728" customFormat="false" ht="15" hidden="false" customHeight="false" outlineLevel="0" collapsed="false">
      <c r="A1728" s="2" t="s">
        <v>2829</v>
      </c>
      <c r="B1728" s="2" t="s">
        <v>264</v>
      </c>
      <c r="C1728" s="2" t="s">
        <v>36</v>
      </c>
      <c r="D1728" s="3" t="n">
        <v>46001</v>
      </c>
      <c r="E1728" s="2" t="s">
        <v>1474</v>
      </c>
      <c r="F1728" s="2" t="s">
        <v>32</v>
      </c>
      <c r="G1728" s="2" t="n">
        <v>22362</v>
      </c>
      <c r="H1728" s="2" t="n">
        <v>17</v>
      </c>
      <c r="I1728" s="2" t="n">
        <v>69</v>
      </c>
      <c r="J1728" s="2" t="n">
        <v>1</v>
      </c>
      <c r="K1728" s="2" t="n">
        <v>107107</v>
      </c>
      <c r="L1728" s="2" t="n">
        <v>68463</v>
      </c>
      <c r="M1728" s="2" t="n">
        <v>4614</v>
      </c>
      <c r="N1728" s="2" t="n">
        <v>271</v>
      </c>
      <c r="O1728" s="2" t="n">
        <v>1307</v>
      </c>
      <c r="P1728" s="2" t="n">
        <v>345</v>
      </c>
      <c r="Q1728" s="2" t="n">
        <v>759</v>
      </c>
      <c r="R1728" s="2" t="n">
        <v>201</v>
      </c>
      <c r="S1728" s="2" t="n">
        <v>8</v>
      </c>
      <c r="T1728" s="2" t="s">
        <v>66</v>
      </c>
      <c r="U1728" s="4" t="n">
        <f aca="false">(M1728+N1728+O1728+P1728)/L1728</f>
        <v>0.0954822312782087</v>
      </c>
      <c r="V1728" s="2" t="str">
        <f aca="false">IF(S1728&lt;=5,"Late night (0-5)",IF(S1728&lt;=11,"Morning (6-11)",IF(S1728&lt;=17,"Afternoon (12-17)","Evening (18-23)")))</f>
        <v>Morning (6-11)</v>
      </c>
    </row>
    <row r="1729" customFormat="false" ht="15" hidden="false" customHeight="false" outlineLevel="0" collapsed="false">
      <c r="A1729" s="2" t="s">
        <v>2830</v>
      </c>
      <c r="B1729" s="2" t="s">
        <v>409</v>
      </c>
      <c r="C1729" s="2" t="s">
        <v>48</v>
      </c>
      <c r="D1729" s="3" t="n">
        <v>45995</v>
      </c>
      <c r="E1729" s="2" t="s">
        <v>2831</v>
      </c>
      <c r="F1729" s="2" t="s">
        <v>32</v>
      </c>
      <c r="G1729" s="2" t="n">
        <v>31525</v>
      </c>
      <c r="H1729" s="2" t="n">
        <v>6</v>
      </c>
      <c r="I1729" s="2" t="n">
        <v>206</v>
      </c>
      <c r="J1729" s="2" t="n">
        <v>1</v>
      </c>
      <c r="K1729" s="2" t="n">
        <v>66628</v>
      </c>
      <c r="L1729" s="2" t="n">
        <v>41598</v>
      </c>
      <c r="M1729" s="2" t="n">
        <v>2894</v>
      </c>
      <c r="N1729" s="2" t="n">
        <v>120</v>
      </c>
      <c r="O1729" s="2" t="n">
        <v>759</v>
      </c>
      <c r="P1729" s="2" t="n">
        <v>558</v>
      </c>
      <c r="Q1729" s="2" t="n">
        <v>430</v>
      </c>
      <c r="R1729" s="2" t="n">
        <v>118</v>
      </c>
      <c r="S1729" s="2" t="n">
        <v>16</v>
      </c>
      <c r="T1729" s="2" t="s">
        <v>79</v>
      </c>
      <c r="U1729" s="4" t="n">
        <f aca="false">(M1729+N1729+O1729+P1729)/L1729</f>
        <v>0.104115582479927</v>
      </c>
      <c r="V1729" s="2" t="str">
        <f aca="false">IF(S1729&lt;=5,"Late night (0-5)",IF(S1729&lt;=11,"Morning (6-11)",IF(S1729&lt;=17,"Afternoon (12-17)","Evening (18-23)")))</f>
        <v>Afternoon (12-17)</v>
      </c>
    </row>
    <row r="1730" customFormat="false" ht="15" hidden="false" customHeight="false" outlineLevel="0" collapsed="false">
      <c r="A1730" s="2" t="s">
        <v>2832</v>
      </c>
      <c r="B1730" s="2" t="s">
        <v>431</v>
      </c>
      <c r="C1730" s="2" t="s">
        <v>36</v>
      </c>
      <c r="D1730" s="3" t="n">
        <v>45722</v>
      </c>
      <c r="E1730" s="2" t="s">
        <v>2833</v>
      </c>
      <c r="F1730" s="2" t="s">
        <v>32</v>
      </c>
      <c r="G1730" s="2" t="n">
        <v>64821</v>
      </c>
      <c r="H1730" s="2" t="n">
        <v>20</v>
      </c>
      <c r="I1730" s="2" t="n">
        <v>247</v>
      </c>
      <c r="J1730" s="2" t="n">
        <v>1</v>
      </c>
      <c r="K1730" s="2" t="n">
        <v>307571</v>
      </c>
      <c r="L1730" s="2" t="n">
        <v>184997</v>
      </c>
      <c r="M1730" s="2" t="n">
        <v>19769</v>
      </c>
      <c r="N1730" s="2" t="n">
        <v>747</v>
      </c>
      <c r="O1730" s="2" t="n">
        <v>2531</v>
      </c>
      <c r="P1730" s="2" t="n">
        <v>2367</v>
      </c>
      <c r="Q1730" s="2" t="n">
        <v>1641</v>
      </c>
      <c r="R1730" s="2" t="n">
        <v>405</v>
      </c>
      <c r="S1730" s="2" t="n">
        <v>18</v>
      </c>
      <c r="T1730" s="2" t="s">
        <v>79</v>
      </c>
      <c r="U1730" s="4" t="n">
        <f aca="false">(M1730+N1730+O1730+P1730)/L1730</f>
        <v>0.13737520067893</v>
      </c>
      <c r="V1730" s="2" t="str">
        <f aca="false">IF(S1730&lt;=5,"Late night (0-5)",IF(S1730&lt;=11,"Morning (6-11)",IF(S1730&lt;=17,"Afternoon (12-17)","Evening (18-23)")))</f>
        <v>Evening (18-23)</v>
      </c>
    </row>
    <row r="1731" customFormat="false" ht="15" hidden="false" customHeight="false" outlineLevel="0" collapsed="false">
      <c r="A1731" s="2" t="s">
        <v>2834</v>
      </c>
      <c r="B1731" s="2" t="s">
        <v>220</v>
      </c>
      <c r="C1731" s="2" t="s">
        <v>48</v>
      </c>
      <c r="D1731" s="3" t="n">
        <v>45743</v>
      </c>
      <c r="E1731" s="2" t="s">
        <v>2835</v>
      </c>
      <c r="F1731" s="2" t="s">
        <v>26</v>
      </c>
      <c r="G1731" s="2" t="n">
        <v>18917</v>
      </c>
      <c r="H1731" s="2" t="n">
        <v>16</v>
      </c>
      <c r="I1731" s="2" t="n">
        <v>202</v>
      </c>
      <c r="J1731" s="2" t="n">
        <v>1</v>
      </c>
      <c r="K1731" s="2" t="n">
        <v>13509</v>
      </c>
      <c r="L1731" s="2" t="n">
        <v>8186</v>
      </c>
      <c r="M1731" s="2" t="n">
        <v>459</v>
      </c>
      <c r="N1731" s="2" t="n">
        <v>33</v>
      </c>
      <c r="O1731" s="2" t="n">
        <v>43</v>
      </c>
      <c r="P1731" s="2" t="n">
        <v>170</v>
      </c>
      <c r="Q1731" s="2" t="n">
        <v>47</v>
      </c>
      <c r="R1731" s="2" t="n">
        <v>6</v>
      </c>
      <c r="S1731" s="2" t="n">
        <v>6</v>
      </c>
      <c r="T1731" s="2" t="s">
        <v>79</v>
      </c>
      <c r="U1731" s="4" t="n">
        <f aca="false">(M1731+N1731+O1731+P1731)/L1731</f>
        <v>0.0861226484241388</v>
      </c>
      <c r="V1731" s="2" t="str">
        <f aca="false">IF(S1731&lt;=5,"Late night (0-5)",IF(S1731&lt;=11,"Morning (6-11)",IF(S1731&lt;=17,"Afternoon (12-17)","Evening (18-23)")))</f>
        <v>Morning (6-11)</v>
      </c>
    </row>
    <row r="1732" customFormat="false" ht="15" hidden="false" customHeight="false" outlineLevel="0" collapsed="false">
      <c r="A1732" s="2" t="s">
        <v>2836</v>
      </c>
      <c r="B1732" s="2" t="s">
        <v>240</v>
      </c>
      <c r="C1732" s="2" t="s">
        <v>41</v>
      </c>
      <c r="D1732" s="3" t="n">
        <v>45708</v>
      </c>
      <c r="E1732" s="2" t="s">
        <v>470</v>
      </c>
      <c r="F1732" s="2" t="s">
        <v>26</v>
      </c>
      <c r="G1732" s="2" t="n">
        <v>83197</v>
      </c>
      <c r="H1732" s="2" t="n">
        <v>11</v>
      </c>
      <c r="I1732" s="2" t="n">
        <v>172</v>
      </c>
      <c r="J1732" s="2" t="n">
        <v>1</v>
      </c>
      <c r="K1732" s="2" t="n">
        <v>50628</v>
      </c>
      <c r="L1732" s="2" t="n">
        <v>28651</v>
      </c>
      <c r="M1732" s="2" t="n">
        <v>1848</v>
      </c>
      <c r="N1732" s="2" t="n">
        <v>91</v>
      </c>
      <c r="O1732" s="2" t="n">
        <v>176</v>
      </c>
      <c r="P1732" s="2" t="n">
        <v>587</v>
      </c>
      <c r="Q1732" s="2" t="n">
        <v>244</v>
      </c>
      <c r="R1732" s="2" t="n">
        <v>29</v>
      </c>
      <c r="S1732" s="2" t="n">
        <v>3</v>
      </c>
      <c r="T1732" s="2" t="s">
        <v>79</v>
      </c>
      <c r="U1732" s="4" t="n">
        <f aca="false">(M1732+N1732+O1732+P1732)/L1732</f>
        <v>0.0943073540190569</v>
      </c>
      <c r="V1732" s="2" t="str">
        <f aca="false">IF(S1732&lt;=5,"Late night (0-5)",IF(S1732&lt;=11,"Morning (6-11)",IF(S1732&lt;=17,"Afternoon (12-17)","Evening (18-23)")))</f>
        <v>Late night (0-5)</v>
      </c>
    </row>
    <row r="1733" customFormat="false" ht="15" hidden="false" customHeight="false" outlineLevel="0" collapsed="false">
      <c r="A1733" s="2" t="s">
        <v>2837</v>
      </c>
      <c r="B1733" s="2" t="s">
        <v>327</v>
      </c>
      <c r="C1733" s="2" t="s">
        <v>91</v>
      </c>
      <c r="D1733" s="3" t="n">
        <v>45855</v>
      </c>
      <c r="E1733" s="2" t="s">
        <v>331</v>
      </c>
      <c r="F1733" s="2" t="s">
        <v>38</v>
      </c>
      <c r="G1733" s="2" t="n">
        <v>16943</v>
      </c>
      <c r="H1733" s="2" t="n">
        <v>0</v>
      </c>
      <c r="I1733" s="2" t="n">
        <v>166</v>
      </c>
      <c r="J1733" s="2" t="n">
        <v>0</v>
      </c>
      <c r="K1733" s="2" t="n">
        <v>9230</v>
      </c>
      <c r="L1733" s="2" t="n">
        <v>5655</v>
      </c>
      <c r="M1733" s="2" t="n">
        <v>491</v>
      </c>
      <c r="N1733" s="2" t="n">
        <v>22</v>
      </c>
      <c r="O1733" s="2" t="n">
        <v>90</v>
      </c>
      <c r="P1733" s="2" t="n">
        <v>132</v>
      </c>
      <c r="Q1733" s="2" t="n">
        <v>136</v>
      </c>
      <c r="R1733" s="2" t="n">
        <v>35</v>
      </c>
      <c r="S1733" s="2" t="n">
        <v>20</v>
      </c>
      <c r="T1733" s="2" t="s">
        <v>79</v>
      </c>
      <c r="U1733" s="4" t="n">
        <f aca="false">(M1733+N1733+O1733+P1733)/L1733</f>
        <v>0.129973474801061</v>
      </c>
      <c r="V1733" s="2" t="str">
        <f aca="false">IF(S1733&lt;=5,"Late night (0-5)",IF(S1733&lt;=11,"Morning (6-11)",IF(S1733&lt;=17,"Afternoon (12-17)","Evening (18-23)")))</f>
        <v>Evening (18-23)</v>
      </c>
    </row>
    <row r="1734" customFormat="false" ht="15" hidden="false" customHeight="false" outlineLevel="0" collapsed="false">
      <c r="A1734" s="2" t="s">
        <v>2838</v>
      </c>
      <c r="B1734" s="2" t="s">
        <v>126</v>
      </c>
      <c r="C1734" s="2" t="s">
        <v>36</v>
      </c>
      <c r="D1734" s="3" t="n">
        <v>45979</v>
      </c>
      <c r="E1734" s="2" t="s">
        <v>1568</v>
      </c>
      <c r="F1734" s="2" t="s">
        <v>26</v>
      </c>
      <c r="G1734" s="2" t="n">
        <v>28784</v>
      </c>
      <c r="H1734" s="2" t="n">
        <v>5</v>
      </c>
      <c r="I1734" s="2" t="n">
        <v>36</v>
      </c>
      <c r="J1734" s="2" t="n">
        <v>1</v>
      </c>
      <c r="K1734" s="2" t="n">
        <v>33980</v>
      </c>
      <c r="L1734" s="2" t="n">
        <v>26058</v>
      </c>
      <c r="M1734" s="2" t="n">
        <v>2281</v>
      </c>
      <c r="N1734" s="2" t="n">
        <v>90</v>
      </c>
      <c r="O1734" s="2" t="n">
        <v>421</v>
      </c>
      <c r="P1734" s="2" t="n">
        <v>861</v>
      </c>
      <c r="Q1734" s="2" t="n">
        <v>693</v>
      </c>
      <c r="R1734" s="2" t="n">
        <v>41</v>
      </c>
      <c r="S1734" s="2" t="n">
        <v>13</v>
      </c>
      <c r="T1734" s="2" t="s">
        <v>51</v>
      </c>
      <c r="U1734" s="4" t="n">
        <f aca="false">(M1734+N1734+O1734+P1734)/L1734</f>
        <v>0.140187274541408</v>
      </c>
      <c r="V1734" s="2" t="str">
        <f aca="false">IF(S1734&lt;=5,"Late night (0-5)",IF(S1734&lt;=11,"Morning (6-11)",IF(S1734&lt;=17,"Afternoon (12-17)","Evening (18-23)")))</f>
        <v>Afternoon (12-17)</v>
      </c>
    </row>
    <row r="1735" customFormat="false" ht="15" hidden="false" customHeight="false" outlineLevel="0" collapsed="false">
      <c r="A1735" s="2" t="s">
        <v>2839</v>
      </c>
      <c r="B1735" s="2" t="s">
        <v>40</v>
      </c>
      <c r="C1735" s="2" t="s">
        <v>41</v>
      </c>
      <c r="D1735" s="3" t="n">
        <v>46011</v>
      </c>
      <c r="E1735" s="2" t="s">
        <v>2840</v>
      </c>
      <c r="F1735" s="2" t="s">
        <v>32</v>
      </c>
      <c r="G1735" s="2" t="n">
        <v>23051</v>
      </c>
      <c r="H1735" s="2" t="n">
        <v>13</v>
      </c>
      <c r="I1735" s="2" t="n">
        <v>253</v>
      </c>
      <c r="J1735" s="2" t="n">
        <v>0</v>
      </c>
      <c r="K1735" s="2" t="n">
        <v>10831</v>
      </c>
      <c r="L1735" s="2" t="n">
        <v>7007</v>
      </c>
      <c r="M1735" s="2" t="n">
        <v>438</v>
      </c>
      <c r="N1735" s="2" t="n">
        <v>20</v>
      </c>
      <c r="O1735" s="2" t="n">
        <v>95</v>
      </c>
      <c r="P1735" s="2" t="n">
        <v>109</v>
      </c>
      <c r="Q1735" s="2" t="n">
        <v>96</v>
      </c>
      <c r="R1735" s="2" t="n">
        <v>25</v>
      </c>
      <c r="S1735" s="2" t="n">
        <v>9</v>
      </c>
      <c r="T1735" s="2" t="s">
        <v>62</v>
      </c>
      <c r="U1735" s="4" t="n">
        <f aca="false">(M1735+N1735+O1735+P1735)/L1735</f>
        <v>0.0944769516198088</v>
      </c>
      <c r="V1735" s="2" t="str">
        <f aca="false">IF(S1735&lt;=5,"Late night (0-5)",IF(S1735&lt;=11,"Morning (6-11)",IF(S1735&lt;=17,"Afternoon (12-17)","Evening (18-23)")))</f>
        <v>Morning (6-11)</v>
      </c>
    </row>
    <row r="1736" customFormat="false" ht="15" hidden="false" customHeight="false" outlineLevel="0" collapsed="false">
      <c r="A1736" s="2" t="s">
        <v>2841</v>
      </c>
      <c r="B1736" s="2" t="s">
        <v>40</v>
      </c>
      <c r="C1736" s="2" t="s">
        <v>41</v>
      </c>
      <c r="D1736" s="3" t="n">
        <v>45666</v>
      </c>
      <c r="E1736" s="2" t="s">
        <v>2842</v>
      </c>
      <c r="F1736" s="2" t="s">
        <v>26</v>
      </c>
      <c r="G1736" s="2" t="n">
        <v>23051</v>
      </c>
      <c r="H1736" s="2" t="n">
        <v>17</v>
      </c>
      <c r="I1736" s="2" t="n">
        <v>208</v>
      </c>
      <c r="J1736" s="2" t="n">
        <v>0</v>
      </c>
      <c r="K1736" s="2" t="n">
        <v>34144</v>
      </c>
      <c r="L1736" s="2" t="n">
        <v>19503</v>
      </c>
      <c r="M1736" s="2" t="n">
        <v>719</v>
      </c>
      <c r="N1736" s="2" t="n">
        <v>38</v>
      </c>
      <c r="O1736" s="2" t="n">
        <v>109</v>
      </c>
      <c r="P1736" s="2" t="n">
        <v>65</v>
      </c>
      <c r="Q1736" s="2" t="n">
        <v>389</v>
      </c>
      <c r="R1736" s="2" t="n">
        <v>98</v>
      </c>
      <c r="S1736" s="2" t="n">
        <v>7</v>
      </c>
      <c r="T1736" s="2" t="s">
        <v>79</v>
      </c>
      <c r="U1736" s="4" t="n">
        <f aca="false">(M1736+N1736+O1736+P1736)/L1736</f>
        <v>0.0477362457057889</v>
      </c>
      <c r="V1736" s="2" t="str">
        <f aca="false">IF(S1736&lt;=5,"Late night (0-5)",IF(S1736&lt;=11,"Morning (6-11)",IF(S1736&lt;=17,"Afternoon (12-17)","Evening (18-23)")))</f>
        <v>Morning (6-11)</v>
      </c>
    </row>
    <row r="1737" customFormat="false" ht="15" hidden="false" customHeight="false" outlineLevel="0" collapsed="false">
      <c r="A1737" s="2" t="s">
        <v>2843</v>
      </c>
      <c r="B1737" s="2" t="s">
        <v>462</v>
      </c>
      <c r="C1737" s="2" t="s">
        <v>84</v>
      </c>
      <c r="D1737" s="3" t="n">
        <v>45945</v>
      </c>
      <c r="E1737" s="2" t="s">
        <v>1365</v>
      </c>
      <c r="F1737" s="2" t="s">
        <v>32</v>
      </c>
      <c r="G1737" s="2" t="n">
        <v>43510</v>
      </c>
      <c r="H1737" s="2" t="n">
        <v>13</v>
      </c>
      <c r="I1737" s="2" t="n">
        <v>153</v>
      </c>
      <c r="J1737" s="2" t="n">
        <v>1</v>
      </c>
      <c r="K1737" s="2" t="n">
        <v>124255</v>
      </c>
      <c r="L1737" s="2" t="n">
        <v>82441</v>
      </c>
      <c r="M1737" s="2" t="n">
        <v>3096</v>
      </c>
      <c r="N1737" s="2" t="n">
        <v>219</v>
      </c>
      <c r="O1737" s="2" t="n">
        <v>262</v>
      </c>
      <c r="P1737" s="2" t="n">
        <v>624</v>
      </c>
      <c r="Q1737" s="2" t="n">
        <v>1328</v>
      </c>
      <c r="R1737" s="2" t="n">
        <v>213</v>
      </c>
      <c r="S1737" s="2" t="n">
        <v>5</v>
      </c>
      <c r="T1737" s="2" t="s">
        <v>66</v>
      </c>
      <c r="U1737" s="4" t="n">
        <f aca="false">(M1737+N1737+O1737+P1737)/L1737</f>
        <v>0.0509576545650829</v>
      </c>
      <c r="V1737" s="2" t="str">
        <f aca="false">IF(S1737&lt;=5,"Late night (0-5)",IF(S1737&lt;=11,"Morning (6-11)",IF(S1737&lt;=17,"Afternoon (12-17)","Evening (18-23)")))</f>
        <v>Late night (0-5)</v>
      </c>
    </row>
    <row r="1738" customFormat="false" ht="15" hidden="false" customHeight="false" outlineLevel="0" collapsed="false">
      <c r="A1738" s="2" t="s">
        <v>2844</v>
      </c>
      <c r="B1738" s="2" t="s">
        <v>426</v>
      </c>
      <c r="C1738" s="2" t="s">
        <v>30</v>
      </c>
      <c r="D1738" s="3" t="n">
        <v>45742</v>
      </c>
      <c r="E1738" s="2" t="s">
        <v>2845</v>
      </c>
      <c r="F1738" s="2" t="s">
        <v>26</v>
      </c>
      <c r="G1738" s="2" t="n">
        <v>40649</v>
      </c>
      <c r="H1738" s="2" t="n">
        <v>4</v>
      </c>
      <c r="I1738" s="2" t="n">
        <v>278</v>
      </c>
      <c r="J1738" s="2" t="n">
        <v>0</v>
      </c>
      <c r="K1738" s="2" t="n">
        <v>30381</v>
      </c>
      <c r="L1738" s="2" t="n">
        <v>17380</v>
      </c>
      <c r="M1738" s="2" t="n">
        <v>1349</v>
      </c>
      <c r="N1738" s="2" t="n">
        <v>86</v>
      </c>
      <c r="O1738" s="2" t="n">
        <v>152</v>
      </c>
      <c r="P1738" s="2" t="n">
        <v>519</v>
      </c>
      <c r="Q1738" s="2" t="n">
        <v>298</v>
      </c>
      <c r="R1738" s="2" t="n">
        <v>84</v>
      </c>
      <c r="S1738" s="2" t="n">
        <v>3</v>
      </c>
      <c r="T1738" s="2" t="s">
        <v>66</v>
      </c>
      <c r="U1738" s="4" t="n">
        <f aca="false">(M1738+N1738+O1738+P1738)/L1738</f>
        <v>0.121173762945915</v>
      </c>
      <c r="V1738" s="2" t="str">
        <f aca="false">IF(S1738&lt;=5,"Late night (0-5)",IF(S1738&lt;=11,"Morning (6-11)",IF(S1738&lt;=17,"Afternoon (12-17)","Evening (18-23)")))</f>
        <v>Late night (0-5)</v>
      </c>
    </row>
    <row r="1739" customFormat="false" ht="15" hidden="false" customHeight="false" outlineLevel="0" collapsed="false">
      <c r="A1739" s="2" t="s">
        <v>2846</v>
      </c>
      <c r="B1739" s="2" t="s">
        <v>141</v>
      </c>
      <c r="C1739" s="2" t="s">
        <v>48</v>
      </c>
      <c r="D1739" s="3" t="n">
        <v>45662</v>
      </c>
      <c r="E1739" s="2" t="s">
        <v>1989</v>
      </c>
      <c r="F1739" s="2" t="s">
        <v>38</v>
      </c>
      <c r="G1739" s="2" t="n">
        <v>16119</v>
      </c>
      <c r="H1739" s="2" t="n">
        <v>12</v>
      </c>
      <c r="I1739" s="2" t="n">
        <v>153</v>
      </c>
      <c r="J1739" s="2" t="n">
        <v>0</v>
      </c>
      <c r="K1739" s="2" t="n">
        <v>8448</v>
      </c>
      <c r="L1739" s="2" t="n">
        <v>7552</v>
      </c>
      <c r="M1739" s="2" t="n">
        <v>314</v>
      </c>
      <c r="N1739" s="2" t="n">
        <v>7</v>
      </c>
      <c r="O1739" s="2" t="n">
        <v>37</v>
      </c>
      <c r="P1739" s="2" t="n">
        <v>18</v>
      </c>
      <c r="Q1739" s="2" t="n">
        <v>189</v>
      </c>
      <c r="R1739" s="2" t="n">
        <v>32</v>
      </c>
      <c r="S1739" s="2" t="n">
        <v>11</v>
      </c>
      <c r="T1739" s="2" t="s">
        <v>27</v>
      </c>
      <c r="U1739" s="4" t="n">
        <f aca="false">(M1739+N1739+O1739+P1739)/L1739</f>
        <v>0.0497881355932203</v>
      </c>
      <c r="V1739" s="2" t="str">
        <f aca="false">IF(S1739&lt;=5,"Late night (0-5)",IF(S1739&lt;=11,"Morning (6-11)",IF(S1739&lt;=17,"Afternoon (12-17)","Evening (18-23)")))</f>
        <v>Morning (6-11)</v>
      </c>
    </row>
    <row r="1740" customFormat="false" ht="15" hidden="false" customHeight="false" outlineLevel="0" collapsed="false">
      <c r="A1740" s="2" t="s">
        <v>2847</v>
      </c>
      <c r="B1740" s="2" t="s">
        <v>431</v>
      </c>
      <c r="C1740" s="2" t="s">
        <v>36</v>
      </c>
      <c r="D1740" s="3" t="n">
        <v>45964</v>
      </c>
      <c r="E1740" s="2" t="s">
        <v>1729</v>
      </c>
      <c r="F1740" s="2" t="s">
        <v>32</v>
      </c>
      <c r="G1740" s="2" t="n">
        <v>64821</v>
      </c>
      <c r="H1740" s="2" t="n">
        <v>9</v>
      </c>
      <c r="I1740" s="2" t="n">
        <v>253</v>
      </c>
      <c r="J1740" s="2" t="n">
        <v>0</v>
      </c>
      <c r="K1740" s="2" t="n">
        <v>63506</v>
      </c>
      <c r="L1740" s="2" t="n">
        <v>49138</v>
      </c>
      <c r="M1740" s="2" t="n">
        <v>5236</v>
      </c>
      <c r="N1740" s="2" t="n">
        <v>183</v>
      </c>
      <c r="O1740" s="2" t="n">
        <v>1204</v>
      </c>
      <c r="P1740" s="2" t="n">
        <v>633</v>
      </c>
      <c r="Q1740" s="2" t="n">
        <v>332</v>
      </c>
      <c r="R1740" s="2" t="n">
        <v>73</v>
      </c>
      <c r="S1740" s="2" t="n">
        <v>21</v>
      </c>
      <c r="T1740" s="2" t="s">
        <v>33</v>
      </c>
      <c r="U1740" s="4" t="n">
        <f aca="false">(M1740+N1740+O1740+P1740)/L1740</f>
        <v>0.147665757662095</v>
      </c>
      <c r="V1740" s="2" t="str">
        <f aca="false">IF(S1740&lt;=5,"Late night (0-5)",IF(S1740&lt;=11,"Morning (6-11)",IF(S1740&lt;=17,"Afternoon (12-17)","Evening (18-23)")))</f>
        <v>Evening (18-23)</v>
      </c>
    </row>
    <row r="1741" customFormat="false" ht="15" hidden="false" customHeight="false" outlineLevel="0" collapsed="false">
      <c r="A1741" s="2" t="s">
        <v>2848</v>
      </c>
      <c r="B1741" s="2" t="s">
        <v>240</v>
      </c>
      <c r="C1741" s="2" t="s">
        <v>41</v>
      </c>
      <c r="D1741" s="3" t="n">
        <v>45902</v>
      </c>
      <c r="E1741" s="2" t="s">
        <v>2849</v>
      </c>
      <c r="F1741" s="2" t="s">
        <v>38</v>
      </c>
      <c r="G1741" s="2" t="n">
        <v>83197</v>
      </c>
      <c r="H1741" s="2" t="n">
        <v>14</v>
      </c>
      <c r="I1741" s="2" t="n">
        <v>134</v>
      </c>
      <c r="J1741" s="2" t="n">
        <v>1</v>
      </c>
      <c r="K1741" s="2" t="n">
        <v>43832</v>
      </c>
      <c r="L1741" s="2" t="n">
        <v>37022</v>
      </c>
      <c r="M1741" s="2" t="n">
        <v>1274</v>
      </c>
      <c r="N1741" s="2" t="n">
        <v>79</v>
      </c>
      <c r="O1741" s="2" t="n">
        <v>51</v>
      </c>
      <c r="P1741" s="2" t="n">
        <v>135</v>
      </c>
      <c r="Q1741" s="2" t="n">
        <v>948</v>
      </c>
      <c r="R1741" s="2" t="n">
        <v>239</v>
      </c>
      <c r="S1741" s="2" t="n">
        <v>5</v>
      </c>
      <c r="T1741" s="2" t="s">
        <v>51</v>
      </c>
      <c r="U1741" s="4" t="n">
        <f aca="false">(M1741+N1741+O1741+P1741)/L1741</f>
        <v>0.0415698773702123</v>
      </c>
      <c r="V1741" s="2" t="str">
        <f aca="false">IF(S1741&lt;=5,"Late night (0-5)",IF(S1741&lt;=11,"Morning (6-11)",IF(S1741&lt;=17,"Afternoon (12-17)","Evening (18-23)")))</f>
        <v>Late night (0-5)</v>
      </c>
    </row>
    <row r="1742" customFormat="false" ht="15" hidden="false" customHeight="false" outlineLevel="0" collapsed="false">
      <c r="A1742" s="2" t="s">
        <v>2850</v>
      </c>
      <c r="B1742" s="2" t="s">
        <v>374</v>
      </c>
      <c r="C1742" s="2" t="s">
        <v>24</v>
      </c>
      <c r="D1742" s="3" t="n">
        <v>45793</v>
      </c>
      <c r="E1742" s="2" t="s">
        <v>2851</v>
      </c>
      <c r="F1742" s="2" t="s">
        <v>38</v>
      </c>
      <c r="G1742" s="2" t="n">
        <v>9509</v>
      </c>
      <c r="H1742" s="2" t="n">
        <v>8</v>
      </c>
      <c r="I1742" s="2" t="n">
        <v>212</v>
      </c>
      <c r="J1742" s="2" t="n">
        <v>1</v>
      </c>
      <c r="K1742" s="2" t="n">
        <v>3361</v>
      </c>
      <c r="L1742" s="2" t="n">
        <v>2733</v>
      </c>
      <c r="M1742" s="2" t="n">
        <v>211</v>
      </c>
      <c r="N1742" s="2" t="n">
        <v>5</v>
      </c>
      <c r="O1742" s="2" t="n">
        <v>30</v>
      </c>
      <c r="P1742" s="2" t="n">
        <v>51</v>
      </c>
      <c r="Q1742" s="2" t="n">
        <v>40</v>
      </c>
      <c r="R1742" s="2" t="n">
        <v>4</v>
      </c>
      <c r="S1742" s="2" t="n">
        <v>12</v>
      </c>
      <c r="T1742" s="2" t="s">
        <v>96</v>
      </c>
      <c r="U1742" s="4" t="n">
        <f aca="false">(M1742+N1742+O1742+P1742)/L1742</f>
        <v>0.108671789242591</v>
      </c>
      <c r="V1742" s="2" t="str">
        <f aca="false">IF(S1742&lt;=5,"Late night (0-5)",IF(S1742&lt;=11,"Morning (6-11)",IF(S1742&lt;=17,"Afternoon (12-17)","Evening (18-23)")))</f>
        <v>Afternoon (12-17)</v>
      </c>
    </row>
    <row r="1743" customFormat="false" ht="15" hidden="false" customHeight="false" outlineLevel="0" collapsed="false">
      <c r="A1743" s="2" t="s">
        <v>2852</v>
      </c>
      <c r="B1743" s="2" t="s">
        <v>68</v>
      </c>
      <c r="C1743" s="2" t="s">
        <v>54</v>
      </c>
      <c r="D1743" s="3" t="n">
        <v>45898</v>
      </c>
      <c r="E1743" s="2" t="s">
        <v>571</v>
      </c>
      <c r="F1743" s="2" t="s">
        <v>26</v>
      </c>
      <c r="G1743" s="2" t="n">
        <v>35922</v>
      </c>
      <c r="H1743" s="2" t="n">
        <v>11</v>
      </c>
      <c r="I1743" s="2" t="n">
        <v>213</v>
      </c>
      <c r="J1743" s="2" t="n">
        <v>1</v>
      </c>
      <c r="K1743" s="2" t="n">
        <v>15506</v>
      </c>
      <c r="L1743" s="2" t="n">
        <v>11643</v>
      </c>
      <c r="M1743" s="2" t="n">
        <v>996</v>
      </c>
      <c r="N1743" s="2" t="n">
        <v>55</v>
      </c>
      <c r="O1743" s="2" t="n">
        <v>100</v>
      </c>
      <c r="P1743" s="2" t="n">
        <v>325</v>
      </c>
      <c r="Q1743" s="2" t="n">
        <v>219</v>
      </c>
      <c r="R1743" s="2" t="n">
        <v>18</v>
      </c>
      <c r="S1743" s="2" t="n">
        <v>0</v>
      </c>
      <c r="T1743" s="2" t="s">
        <v>96</v>
      </c>
      <c r="U1743" s="4" t="n">
        <f aca="false">(M1743+N1743+O1743+P1743)/L1743</f>
        <v>0.126771450657047</v>
      </c>
      <c r="V1743" s="2" t="str">
        <f aca="false">IF(S1743&lt;=5,"Late night (0-5)",IF(S1743&lt;=11,"Morning (6-11)",IF(S1743&lt;=17,"Afternoon (12-17)","Evening (18-23)")))</f>
        <v>Late night (0-5)</v>
      </c>
    </row>
    <row r="1744" customFormat="false" ht="15" hidden="false" customHeight="false" outlineLevel="0" collapsed="false">
      <c r="A1744" s="2" t="s">
        <v>2853</v>
      </c>
      <c r="B1744" s="2" t="s">
        <v>264</v>
      </c>
      <c r="C1744" s="2" t="s">
        <v>36</v>
      </c>
      <c r="D1744" s="3" t="n">
        <v>45981</v>
      </c>
      <c r="E1744" s="2" t="s">
        <v>1538</v>
      </c>
      <c r="F1744" s="2" t="s">
        <v>38</v>
      </c>
      <c r="G1744" s="2" t="n">
        <v>22362</v>
      </c>
      <c r="H1744" s="2" t="n">
        <v>14</v>
      </c>
      <c r="I1744" s="2" t="n">
        <v>234</v>
      </c>
      <c r="J1744" s="2" t="n">
        <v>1</v>
      </c>
      <c r="K1744" s="2" t="n">
        <v>10697</v>
      </c>
      <c r="L1744" s="2" t="n">
        <v>8764</v>
      </c>
      <c r="M1744" s="2" t="n">
        <v>402</v>
      </c>
      <c r="N1744" s="2" t="n">
        <v>15</v>
      </c>
      <c r="O1744" s="2" t="n">
        <v>21</v>
      </c>
      <c r="P1744" s="2" t="n">
        <v>73</v>
      </c>
      <c r="Q1744" s="2" t="n">
        <v>118</v>
      </c>
      <c r="R1744" s="2" t="n">
        <v>23</v>
      </c>
      <c r="S1744" s="2" t="n">
        <v>21</v>
      </c>
      <c r="T1744" s="2" t="s">
        <v>79</v>
      </c>
      <c r="U1744" s="4" t="n">
        <f aca="false">(M1744+N1744+O1744+P1744)/L1744</f>
        <v>0.0583067092651757</v>
      </c>
      <c r="V1744" s="2" t="str">
        <f aca="false">IF(S1744&lt;=5,"Late night (0-5)",IF(S1744&lt;=11,"Morning (6-11)",IF(S1744&lt;=17,"Afternoon (12-17)","Evening (18-23)")))</f>
        <v>Evening (18-23)</v>
      </c>
    </row>
    <row r="1745" customFormat="false" ht="15" hidden="false" customHeight="false" outlineLevel="0" collapsed="false">
      <c r="A1745" s="2" t="s">
        <v>2854</v>
      </c>
      <c r="B1745" s="2" t="s">
        <v>193</v>
      </c>
      <c r="C1745" s="2" t="s">
        <v>36</v>
      </c>
      <c r="D1745" s="3" t="n">
        <v>45773</v>
      </c>
      <c r="E1745" s="2" t="s">
        <v>2855</v>
      </c>
      <c r="F1745" s="2" t="s">
        <v>32</v>
      </c>
      <c r="G1745" s="2" t="n">
        <v>26454</v>
      </c>
      <c r="H1745" s="2" t="n">
        <v>16</v>
      </c>
      <c r="I1745" s="2" t="n">
        <v>153</v>
      </c>
      <c r="J1745" s="2" t="n">
        <v>0</v>
      </c>
      <c r="K1745" s="2" t="n">
        <v>20345</v>
      </c>
      <c r="L1745" s="2" t="n">
        <v>13568</v>
      </c>
      <c r="M1745" s="2" t="n">
        <v>795</v>
      </c>
      <c r="N1745" s="2" t="n">
        <v>22</v>
      </c>
      <c r="O1745" s="2" t="n">
        <v>89</v>
      </c>
      <c r="P1745" s="2" t="n">
        <v>210</v>
      </c>
      <c r="Q1745" s="2" t="n">
        <v>272</v>
      </c>
      <c r="R1745" s="2" t="n">
        <v>39</v>
      </c>
      <c r="S1745" s="2" t="n">
        <v>18</v>
      </c>
      <c r="T1745" s="2" t="s">
        <v>62</v>
      </c>
      <c r="U1745" s="4" t="n">
        <f aca="false">(M1745+N1745+O1745+P1745)/L1745</f>
        <v>0.082252358490566</v>
      </c>
      <c r="V1745" s="2" t="str">
        <f aca="false">IF(S1745&lt;=5,"Late night (0-5)",IF(S1745&lt;=11,"Morning (6-11)",IF(S1745&lt;=17,"Afternoon (12-17)","Evening (18-23)")))</f>
        <v>Evening (18-23)</v>
      </c>
    </row>
    <row r="1746" customFormat="false" ht="15" hidden="false" customHeight="false" outlineLevel="0" collapsed="false">
      <c r="A1746" s="2" t="s">
        <v>2856</v>
      </c>
      <c r="B1746" s="2" t="s">
        <v>40</v>
      </c>
      <c r="C1746" s="2" t="s">
        <v>41</v>
      </c>
      <c r="D1746" s="3" t="n">
        <v>45964</v>
      </c>
      <c r="E1746" s="2" t="s">
        <v>1631</v>
      </c>
      <c r="F1746" s="2" t="s">
        <v>38</v>
      </c>
      <c r="G1746" s="2" t="n">
        <v>23051</v>
      </c>
      <c r="H1746" s="2" t="n">
        <v>15</v>
      </c>
      <c r="I1746" s="2" t="n">
        <v>171</v>
      </c>
      <c r="J1746" s="2" t="n">
        <v>0</v>
      </c>
      <c r="K1746" s="2" t="n">
        <v>18834</v>
      </c>
      <c r="L1746" s="2" t="n">
        <v>16859</v>
      </c>
      <c r="M1746" s="2" t="n">
        <v>505</v>
      </c>
      <c r="N1746" s="2" t="n">
        <v>36</v>
      </c>
      <c r="O1746" s="2" t="n">
        <v>77</v>
      </c>
      <c r="P1746" s="2" t="n">
        <v>200</v>
      </c>
      <c r="Q1746" s="2" t="n">
        <v>207</v>
      </c>
      <c r="R1746" s="2" t="n">
        <v>51</v>
      </c>
      <c r="S1746" s="2" t="n">
        <v>7</v>
      </c>
      <c r="T1746" s="2" t="s">
        <v>33</v>
      </c>
      <c r="U1746" s="4" t="n">
        <f aca="false">(M1746+N1746+O1746+P1746)/L1746</f>
        <v>0.0485200782964589</v>
      </c>
      <c r="V1746" s="2" t="str">
        <f aca="false">IF(S1746&lt;=5,"Late night (0-5)",IF(S1746&lt;=11,"Morning (6-11)",IF(S1746&lt;=17,"Afternoon (12-17)","Evening (18-23)")))</f>
        <v>Morning (6-11)</v>
      </c>
    </row>
    <row r="1747" customFormat="false" ht="15" hidden="false" customHeight="false" outlineLevel="0" collapsed="false">
      <c r="A1747" s="2" t="s">
        <v>2857</v>
      </c>
      <c r="B1747" s="2" t="s">
        <v>135</v>
      </c>
      <c r="C1747" s="2" t="s">
        <v>36</v>
      </c>
      <c r="D1747" s="3" t="n">
        <v>45775</v>
      </c>
      <c r="E1747" s="2" t="s">
        <v>648</v>
      </c>
      <c r="F1747" s="2" t="s">
        <v>50</v>
      </c>
      <c r="G1747" s="2" t="n">
        <v>45812</v>
      </c>
      <c r="H1747" s="2" t="n">
        <v>10</v>
      </c>
      <c r="I1747" s="2" t="n">
        <v>400</v>
      </c>
      <c r="J1747" s="2" t="n">
        <v>0</v>
      </c>
      <c r="K1747" s="2" t="n">
        <v>13702</v>
      </c>
      <c r="L1747" s="2" t="n">
        <v>7969</v>
      </c>
      <c r="M1747" s="2" t="n">
        <v>305</v>
      </c>
      <c r="N1747" s="2" t="n">
        <v>7</v>
      </c>
      <c r="O1747" s="2" t="n">
        <v>45</v>
      </c>
      <c r="P1747" s="2" t="n">
        <v>49</v>
      </c>
      <c r="Q1747" s="2" t="n">
        <v>206</v>
      </c>
      <c r="R1747" s="2" t="n">
        <v>14</v>
      </c>
      <c r="S1747" s="2" t="n">
        <v>1</v>
      </c>
      <c r="T1747" s="2" t="s">
        <v>33</v>
      </c>
      <c r="U1747" s="4" t="n">
        <f aca="false">(M1747+N1747+O1747+P1747)/L1747</f>
        <v>0.0509474212573723</v>
      </c>
      <c r="V1747" s="2" t="str">
        <f aca="false">IF(S1747&lt;=5,"Late night (0-5)",IF(S1747&lt;=11,"Morning (6-11)",IF(S1747&lt;=17,"Afternoon (12-17)","Evening (18-23)")))</f>
        <v>Late night (0-5)</v>
      </c>
    </row>
    <row r="1748" customFormat="false" ht="15" hidden="false" customHeight="false" outlineLevel="0" collapsed="false">
      <c r="A1748" s="2" t="s">
        <v>2858</v>
      </c>
      <c r="B1748" s="2" t="s">
        <v>53</v>
      </c>
      <c r="C1748" s="2" t="s">
        <v>54</v>
      </c>
      <c r="D1748" s="3" t="n">
        <v>45847</v>
      </c>
      <c r="E1748" s="2" t="s">
        <v>971</v>
      </c>
      <c r="F1748" s="2" t="s">
        <v>38</v>
      </c>
      <c r="G1748" s="2" t="n">
        <v>11318</v>
      </c>
      <c r="H1748" s="2" t="n">
        <v>8</v>
      </c>
      <c r="I1748" s="2" t="n">
        <v>169</v>
      </c>
      <c r="J1748" s="2" t="n">
        <v>0</v>
      </c>
      <c r="K1748" s="2" t="n">
        <v>25513</v>
      </c>
      <c r="L1748" s="2" t="n">
        <v>16076</v>
      </c>
      <c r="M1748" s="2" t="n">
        <v>1050</v>
      </c>
      <c r="N1748" s="2" t="n">
        <v>42</v>
      </c>
      <c r="O1748" s="2" t="n">
        <v>80</v>
      </c>
      <c r="P1748" s="2" t="n">
        <v>223</v>
      </c>
      <c r="Q1748" s="2" t="n">
        <v>134</v>
      </c>
      <c r="R1748" s="2" t="n">
        <v>35</v>
      </c>
      <c r="S1748" s="2" t="n">
        <v>12</v>
      </c>
      <c r="T1748" s="2" t="s">
        <v>66</v>
      </c>
      <c r="U1748" s="4" t="n">
        <f aca="false">(M1748+N1748+O1748+P1748)/L1748</f>
        <v>0.0867753172430953</v>
      </c>
      <c r="V1748" s="2" t="str">
        <f aca="false">IF(S1748&lt;=5,"Late night (0-5)",IF(S1748&lt;=11,"Morning (6-11)",IF(S1748&lt;=17,"Afternoon (12-17)","Evening (18-23)")))</f>
        <v>Afternoon (12-17)</v>
      </c>
    </row>
    <row r="1749" customFormat="false" ht="15" hidden="false" customHeight="false" outlineLevel="0" collapsed="false">
      <c r="A1749" s="2" t="s">
        <v>2859</v>
      </c>
      <c r="B1749" s="2" t="s">
        <v>164</v>
      </c>
      <c r="C1749" s="2" t="s">
        <v>36</v>
      </c>
      <c r="D1749" s="3" t="n">
        <v>45837</v>
      </c>
      <c r="E1749" s="2" t="s">
        <v>2145</v>
      </c>
      <c r="F1749" s="2" t="s">
        <v>32</v>
      </c>
      <c r="G1749" s="2" t="n">
        <v>44230</v>
      </c>
      <c r="H1749" s="2" t="n">
        <v>7</v>
      </c>
      <c r="I1749" s="2" t="n">
        <v>127</v>
      </c>
      <c r="J1749" s="2" t="n">
        <v>1</v>
      </c>
      <c r="K1749" s="2" t="n">
        <v>68196</v>
      </c>
      <c r="L1749" s="2" t="n">
        <v>58126</v>
      </c>
      <c r="M1749" s="2" t="n">
        <v>4208</v>
      </c>
      <c r="N1749" s="2" t="n">
        <v>243</v>
      </c>
      <c r="O1749" s="2" t="n">
        <v>672</v>
      </c>
      <c r="P1749" s="2" t="n">
        <v>565</v>
      </c>
      <c r="Q1749" s="2" t="n">
        <v>742</v>
      </c>
      <c r="R1749" s="2" t="n">
        <v>57</v>
      </c>
      <c r="S1749" s="2" t="n">
        <v>1</v>
      </c>
      <c r="T1749" s="2" t="s">
        <v>27</v>
      </c>
      <c r="U1749" s="4" t="n">
        <f aca="false">(M1749+N1749+O1749+P1749)/L1749</f>
        <v>0.0978563809654888</v>
      </c>
      <c r="V1749" s="2" t="str">
        <f aca="false">IF(S1749&lt;=5,"Late night (0-5)",IF(S1749&lt;=11,"Morning (6-11)",IF(S1749&lt;=17,"Afternoon (12-17)","Evening (18-23)")))</f>
        <v>Late night (0-5)</v>
      </c>
    </row>
    <row r="1750" customFormat="false" ht="15" hidden="false" customHeight="false" outlineLevel="0" collapsed="false">
      <c r="A1750" s="2" t="s">
        <v>2860</v>
      </c>
      <c r="B1750" s="2" t="s">
        <v>90</v>
      </c>
      <c r="C1750" s="2" t="s">
        <v>91</v>
      </c>
      <c r="D1750" s="3" t="n">
        <v>45962</v>
      </c>
      <c r="E1750" s="2" t="s">
        <v>1654</v>
      </c>
      <c r="F1750" s="2" t="s">
        <v>38</v>
      </c>
      <c r="G1750" s="2" t="n">
        <v>54788</v>
      </c>
      <c r="H1750" s="2" t="n">
        <v>22</v>
      </c>
      <c r="I1750" s="2" t="n">
        <v>10</v>
      </c>
      <c r="J1750" s="2" t="n">
        <v>0</v>
      </c>
      <c r="K1750" s="2" t="n">
        <v>43397</v>
      </c>
      <c r="L1750" s="2" t="n">
        <v>24305</v>
      </c>
      <c r="M1750" s="2" t="n">
        <v>1135</v>
      </c>
      <c r="N1750" s="2" t="n">
        <v>54</v>
      </c>
      <c r="O1750" s="2" t="n">
        <v>64</v>
      </c>
      <c r="P1750" s="2" t="n">
        <v>107</v>
      </c>
      <c r="Q1750" s="2" t="n">
        <v>488</v>
      </c>
      <c r="R1750" s="2" t="n">
        <v>116</v>
      </c>
      <c r="S1750" s="2" t="n">
        <v>22</v>
      </c>
      <c r="T1750" s="2" t="s">
        <v>62</v>
      </c>
      <c r="U1750" s="4" t="n">
        <f aca="false">(M1750+N1750+O1750+P1750)/L1750</f>
        <v>0.0559555646986217</v>
      </c>
      <c r="V1750" s="2" t="str">
        <f aca="false">IF(S1750&lt;=5,"Late night (0-5)",IF(S1750&lt;=11,"Morning (6-11)",IF(S1750&lt;=17,"Afternoon (12-17)","Evening (18-23)")))</f>
        <v>Evening (18-23)</v>
      </c>
    </row>
    <row r="1751" customFormat="false" ht="15" hidden="false" customHeight="false" outlineLevel="0" collapsed="false">
      <c r="A1751" s="2" t="s">
        <v>2861</v>
      </c>
      <c r="B1751" s="2" t="s">
        <v>310</v>
      </c>
      <c r="C1751" s="2" t="s">
        <v>91</v>
      </c>
      <c r="D1751" s="3" t="n">
        <v>45882</v>
      </c>
      <c r="E1751" s="2" t="s">
        <v>1472</v>
      </c>
      <c r="F1751" s="2" t="s">
        <v>26</v>
      </c>
      <c r="G1751" s="2" t="n">
        <v>56571</v>
      </c>
      <c r="H1751" s="2" t="n">
        <v>7</v>
      </c>
      <c r="I1751" s="2" t="n">
        <v>153</v>
      </c>
      <c r="J1751" s="2" t="n">
        <v>0</v>
      </c>
      <c r="K1751" s="2" t="n">
        <v>47708</v>
      </c>
      <c r="L1751" s="2" t="n">
        <v>41644</v>
      </c>
      <c r="M1751" s="2" t="n">
        <v>2055</v>
      </c>
      <c r="N1751" s="2" t="n">
        <v>151</v>
      </c>
      <c r="O1751" s="2" t="n">
        <v>330</v>
      </c>
      <c r="P1751" s="2" t="n">
        <v>677</v>
      </c>
      <c r="Q1751" s="2" t="n">
        <v>903</v>
      </c>
      <c r="R1751" s="2" t="n">
        <v>138</v>
      </c>
      <c r="S1751" s="2" t="n">
        <v>21</v>
      </c>
      <c r="T1751" s="2" t="s">
        <v>66</v>
      </c>
      <c r="U1751" s="4" t="n">
        <f aca="false">(M1751+N1751+O1751+P1751)/L1751</f>
        <v>0.0771539717606378</v>
      </c>
      <c r="V1751" s="2" t="str">
        <f aca="false">IF(S1751&lt;=5,"Late night (0-5)",IF(S1751&lt;=11,"Morning (6-11)",IF(S1751&lt;=17,"Afternoon (12-17)","Evening (18-23)")))</f>
        <v>Evening (18-23)</v>
      </c>
    </row>
    <row r="1752" customFormat="false" ht="15" hidden="false" customHeight="false" outlineLevel="0" collapsed="false">
      <c r="A1752" s="2" t="s">
        <v>2862</v>
      </c>
      <c r="B1752" s="2" t="s">
        <v>188</v>
      </c>
      <c r="C1752" s="2" t="s">
        <v>30</v>
      </c>
      <c r="D1752" s="3" t="n">
        <v>45857</v>
      </c>
      <c r="E1752" s="2" t="s">
        <v>576</v>
      </c>
      <c r="F1752" s="2" t="s">
        <v>26</v>
      </c>
      <c r="G1752" s="2" t="n">
        <v>38900</v>
      </c>
      <c r="H1752" s="2" t="n">
        <v>15</v>
      </c>
      <c r="I1752" s="2" t="n">
        <v>197</v>
      </c>
      <c r="J1752" s="2" t="n">
        <v>0</v>
      </c>
      <c r="K1752" s="2" t="n">
        <v>26869</v>
      </c>
      <c r="L1752" s="2" t="n">
        <v>20890</v>
      </c>
      <c r="M1752" s="2" t="n">
        <v>970</v>
      </c>
      <c r="N1752" s="2" t="n">
        <v>34</v>
      </c>
      <c r="O1752" s="2" t="n">
        <v>51</v>
      </c>
      <c r="P1752" s="2" t="n">
        <v>388</v>
      </c>
      <c r="Q1752" s="2" t="n">
        <v>314</v>
      </c>
      <c r="R1752" s="2" t="n">
        <v>33</v>
      </c>
      <c r="S1752" s="2" t="n">
        <v>14</v>
      </c>
      <c r="T1752" s="2" t="s">
        <v>62</v>
      </c>
      <c r="U1752" s="4" t="n">
        <f aca="false">(M1752+N1752+O1752+P1752)/L1752</f>
        <v>0.0690761129727142</v>
      </c>
      <c r="V1752" s="2" t="str">
        <f aca="false">IF(S1752&lt;=5,"Late night (0-5)",IF(S1752&lt;=11,"Morning (6-11)",IF(S1752&lt;=17,"Afternoon (12-17)","Evening (18-23)")))</f>
        <v>Afternoon (12-17)</v>
      </c>
    </row>
    <row r="1753" customFormat="false" ht="15" hidden="false" customHeight="false" outlineLevel="0" collapsed="false">
      <c r="A1753" s="2" t="s">
        <v>2863</v>
      </c>
      <c r="B1753" s="2" t="s">
        <v>129</v>
      </c>
      <c r="C1753" s="2" t="s">
        <v>54</v>
      </c>
      <c r="D1753" s="3" t="n">
        <v>45684</v>
      </c>
      <c r="E1753" s="2" t="s">
        <v>913</v>
      </c>
      <c r="F1753" s="2" t="s">
        <v>50</v>
      </c>
      <c r="G1753" s="2" t="n">
        <v>10312</v>
      </c>
      <c r="H1753" s="2" t="n">
        <v>16</v>
      </c>
      <c r="I1753" s="2" t="n">
        <v>198</v>
      </c>
      <c r="J1753" s="2" t="n">
        <v>0</v>
      </c>
      <c r="K1753" s="2" t="n">
        <v>14520</v>
      </c>
      <c r="L1753" s="2" t="n">
        <v>9687</v>
      </c>
      <c r="M1753" s="2" t="n">
        <v>788</v>
      </c>
      <c r="N1753" s="2" t="n">
        <v>43</v>
      </c>
      <c r="O1753" s="2" t="n">
        <v>154</v>
      </c>
      <c r="P1753" s="2" t="n">
        <v>182</v>
      </c>
      <c r="Q1753" s="2" t="n">
        <v>287</v>
      </c>
      <c r="R1753" s="2" t="n">
        <v>53</v>
      </c>
      <c r="S1753" s="2" t="n">
        <v>5</v>
      </c>
      <c r="T1753" s="2" t="s">
        <v>33</v>
      </c>
      <c r="U1753" s="4" t="n">
        <f aca="false">(M1753+N1753+O1753+P1753)/L1753</f>
        <v>0.120470733973366</v>
      </c>
      <c r="V1753" s="2" t="str">
        <f aca="false">IF(S1753&lt;=5,"Late night (0-5)",IF(S1753&lt;=11,"Morning (6-11)",IF(S1753&lt;=17,"Afternoon (12-17)","Evening (18-23)")))</f>
        <v>Late night (0-5)</v>
      </c>
    </row>
    <row r="1754" customFormat="false" ht="15" hidden="false" customHeight="false" outlineLevel="0" collapsed="false">
      <c r="A1754" s="2" t="s">
        <v>2864</v>
      </c>
      <c r="B1754" s="2" t="s">
        <v>141</v>
      </c>
      <c r="C1754" s="2" t="s">
        <v>48</v>
      </c>
      <c r="D1754" s="3" t="n">
        <v>45660</v>
      </c>
      <c r="E1754" s="2" t="s">
        <v>1078</v>
      </c>
      <c r="F1754" s="2" t="s">
        <v>26</v>
      </c>
      <c r="G1754" s="2" t="n">
        <v>16119</v>
      </c>
      <c r="H1754" s="2" t="n">
        <v>14</v>
      </c>
      <c r="I1754" s="2" t="n">
        <v>125</v>
      </c>
      <c r="J1754" s="2" t="n">
        <v>0</v>
      </c>
      <c r="K1754" s="2" t="n">
        <v>17255</v>
      </c>
      <c r="L1754" s="2" t="n">
        <v>10163</v>
      </c>
      <c r="M1754" s="2" t="n">
        <v>782</v>
      </c>
      <c r="N1754" s="2" t="n">
        <v>55</v>
      </c>
      <c r="O1754" s="2" t="n">
        <v>124</v>
      </c>
      <c r="P1754" s="2" t="n">
        <v>247</v>
      </c>
      <c r="Q1754" s="2" t="n">
        <v>53</v>
      </c>
      <c r="R1754" s="2" t="n">
        <v>10</v>
      </c>
      <c r="S1754" s="2" t="n">
        <v>13</v>
      </c>
      <c r="T1754" s="2" t="s">
        <v>96</v>
      </c>
      <c r="U1754" s="4" t="n">
        <f aca="false">(M1754+N1754+O1754+P1754)/L1754</f>
        <v>0.118862540588409</v>
      </c>
      <c r="V1754" s="2" t="str">
        <f aca="false">IF(S1754&lt;=5,"Late night (0-5)",IF(S1754&lt;=11,"Morning (6-11)",IF(S1754&lt;=17,"Afternoon (12-17)","Evening (18-23)")))</f>
        <v>Afternoon (12-17)</v>
      </c>
    </row>
    <row r="1755" customFormat="false" ht="15" hidden="false" customHeight="false" outlineLevel="0" collapsed="false">
      <c r="A1755" s="2" t="s">
        <v>2865</v>
      </c>
      <c r="B1755" s="2" t="s">
        <v>164</v>
      </c>
      <c r="C1755" s="2" t="s">
        <v>36</v>
      </c>
      <c r="D1755" s="3" t="n">
        <v>45840</v>
      </c>
      <c r="E1755" s="2" t="s">
        <v>401</v>
      </c>
      <c r="F1755" s="2" t="s">
        <v>38</v>
      </c>
      <c r="G1755" s="2" t="n">
        <v>44230</v>
      </c>
      <c r="H1755" s="2" t="n">
        <v>18</v>
      </c>
      <c r="I1755" s="2" t="n">
        <v>95</v>
      </c>
      <c r="J1755" s="2" t="n">
        <v>1</v>
      </c>
      <c r="K1755" s="2" t="n">
        <v>32099</v>
      </c>
      <c r="L1755" s="2" t="n">
        <v>25074</v>
      </c>
      <c r="M1755" s="2" t="n">
        <v>1685</v>
      </c>
      <c r="N1755" s="2" t="n">
        <v>80</v>
      </c>
      <c r="O1755" s="2" t="n">
        <v>156</v>
      </c>
      <c r="P1755" s="2" t="n">
        <v>170</v>
      </c>
      <c r="Q1755" s="2" t="n">
        <v>195</v>
      </c>
      <c r="R1755" s="2" t="n">
        <v>15</v>
      </c>
      <c r="S1755" s="2" t="n">
        <v>5</v>
      </c>
      <c r="T1755" s="2" t="s">
        <v>66</v>
      </c>
      <c r="U1755" s="4" t="n">
        <f aca="false">(M1755+N1755+O1755+P1755)/L1755</f>
        <v>0.0833931562574779</v>
      </c>
      <c r="V1755" s="2" t="str">
        <f aca="false">IF(S1755&lt;=5,"Late night (0-5)",IF(S1755&lt;=11,"Morning (6-11)",IF(S1755&lt;=17,"Afternoon (12-17)","Evening (18-23)")))</f>
        <v>Late night (0-5)</v>
      </c>
    </row>
    <row r="1756" customFormat="false" ht="15" hidden="false" customHeight="false" outlineLevel="0" collapsed="false">
      <c r="A1756" s="2" t="s">
        <v>2866</v>
      </c>
      <c r="B1756" s="2" t="s">
        <v>126</v>
      </c>
      <c r="C1756" s="2" t="s">
        <v>36</v>
      </c>
      <c r="D1756" s="3" t="n">
        <v>46013</v>
      </c>
      <c r="E1756" s="2" t="s">
        <v>1206</v>
      </c>
      <c r="F1756" s="2" t="s">
        <v>50</v>
      </c>
      <c r="G1756" s="2" t="n">
        <v>28784</v>
      </c>
      <c r="H1756" s="2" t="n">
        <v>8</v>
      </c>
      <c r="I1756" s="2" t="n">
        <v>279</v>
      </c>
      <c r="J1756" s="2" t="n">
        <v>0</v>
      </c>
      <c r="K1756" s="2" t="n">
        <v>18114</v>
      </c>
      <c r="L1756" s="2" t="n">
        <v>13031</v>
      </c>
      <c r="M1756" s="2" t="n">
        <v>801</v>
      </c>
      <c r="N1756" s="2" t="n">
        <v>31</v>
      </c>
      <c r="O1756" s="2" t="n">
        <v>38</v>
      </c>
      <c r="P1756" s="2" t="n">
        <v>123</v>
      </c>
      <c r="Q1756" s="2" t="n">
        <v>105</v>
      </c>
      <c r="R1756" s="2" t="n">
        <v>16</v>
      </c>
      <c r="S1756" s="2" t="n">
        <v>22</v>
      </c>
      <c r="T1756" s="2" t="s">
        <v>33</v>
      </c>
      <c r="U1756" s="4" t="n">
        <f aca="false">(M1756+N1756+O1756+P1756)/L1756</f>
        <v>0.0762029007750748</v>
      </c>
      <c r="V1756" s="2" t="str">
        <f aca="false">IF(S1756&lt;=5,"Late night (0-5)",IF(S1756&lt;=11,"Morning (6-11)",IF(S1756&lt;=17,"Afternoon (12-17)","Evening (18-23)")))</f>
        <v>Evening (18-23)</v>
      </c>
    </row>
    <row r="1757" customFormat="false" ht="15" hidden="false" customHeight="false" outlineLevel="0" collapsed="false">
      <c r="A1757" s="2" t="s">
        <v>2867</v>
      </c>
      <c r="B1757" s="2" t="s">
        <v>327</v>
      </c>
      <c r="C1757" s="2" t="s">
        <v>91</v>
      </c>
      <c r="D1757" s="3" t="n">
        <v>45940</v>
      </c>
      <c r="E1757" s="2" t="s">
        <v>2868</v>
      </c>
      <c r="F1757" s="2" t="s">
        <v>38</v>
      </c>
      <c r="G1757" s="2" t="n">
        <v>16943</v>
      </c>
      <c r="H1757" s="2" t="n">
        <v>5</v>
      </c>
      <c r="I1757" s="2" t="n">
        <v>245</v>
      </c>
      <c r="J1757" s="2" t="n">
        <v>0</v>
      </c>
      <c r="K1757" s="2" t="n">
        <v>4023</v>
      </c>
      <c r="L1757" s="2" t="n">
        <v>2950</v>
      </c>
      <c r="M1757" s="2" t="n">
        <v>263</v>
      </c>
      <c r="N1757" s="2" t="n">
        <v>13</v>
      </c>
      <c r="O1757" s="2" t="n">
        <v>9</v>
      </c>
      <c r="P1757" s="2" t="n">
        <v>36</v>
      </c>
      <c r="Q1757" s="2" t="n">
        <v>64</v>
      </c>
      <c r="R1757" s="2" t="n">
        <v>6</v>
      </c>
      <c r="S1757" s="2" t="n">
        <v>2</v>
      </c>
      <c r="T1757" s="2" t="s">
        <v>96</v>
      </c>
      <c r="U1757" s="4" t="n">
        <f aca="false">(M1757+N1757+O1757+P1757)/L1757</f>
        <v>0.108813559322034</v>
      </c>
      <c r="V1757" s="2" t="str">
        <f aca="false">IF(S1757&lt;=5,"Late night (0-5)",IF(S1757&lt;=11,"Morning (6-11)",IF(S1757&lt;=17,"Afternoon (12-17)","Evening (18-23)")))</f>
        <v>Late night (0-5)</v>
      </c>
    </row>
    <row r="1758" customFormat="false" ht="15" hidden="false" customHeight="false" outlineLevel="0" collapsed="false">
      <c r="A1758" s="2" t="s">
        <v>2869</v>
      </c>
      <c r="B1758" s="2" t="s">
        <v>123</v>
      </c>
      <c r="C1758" s="2" t="s">
        <v>24</v>
      </c>
      <c r="D1758" s="3" t="n">
        <v>45678</v>
      </c>
      <c r="E1758" s="2" t="s">
        <v>2870</v>
      </c>
      <c r="F1758" s="2" t="s">
        <v>32</v>
      </c>
      <c r="G1758" s="2" t="n">
        <v>41391</v>
      </c>
      <c r="H1758" s="2" t="n">
        <v>0</v>
      </c>
      <c r="I1758" s="2" t="n">
        <v>294</v>
      </c>
      <c r="J1758" s="2" t="n">
        <v>0</v>
      </c>
      <c r="K1758" s="2" t="n">
        <v>82948</v>
      </c>
      <c r="L1758" s="2" t="n">
        <v>54961</v>
      </c>
      <c r="M1758" s="2" t="n">
        <v>2015</v>
      </c>
      <c r="N1758" s="2" t="n">
        <v>109</v>
      </c>
      <c r="O1758" s="2" t="n">
        <v>416</v>
      </c>
      <c r="P1758" s="2" t="n">
        <v>561</v>
      </c>
      <c r="Q1758" s="2" t="n">
        <v>843</v>
      </c>
      <c r="R1758" s="2" t="n">
        <v>163</v>
      </c>
      <c r="S1758" s="2" t="n">
        <v>5</v>
      </c>
      <c r="T1758" s="2" t="s">
        <v>51</v>
      </c>
      <c r="U1758" s="4" t="n">
        <f aca="false">(M1758+N1758+O1758+P1758)/L1758</f>
        <v>0.0564218263859828</v>
      </c>
      <c r="V1758" s="2" t="str">
        <f aca="false">IF(S1758&lt;=5,"Late night (0-5)",IF(S1758&lt;=11,"Morning (6-11)",IF(S1758&lt;=17,"Afternoon (12-17)","Evening (18-23)")))</f>
        <v>Late night (0-5)</v>
      </c>
    </row>
    <row r="1759" customFormat="false" ht="15" hidden="false" customHeight="false" outlineLevel="0" collapsed="false">
      <c r="A1759" s="2" t="s">
        <v>2871</v>
      </c>
      <c r="B1759" s="2" t="s">
        <v>360</v>
      </c>
      <c r="C1759" s="2" t="s">
        <v>48</v>
      </c>
      <c r="D1759" s="3" t="n">
        <v>45808</v>
      </c>
      <c r="E1759" s="2" t="s">
        <v>2872</v>
      </c>
      <c r="F1759" s="2" t="s">
        <v>38</v>
      </c>
      <c r="G1759" s="2" t="n">
        <v>19542</v>
      </c>
      <c r="H1759" s="2" t="n">
        <v>19</v>
      </c>
      <c r="I1759" s="2" t="n">
        <v>139</v>
      </c>
      <c r="J1759" s="2" t="n">
        <v>1</v>
      </c>
      <c r="K1759" s="2" t="n">
        <v>27290</v>
      </c>
      <c r="L1759" s="2" t="n">
        <v>18123</v>
      </c>
      <c r="M1759" s="2" t="n">
        <v>922</v>
      </c>
      <c r="N1759" s="2" t="n">
        <v>31</v>
      </c>
      <c r="O1759" s="2" t="n">
        <v>62</v>
      </c>
      <c r="P1759" s="2" t="n">
        <v>264</v>
      </c>
      <c r="Q1759" s="2" t="n">
        <v>144</v>
      </c>
      <c r="R1759" s="2" t="n">
        <v>18</v>
      </c>
      <c r="S1759" s="2" t="n">
        <v>5</v>
      </c>
      <c r="T1759" s="2" t="s">
        <v>62</v>
      </c>
      <c r="U1759" s="4" t="n">
        <f aca="false">(M1759+N1759+O1759+P1759)/L1759</f>
        <v>0.0705733046405121</v>
      </c>
      <c r="V1759" s="2" t="str">
        <f aca="false">IF(S1759&lt;=5,"Late night (0-5)",IF(S1759&lt;=11,"Morning (6-11)",IF(S1759&lt;=17,"Afternoon (12-17)","Evening (18-23)")))</f>
        <v>Late night (0-5)</v>
      </c>
    </row>
    <row r="1760" customFormat="false" ht="15" hidden="false" customHeight="false" outlineLevel="0" collapsed="false">
      <c r="A1760" s="2" t="s">
        <v>2873</v>
      </c>
      <c r="B1760" s="2" t="s">
        <v>324</v>
      </c>
      <c r="C1760" s="2" t="s">
        <v>24</v>
      </c>
      <c r="D1760" s="3" t="n">
        <v>45707</v>
      </c>
      <c r="E1760" s="2" t="s">
        <v>2329</v>
      </c>
      <c r="F1760" s="2" t="s">
        <v>32</v>
      </c>
      <c r="G1760" s="2" t="n">
        <v>3823</v>
      </c>
      <c r="H1760" s="2" t="n">
        <v>15</v>
      </c>
      <c r="I1760" s="2" t="n">
        <v>284</v>
      </c>
      <c r="J1760" s="2" t="n">
        <v>1</v>
      </c>
      <c r="K1760" s="2" t="n">
        <v>13436</v>
      </c>
      <c r="L1760" s="2" t="n">
        <v>8526</v>
      </c>
      <c r="M1760" s="2" t="n">
        <v>781</v>
      </c>
      <c r="N1760" s="2" t="n">
        <v>60</v>
      </c>
      <c r="O1760" s="2" t="n">
        <v>151</v>
      </c>
      <c r="P1760" s="2" t="n">
        <v>215</v>
      </c>
      <c r="Q1760" s="2" t="n">
        <v>179</v>
      </c>
      <c r="R1760" s="2" t="n">
        <v>17</v>
      </c>
      <c r="S1760" s="2" t="n">
        <v>22</v>
      </c>
      <c r="T1760" s="2" t="s">
        <v>66</v>
      </c>
      <c r="U1760" s="4" t="n">
        <f aca="false">(M1760+N1760+O1760+P1760)/L1760</f>
        <v>0.141566971616233</v>
      </c>
      <c r="V1760" s="2" t="str">
        <f aca="false">IF(S1760&lt;=5,"Late night (0-5)",IF(S1760&lt;=11,"Morning (6-11)",IF(S1760&lt;=17,"Afternoon (12-17)","Evening (18-23)")))</f>
        <v>Evening (18-23)</v>
      </c>
    </row>
    <row r="1761" customFormat="false" ht="15" hidden="false" customHeight="false" outlineLevel="0" collapsed="false">
      <c r="A1761" s="2" t="s">
        <v>2874</v>
      </c>
      <c r="B1761" s="2" t="s">
        <v>247</v>
      </c>
      <c r="C1761" s="2" t="s">
        <v>24</v>
      </c>
      <c r="D1761" s="3" t="n">
        <v>45899</v>
      </c>
      <c r="E1761" s="2" t="s">
        <v>422</v>
      </c>
      <c r="F1761" s="2" t="s">
        <v>38</v>
      </c>
      <c r="G1761" s="2" t="n">
        <v>70847</v>
      </c>
      <c r="H1761" s="2" t="n">
        <v>14</v>
      </c>
      <c r="I1761" s="2" t="n">
        <v>145</v>
      </c>
      <c r="J1761" s="2" t="n">
        <v>1</v>
      </c>
      <c r="K1761" s="2" t="n">
        <v>74434</v>
      </c>
      <c r="L1761" s="2" t="n">
        <v>56216</v>
      </c>
      <c r="M1761" s="2" t="n">
        <v>2445</v>
      </c>
      <c r="N1761" s="2" t="n">
        <v>118</v>
      </c>
      <c r="O1761" s="2" t="n">
        <v>423</v>
      </c>
      <c r="P1761" s="2" t="n">
        <v>681</v>
      </c>
      <c r="Q1761" s="2" t="n">
        <v>707</v>
      </c>
      <c r="R1761" s="2" t="n">
        <v>62</v>
      </c>
      <c r="S1761" s="2" t="n">
        <v>22</v>
      </c>
      <c r="T1761" s="2" t="s">
        <v>62</v>
      </c>
      <c r="U1761" s="4" t="n">
        <f aca="false">(M1761+N1761+O1761+P1761)/L1761</f>
        <v>0.0652305393482283</v>
      </c>
      <c r="V1761" s="2" t="str">
        <f aca="false">IF(S1761&lt;=5,"Late night (0-5)",IF(S1761&lt;=11,"Morning (6-11)",IF(S1761&lt;=17,"Afternoon (12-17)","Evening (18-23)")))</f>
        <v>Evening (18-23)</v>
      </c>
    </row>
    <row r="1762" customFormat="false" ht="15" hidden="false" customHeight="false" outlineLevel="0" collapsed="false">
      <c r="A1762" s="2" t="s">
        <v>2875</v>
      </c>
      <c r="B1762" s="2" t="s">
        <v>111</v>
      </c>
      <c r="C1762" s="2" t="s">
        <v>48</v>
      </c>
      <c r="D1762" s="3" t="n">
        <v>45717</v>
      </c>
      <c r="E1762" s="2" t="s">
        <v>1713</v>
      </c>
      <c r="F1762" s="2" t="s">
        <v>32</v>
      </c>
      <c r="G1762" s="2" t="n">
        <v>16824</v>
      </c>
      <c r="H1762" s="2" t="n">
        <v>11</v>
      </c>
      <c r="I1762" s="2" t="n">
        <v>405</v>
      </c>
      <c r="J1762" s="2" t="n">
        <v>0</v>
      </c>
      <c r="K1762" s="2" t="n">
        <v>42189</v>
      </c>
      <c r="L1762" s="2" t="n">
        <v>26035</v>
      </c>
      <c r="M1762" s="2" t="n">
        <v>2097</v>
      </c>
      <c r="N1762" s="2" t="n">
        <v>112</v>
      </c>
      <c r="O1762" s="2" t="n">
        <v>418</v>
      </c>
      <c r="P1762" s="2" t="n">
        <v>315</v>
      </c>
      <c r="Q1762" s="2" t="n">
        <v>176</v>
      </c>
      <c r="R1762" s="2" t="n">
        <v>15</v>
      </c>
      <c r="S1762" s="2" t="n">
        <v>8</v>
      </c>
      <c r="T1762" s="2" t="s">
        <v>62</v>
      </c>
      <c r="U1762" s="4" t="n">
        <f aca="false">(M1762+N1762+O1762+P1762)/L1762</f>
        <v>0.113001728442481</v>
      </c>
      <c r="V1762" s="2" t="str">
        <f aca="false">IF(S1762&lt;=5,"Late night (0-5)",IF(S1762&lt;=11,"Morning (6-11)",IF(S1762&lt;=17,"Afternoon (12-17)","Evening (18-23)")))</f>
        <v>Morning (6-11)</v>
      </c>
    </row>
    <row r="1763" customFormat="false" ht="15" hidden="false" customHeight="false" outlineLevel="0" collapsed="false">
      <c r="A1763" s="2" t="s">
        <v>2876</v>
      </c>
      <c r="B1763" s="2" t="s">
        <v>374</v>
      </c>
      <c r="C1763" s="2" t="s">
        <v>24</v>
      </c>
      <c r="D1763" s="3" t="n">
        <v>46007</v>
      </c>
      <c r="E1763" s="2" t="s">
        <v>1905</v>
      </c>
      <c r="F1763" s="2" t="s">
        <v>26</v>
      </c>
      <c r="G1763" s="2" t="n">
        <v>9509</v>
      </c>
      <c r="H1763" s="2" t="n">
        <v>14</v>
      </c>
      <c r="I1763" s="2" t="n">
        <v>295</v>
      </c>
      <c r="J1763" s="2" t="n">
        <v>0</v>
      </c>
      <c r="K1763" s="2" t="n">
        <v>11870</v>
      </c>
      <c r="L1763" s="2" t="n">
        <v>7632</v>
      </c>
      <c r="M1763" s="2" t="n">
        <v>410</v>
      </c>
      <c r="N1763" s="2" t="n">
        <v>31</v>
      </c>
      <c r="O1763" s="2" t="n">
        <v>62</v>
      </c>
      <c r="P1763" s="2" t="n">
        <v>104</v>
      </c>
      <c r="Q1763" s="2" t="n">
        <v>77</v>
      </c>
      <c r="R1763" s="2" t="n">
        <v>16</v>
      </c>
      <c r="S1763" s="2" t="n">
        <v>16</v>
      </c>
      <c r="T1763" s="2" t="s">
        <v>51</v>
      </c>
      <c r="U1763" s="4" t="n">
        <f aca="false">(M1763+N1763+O1763+P1763)/L1763</f>
        <v>0.0795335429769392</v>
      </c>
      <c r="V1763" s="2" t="str">
        <f aca="false">IF(S1763&lt;=5,"Late night (0-5)",IF(S1763&lt;=11,"Morning (6-11)",IF(S1763&lt;=17,"Afternoon (12-17)","Evening (18-23)")))</f>
        <v>Afternoon (12-17)</v>
      </c>
    </row>
    <row r="1764" customFormat="false" ht="15" hidden="false" customHeight="false" outlineLevel="0" collapsed="false">
      <c r="A1764" s="2" t="s">
        <v>2877</v>
      </c>
      <c r="B1764" s="2" t="s">
        <v>123</v>
      </c>
      <c r="C1764" s="2" t="s">
        <v>24</v>
      </c>
      <c r="D1764" s="3" t="n">
        <v>45743</v>
      </c>
      <c r="E1764" s="2" t="s">
        <v>379</v>
      </c>
      <c r="F1764" s="2" t="s">
        <v>38</v>
      </c>
      <c r="G1764" s="2" t="n">
        <v>41391</v>
      </c>
      <c r="H1764" s="2" t="n">
        <v>6</v>
      </c>
      <c r="I1764" s="2" t="n">
        <v>234</v>
      </c>
      <c r="J1764" s="2" t="n">
        <v>0</v>
      </c>
      <c r="K1764" s="2" t="n">
        <v>14021</v>
      </c>
      <c r="L1764" s="2" t="n">
        <v>8630</v>
      </c>
      <c r="M1764" s="2" t="n">
        <v>446</v>
      </c>
      <c r="N1764" s="2" t="n">
        <v>24</v>
      </c>
      <c r="O1764" s="2" t="n">
        <v>81</v>
      </c>
      <c r="P1764" s="2" t="n">
        <v>89</v>
      </c>
      <c r="Q1764" s="2" t="n">
        <v>48</v>
      </c>
      <c r="R1764" s="2" t="n">
        <v>11</v>
      </c>
      <c r="S1764" s="2" t="n">
        <v>14</v>
      </c>
      <c r="T1764" s="2" t="s">
        <v>79</v>
      </c>
      <c r="U1764" s="4" t="n">
        <f aca="false">(M1764+N1764+O1764+P1764)/L1764</f>
        <v>0.0741599073001159</v>
      </c>
      <c r="V1764" s="2" t="str">
        <f aca="false">IF(S1764&lt;=5,"Late night (0-5)",IF(S1764&lt;=11,"Morning (6-11)",IF(S1764&lt;=17,"Afternoon (12-17)","Evening (18-23)")))</f>
        <v>Afternoon (12-17)</v>
      </c>
    </row>
    <row r="1765" customFormat="false" ht="15" hidden="false" customHeight="false" outlineLevel="0" collapsed="false">
      <c r="A1765" s="2" t="s">
        <v>2878</v>
      </c>
      <c r="B1765" s="2" t="s">
        <v>264</v>
      </c>
      <c r="C1765" s="2" t="s">
        <v>36</v>
      </c>
      <c r="D1765" s="3" t="n">
        <v>45753</v>
      </c>
      <c r="E1765" s="2" t="s">
        <v>356</v>
      </c>
      <c r="F1765" s="2" t="s">
        <v>38</v>
      </c>
      <c r="G1765" s="2" t="n">
        <v>22362</v>
      </c>
      <c r="H1765" s="2" t="n">
        <v>20</v>
      </c>
      <c r="I1765" s="2" t="n">
        <v>264</v>
      </c>
      <c r="J1765" s="2" t="n">
        <v>1</v>
      </c>
      <c r="K1765" s="2" t="n">
        <v>18634</v>
      </c>
      <c r="L1765" s="2" t="n">
        <v>14282</v>
      </c>
      <c r="M1765" s="2" t="n">
        <v>1113</v>
      </c>
      <c r="N1765" s="2" t="n">
        <v>55</v>
      </c>
      <c r="O1765" s="2" t="n">
        <v>208</v>
      </c>
      <c r="P1765" s="2" t="n">
        <v>228</v>
      </c>
      <c r="Q1765" s="2" t="n">
        <v>255</v>
      </c>
      <c r="R1765" s="2" t="n">
        <v>58</v>
      </c>
      <c r="S1765" s="2" t="n">
        <v>19</v>
      </c>
      <c r="T1765" s="2" t="s">
        <v>27</v>
      </c>
      <c r="U1765" s="4" t="n">
        <f aca="false">(M1765+N1765+O1765+P1765)/L1765</f>
        <v>0.112309200392102</v>
      </c>
      <c r="V1765" s="2" t="str">
        <f aca="false">IF(S1765&lt;=5,"Late night (0-5)",IF(S1765&lt;=11,"Morning (6-11)",IF(S1765&lt;=17,"Afternoon (12-17)","Evening (18-23)")))</f>
        <v>Evening (18-23)</v>
      </c>
    </row>
    <row r="1766" customFormat="false" ht="15" hidden="false" customHeight="false" outlineLevel="0" collapsed="false">
      <c r="A1766" s="2" t="s">
        <v>2879</v>
      </c>
      <c r="B1766" s="2" t="s">
        <v>206</v>
      </c>
      <c r="C1766" s="2" t="s">
        <v>48</v>
      </c>
      <c r="D1766" s="3" t="n">
        <v>45665</v>
      </c>
      <c r="E1766" s="2" t="s">
        <v>1355</v>
      </c>
      <c r="F1766" s="2" t="s">
        <v>32</v>
      </c>
      <c r="G1766" s="2" t="n">
        <v>42937</v>
      </c>
      <c r="H1766" s="2" t="n">
        <v>11</v>
      </c>
      <c r="I1766" s="2" t="n">
        <v>189</v>
      </c>
      <c r="J1766" s="2" t="n">
        <v>0</v>
      </c>
      <c r="K1766" s="2" t="n">
        <v>153607</v>
      </c>
      <c r="L1766" s="2" t="n">
        <v>120488</v>
      </c>
      <c r="M1766" s="2" t="n">
        <v>8914</v>
      </c>
      <c r="N1766" s="2" t="n">
        <v>378</v>
      </c>
      <c r="O1766" s="2" t="n">
        <v>2605</v>
      </c>
      <c r="P1766" s="2" t="n">
        <v>831</v>
      </c>
      <c r="Q1766" s="2" t="n">
        <v>1565</v>
      </c>
      <c r="R1766" s="2" t="n">
        <v>193</v>
      </c>
      <c r="S1766" s="2" t="n">
        <v>21</v>
      </c>
      <c r="T1766" s="2" t="s">
        <v>66</v>
      </c>
      <c r="U1766" s="4" t="n">
        <f aca="false">(M1766+N1766+O1766+P1766)/L1766</f>
        <v>0.105637075891375</v>
      </c>
      <c r="V1766" s="2" t="str">
        <f aca="false">IF(S1766&lt;=5,"Late night (0-5)",IF(S1766&lt;=11,"Morning (6-11)",IF(S1766&lt;=17,"Afternoon (12-17)","Evening (18-23)")))</f>
        <v>Evening (18-23)</v>
      </c>
    </row>
    <row r="1767" customFormat="false" ht="15" hidden="false" customHeight="false" outlineLevel="0" collapsed="false">
      <c r="A1767" s="2" t="s">
        <v>2880</v>
      </c>
      <c r="B1767" s="2" t="s">
        <v>264</v>
      </c>
      <c r="C1767" s="2" t="s">
        <v>36</v>
      </c>
      <c r="D1767" s="3" t="n">
        <v>45950</v>
      </c>
      <c r="E1767" s="2" t="s">
        <v>1112</v>
      </c>
      <c r="F1767" s="2" t="s">
        <v>32</v>
      </c>
      <c r="G1767" s="2" t="n">
        <v>22362</v>
      </c>
      <c r="H1767" s="2" t="n">
        <v>18</v>
      </c>
      <c r="I1767" s="2" t="n">
        <v>155</v>
      </c>
      <c r="J1767" s="2" t="n">
        <v>0</v>
      </c>
      <c r="K1767" s="2" t="n">
        <v>16684</v>
      </c>
      <c r="L1767" s="2" t="n">
        <v>9319</v>
      </c>
      <c r="M1767" s="2" t="n">
        <v>460</v>
      </c>
      <c r="N1767" s="2" t="n">
        <v>30</v>
      </c>
      <c r="O1767" s="2" t="n">
        <v>85</v>
      </c>
      <c r="P1767" s="2" t="n">
        <v>104</v>
      </c>
      <c r="Q1767" s="2" t="n">
        <v>155</v>
      </c>
      <c r="R1767" s="2" t="n">
        <v>15</v>
      </c>
      <c r="S1767" s="2" t="n">
        <v>18</v>
      </c>
      <c r="T1767" s="2" t="s">
        <v>33</v>
      </c>
      <c r="U1767" s="4" t="n">
        <f aca="false">(M1767+N1767+O1767+P1767)/L1767</f>
        <v>0.0728618950531173</v>
      </c>
      <c r="V1767" s="2" t="str">
        <f aca="false">IF(S1767&lt;=5,"Late night (0-5)",IF(S1767&lt;=11,"Morning (6-11)",IF(S1767&lt;=17,"Afternoon (12-17)","Evening (18-23)")))</f>
        <v>Evening (18-23)</v>
      </c>
    </row>
    <row r="1768" customFormat="false" ht="15" hidden="false" customHeight="false" outlineLevel="0" collapsed="false">
      <c r="A1768" s="2" t="s">
        <v>2881</v>
      </c>
      <c r="B1768" s="2" t="s">
        <v>123</v>
      </c>
      <c r="C1768" s="2" t="s">
        <v>24</v>
      </c>
      <c r="D1768" s="3" t="n">
        <v>45860</v>
      </c>
      <c r="E1768" s="2" t="s">
        <v>1865</v>
      </c>
      <c r="F1768" s="2" t="s">
        <v>32</v>
      </c>
      <c r="G1768" s="2" t="n">
        <v>41391</v>
      </c>
      <c r="H1768" s="2" t="n">
        <v>14</v>
      </c>
      <c r="I1768" s="2" t="n">
        <v>86</v>
      </c>
      <c r="J1768" s="2" t="n">
        <v>1</v>
      </c>
      <c r="K1768" s="2" t="n">
        <v>90842</v>
      </c>
      <c r="L1768" s="2" t="n">
        <v>56097</v>
      </c>
      <c r="M1768" s="2" t="n">
        <v>4933</v>
      </c>
      <c r="N1768" s="2" t="n">
        <v>356</v>
      </c>
      <c r="O1768" s="2" t="n">
        <v>925</v>
      </c>
      <c r="P1768" s="2" t="n">
        <v>1389</v>
      </c>
      <c r="Q1768" s="2" t="n">
        <v>1525</v>
      </c>
      <c r="R1768" s="2" t="n">
        <v>399</v>
      </c>
      <c r="S1768" s="2" t="n">
        <v>17</v>
      </c>
      <c r="T1768" s="2" t="s">
        <v>51</v>
      </c>
      <c r="U1768" s="4" t="n">
        <f aca="false">(M1768+N1768+O1768+P1768)/L1768</f>
        <v>0.135533094461379</v>
      </c>
      <c r="V1768" s="2" t="str">
        <f aca="false">IF(S1768&lt;=5,"Late night (0-5)",IF(S1768&lt;=11,"Morning (6-11)",IF(S1768&lt;=17,"Afternoon (12-17)","Evening (18-23)")))</f>
        <v>Afternoon (12-17)</v>
      </c>
    </row>
    <row r="1769" customFormat="false" ht="15" hidden="false" customHeight="false" outlineLevel="0" collapsed="false">
      <c r="A1769" s="2" t="s">
        <v>2882</v>
      </c>
      <c r="B1769" s="2" t="s">
        <v>138</v>
      </c>
      <c r="C1769" s="2" t="s">
        <v>41</v>
      </c>
      <c r="D1769" s="3" t="n">
        <v>45737</v>
      </c>
      <c r="E1769" s="2" t="s">
        <v>2883</v>
      </c>
      <c r="F1769" s="2" t="s">
        <v>32</v>
      </c>
      <c r="G1769" s="2" t="n">
        <v>18712</v>
      </c>
      <c r="H1769" s="2" t="n">
        <v>8</v>
      </c>
      <c r="I1769" s="2" t="n">
        <v>60</v>
      </c>
      <c r="J1769" s="2" t="n">
        <v>0</v>
      </c>
      <c r="K1769" s="2" t="n">
        <v>55470</v>
      </c>
      <c r="L1769" s="2" t="n">
        <v>34350</v>
      </c>
      <c r="M1769" s="2" t="n">
        <v>2921</v>
      </c>
      <c r="N1769" s="2" t="n">
        <v>121</v>
      </c>
      <c r="O1769" s="2" t="n">
        <v>165</v>
      </c>
      <c r="P1769" s="2" t="n">
        <v>151</v>
      </c>
      <c r="Q1769" s="2" t="n">
        <v>880</v>
      </c>
      <c r="R1769" s="2" t="n">
        <v>114</v>
      </c>
      <c r="S1769" s="2" t="n">
        <v>23</v>
      </c>
      <c r="T1769" s="2" t="s">
        <v>96</v>
      </c>
      <c r="U1769" s="4" t="n">
        <f aca="false">(M1769+N1769+O1769+P1769)/L1769</f>
        <v>0.0977583697234352</v>
      </c>
      <c r="V1769" s="2" t="str">
        <f aca="false">IF(S1769&lt;=5,"Late night (0-5)",IF(S1769&lt;=11,"Morning (6-11)",IF(S1769&lt;=17,"Afternoon (12-17)","Evening (18-23)")))</f>
        <v>Evening (18-23)</v>
      </c>
    </row>
    <row r="1770" customFormat="false" ht="15" hidden="false" customHeight="false" outlineLevel="0" collapsed="false">
      <c r="A1770" s="2" t="s">
        <v>2884</v>
      </c>
      <c r="B1770" s="2" t="s">
        <v>220</v>
      </c>
      <c r="C1770" s="2" t="s">
        <v>48</v>
      </c>
      <c r="D1770" s="3" t="n">
        <v>45972</v>
      </c>
      <c r="E1770" s="2" t="s">
        <v>2395</v>
      </c>
      <c r="F1770" s="2" t="s">
        <v>32</v>
      </c>
      <c r="G1770" s="2" t="n">
        <v>18917</v>
      </c>
      <c r="H1770" s="2" t="n">
        <v>20</v>
      </c>
      <c r="I1770" s="2" t="n">
        <v>124</v>
      </c>
      <c r="J1770" s="2" t="n">
        <v>1</v>
      </c>
      <c r="K1770" s="2" t="n">
        <v>14403</v>
      </c>
      <c r="L1770" s="2" t="n">
        <v>9291</v>
      </c>
      <c r="M1770" s="2" t="n">
        <v>658</v>
      </c>
      <c r="N1770" s="2" t="n">
        <v>24</v>
      </c>
      <c r="O1770" s="2" t="n">
        <v>73</v>
      </c>
      <c r="P1770" s="2" t="n">
        <v>69</v>
      </c>
      <c r="Q1770" s="2" t="n">
        <v>168</v>
      </c>
      <c r="R1770" s="2" t="n">
        <v>9</v>
      </c>
      <c r="S1770" s="2" t="n">
        <v>14</v>
      </c>
      <c r="T1770" s="2" t="s">
        <v>51</v>
      </c>
      <c r="U1770" s="4" t="n">
        <f aca="false">(M1770+N1770+O1770+P1770)/L1770</f>
        <v>0.0886879776127435</v>
      </c>
      <c r="V1770" s="2" t="str">
        <f aca="false">IF(S1770&lt;=5,"Late night (0-5)",IF(S1770&lt;=11,"Morning (6-11)",IF(S1770&lt;=17,"Afternoon (12-17)","Evening (18-23)")))</f>
        <v>Afternoon (12-17)</v>
      </c>
    </row>
    <row r="1771" customFormat="false" ht="15" hidden="false" customHeight="false" outlineLevel="0" collapsed="false">
      <c r="A1771" s="2" t="s">
        <v>2885</v>
      </c>
      <c r="B1771" s="2" t="s">
        <v>220</v>
      </c>
      <c r="C1771" s="2" t="s">
        <v>48</v>
      </c>
      <c r="D1771" s="3" t="n">
        <v>45847</v>
      </c>
      <c r="E1771" s="2" t="s">
        <v>2886</v>
      </c>
      <c r="F1771" s="2" t="s">
        <v>26</v>
      </c>
      <c r="G1771" s="2" t="n">
        <v>18917</v>
      </c>
      <c r="H1771" s="2" t="n">
        <v>5</v>
      </c>
      <c r="I1771" s="2" t="n">
        <v>107</v>
      </c>
      <c r="J1771" s="2" t="n">
        <v>1</v>
      </c>
      <c r="K1771" s="2" t="n">
        <v>24275</v>
      </c>
      <c r="L1771" s="2" t="n">
        <v>14144</v>
      </c>
      <c r="M1771" s="2" t="n">
        <v>1013</v>
      </c>
      <c r="N1771" s="2" t="n">
        <v>71</v>
      </c>
      <c r="O1771" s="2" t="n">
        <v>175</v>
      </c>
      <c r="P1771" s="2" t="n">
        <v>82</v>
      </c>
      <c r="Q1771" s="2" t="n">
        <v>343</v>
      </c>
      <c r="R1771" s="2" t="n">
        <v>83</v>
      </c>
      <c r="S1771" s="2" t="n">
        <v>14</v>
      </c>
      <c r="T1771" s="2" t="s">
        <v>66</v>
      </c>
      <c r="U1771" s="4" t="n">
        <f aca="false">(M1771+N1771+O1771+P1771)/L1771</f>
        <v>0.094810520361991</v>
      </c>
      <c r="V1771" s="2" t="str">
        <f aca="false">IF(S1771&lt;=5,"Late night (0-5)",IF(S1771&lt;=11,"Morning (6-11)",IF(S1771&lt;=17,"Afternoon (12-17)","Evening (18-23)")))</f>
        <v>Afternoon (12-17)</v>
      </c>
    </row>
    <row r="1772" customFormat="false" ht="15" hidden="false" customHeight="false" outlineLevel="0" collapsed="false">
      <c r="A1772" s="2" t="s">
        <v>2887</v>
      </c>
      <c r="B1772" s="2" t="s">
        <v>53</v>
      </c>
      <c r="C1772" s="2" t="s">
        <v>54</v>
      </c>
      <c r="D1772" s="3" t="n">
        <v>46017</v>
      </c>
      <c r="E1772" s="2" t="s">
        <v>2888</v>
      </c>
      <c r="F1772" s="2" t="s">
        <v>38</v>
      </c>
      <c r="G1772" s="2" t="n">
        <v>11318</v>
      </c>
      <c r="H1772" s="2" t="n">
        <v>7</v>
      </c>
      <c r="I1772" s="2" t="n">
        <v>237</v>
      </c>
      <c r="J1772" s="2" t="n">
        <v>1</v>
      </c>
      <c r="K1772" s="2" t="n">
        <v>3507</v>
      </c>
      <c r="L1772" s="2" t="n">
        <v>2791</v>
      </c>
      <c r="M1772" s="2" t="n">
        <v>151</v>
      </c>
      <c r="N1772" s="2" t="n">
        <v>4</v>
      </c>
      <c r="O1772" s="2" t="n">
        <v>22</v>
      </c>
      <c r="P1772" s="2" t="n">
        <v>24</v>
      </c>
      <c r="Q1772" s="2" t="n">
        <v>42</v>
      </c>
      <c r="R1772" s="2" t="n">
        <v>11</v>
      </c>
      <c r="S1772" s="2" t="n">
        <v>3</v>
      </c>
      <c r="T1772" s="2" t="s">
        <v>96</v>
      </c>
      <c r="U1772" s="4" t="n">
        <f aca="false">(M1772+N1772+O1772+P1772)/L1772</f>
        <v>0.0720171981368685</v>
      </c>
      <c r="V1772" s="2" t="str">
        <f aca="false">IF(S1772&lt;=5,"Late night (0-5)",IF(S1772&lt;=11,"Morning (6-11)",IF(S1772&lt;=17,"Afternoon (12-17)","Evening (18-23)")))</f>
        <v>Late night (0-5)</v>
      </c>
    </row>
    <row r="1773" customFormat="false" ht="15" hidden="false" customHeight="false" outlineLevel="0" collapsed="false">
      <c r="A1773" s="2" t="s">
        <v>2889</v>
      </c>
      <c r="B1773" s="2" t="s">
        <v>103</v>
      </c>
      <c r="C1773" s="2" t="s">
        <v>36</v>
      </c>
      <c r="D1773" s="3" t="n">
        <v>45678</v>
      </c>
      <c r="E1773" s="2" t="s">
        <v>1551</v>
      </c>
      <c r="F1773" s="2" t="s">
        <v>26</v>
      </c>
      <c r="G1773" s="2" t="n">
        <v>56979</v>
      </c>
      <c r="H1773" s="2" t="n">
        <v>0</v>
      </c>
      <c r="I1773" s="2" t="n">
        <v>345</v>
      </c>
      <c r="J1773" s="2" t="n">
        <v>0</v>
      </c>
      <c r="K1773" s="2" t="n">
        <v>141691</v>
      </c>
      <c r="L1773" s="2" t="n">
        <v>89749</v>
      </c>
      <c r="M1773" s="2" t="n">
        <v>5018</v>
      </c>
      <c r="N1773" s="2" t="n">
        <v>110</v>
      </c>
      <c r="O1773" s="2" t="n">
        <v>610</v>
      </c>
      <c r="P1773" s="2" t="n">
        <v>1511</v>
      </c>
      <c r="Q1773" s="2" t="n">
        <v>2028</v>
      </c>
      <c r="R1773" s="2" t="n">
        <v>409</v>
      </c>
      <c r="S1773" s="2" t="n">
        <v>20</v>
      </c>
      <c r="T1773" s="2" t="s">
        <v>51</v>
      </c>
      <c r="U1773" s="4" t="n">
        <f aca="false">(M1773+N1773+O1773+P1773)/L1773</f>
        <v>0.0807697021693835</v>
      </c>
      <c r="V1773" s="2" t="str">
        <f aca="false">IF(S1773&lt;=5,"Late night (0-5)",IF(S1773&lt;=11,"Morning (6-11)",IF(S1773&lt;=17,"Afternoon (12-17)","Evening (18-23)")))</f>
        <v>Evening (18-23)</v>
      </c>
    </row>
    <row r="1774" customFormat="false" ht="15" hidden="false" customHeight="false" outlineLevel="0" collapsed="false">
      <c r="A1774" s="2" t="s">
        <v>2890</v>
      </c>
      <c r="B1774" s="2" t="s">
        <v>114</v>
      </c>
      <c r="C1774" s="2" t="s">
        <v>84</v>
      </c>
      <c r="D1774" s="3" t="n">
        <v>45729</v>
      </c>
      <c r="E1774" s="2" t="s">
        <v>2643</v>
      </c>
      <c r="F1774" s="2" t="s">
        <v>26</v>
      </c>
      <c r="G1774" s="2" t="n">
        <v>64307</v>
      </c>
      <c r="H1774" s="2" t="n">
        <v>17</v>
      </c>
      <c r="I1774" s="2" t="n">
        <v>153</v>
      </c>
      <c r="J1774" s="2" t="n">
        <v>0</v>
      </c>
      <c r="K1774" s="2" t="n">
        <v>60313</v>
      </c>
      <c r="L1774" s="2" t="n">
        <v>40490</v>
      </c>
      <c r="M1774" s="2" t="n">
        <v>1354</v>
      </c>
      <c r="N1774" s="2" t="n">
        <v>75</v>
      </c>
      <c r="O1774" s="2" t="n">
        <v>139</v>
      </c>
      <c r="P1774" s="2" t="n">
        <v>430</v>
      </c>
      <c r="Q1774" s="2" t="n">
        <v>250</v>
      </c>
      <c r="R1774" s="2" t="n">
        <v>56</v>
      </c>
      <c r="S1774" s="2" t="n">
        <v>2</v>
      </c>
      <c r="T1774" s="2" t="s">
        <v>79</v>
      </c>
      <c r="U1774" s="4" t="n">
        <f aca="false">(M1774+N1774+O1774+P1774)/L1774</f>
        <v>0.0493455174117066</v>
      </c>
      <c r="V1774" s="2" t="str">
        <f aca="false">IF(S1774&lt;=5,"Late night (0-5)",IF(S1774&lt;=11,"Morning (6-11)",IF(S1774&lt;=17,"Afternoon (12-17)","Evening (18-23)")))</f>
        <v>Late night (0-5)</v>
      </c>
    </row>
    <row r="1775" customFormat="false" ht="15" hidden="false" customHeight="false" outlineLevel="0" collapsed="false">
      <c r="A1775" s="2" t="s">
        <v>2891</v>
      </c>
      <c r="B1775" s="2" t="s">
        <v>106</v>
      </c>
      <c r="C1775" s="2" t="s">
        <v>91</v>
      </c>
      <c r="D1775" s="3" t="n">
        <v>45977</v>
      </c>
      <c r="E1775" s="2" t="s">
        <v>165</v>
      </c>
      <c r="F1775" s="2" t="s">
        <v>38</v>
      </c>
      <c r="G1775" s="2" t="n">
        <v>59477</v>
      </c>
      <c r="H1775" s="2" t="n">
        <v>12</v>
      </c>
      <c r="I1775" s="2" t="n">
        <v>153</v>
      </c>
      <c r="J1775" s="2" t="n">
        <v>0</v>
      </c>
      <c r="K1775" s="2" t="n">
        <v>31133</v>
      </c>
      <c r="L1775" s="2" t="n">
        <v>19596</v>
      </c>
      <c r="M1775" s="2" t="n">
        <v>1024</v>
      </c>
      <c r="N1775" s="2" t="n">
        <v>63</v>
      </c>
      <c r="O1775" s="2" t="n">
        <v>67</v>
      </c>
      <c r="P1775" s="2" t="n">
        <v>216</v>
      </c>
      <c r="Q1775" s="2" t="n">
        <v>159</v>
      </c>
      <c r="R1775" s="2" t="n">
        <v>14</v>
      </c>
      <c r="S1775" s="2" t="n">
        <v>9</v>
      </c>
      <c r="T1775" s="2" t="s">
        <v>27</v>
      </c>
      <c r="U1775" s="4" t="n">
        <f aca="false">(M1775+N1775+O1775+P1775)/L1775</f>
        <v>0.069912226985099</v>
      </c>
      <c r="V1775" s="2" t="str">
        <f aca="false">IF(S1775&lt;=5,"Late night (0-5)",IF(S1775&lt;=11,"Morning (6-11)",IF(S1775&lt;=17,"Afternoon (12-17)","Evening (18-23)")))</f>
        <v>Morning (6-11)</v>
      </c>
    </row>
    <row r="1776" customFormat="false" ht="15" hidden="false" customHeight="false" outlineLevel="0" collapsed="false">
      <c r="A1776" s="2" t="s">
        <v>2892</v>
      </c>
      <c r="B1776" s="2" t="s">
        <v>53</v>
      </c>
      <c r="C1776" s="2" t="s">
        <v>54</v>
      </c>
      <c r="D1776" s="3" t="n">
        <v>45935</v>
      </c>
      <c r="E1776" s="2" t="s">
        <v>623</v>
      </c>
      <c r="F1776" s="2" t="s">
        <v>38</v>
      </c>
      <c r="G1776" s="2" t="n">
        <v>11318</v>
      </c>
      <c r="H1776" s="2" t="n">
        <v>8</v>
      </c>
      <c r="I1776" s="2" t="n">
        <v>282</v>
      </c>
      <c r="J1776" s="2" t="n">
        <v>1</v>
      </c>
      <c r="K1776" s="2" t="n">
        <v>10838</v>
      </c>
      <c r="L1776" s="2" t="n">
        <v>6654</v>
      </c>
      <c r="M1776" s="2" t="n">
        <v>402</v>
      </c>
      <c r="N1776" s="2" t="n">
        <v>18</v>
      </c>
      <c r="O1776" s="2" t="n">
        <v>80</v>
      </c>
      <c r="P1776" s="2" t="n">
        <v>87</v>
      </c>
      <c r="Q1776" s="2" t="n">
        <v>118</v>
      </c>
      <c r="R1776" s="2" t="n">
        <v>17</v>
      </c>
      <c r="S1776" s="2" t="n">
        <v>22</v>
      </c>
      <c r="T1776" s="2" t="s">
        <v>27</v>
      </c>
      <c r="U1776" s="4" t="n">
        <f aca="false">(M1776+N1776+O1776+P1776)/L1776</f>
        <v>0.0882176134655846</v>
      </c>
      <c r="V1776" s="2" t="str">
        <f aca="false">IF(S1776&lt;=5,"Late night (0-5)",IF(S1776&lt;=11,"Morning (6-11)",IF(S1776&lt;=17,"Afternoon (12-17)","Evening (18-23)")))</f>
        <v>Evening (18-23)</v>
      </c>
    </row>
    <row r="1777" customFormat="false" ht="15" hidden="false" customHeight="false" outlineLevel="0" collapsed="false">
      <c r="A1777" s="2" t="s">
        <v>2893</v>
      </c>
      <c r="B1777" s="2" t="s">
        <v>132</v>
      </c>
      <c r="C1777" s="2" t="s">
        <v>36</v>
      </c>
      <c r="D1777" s="3" t="n">
        <v>45968</v>
      </c>
      <c r="E1777" s="2" t="s">
        <v>2089</v>
      </c>
      <c r="F1777" s="2" t="s">
        <v>38</v>
      </c>
      <c r="G1777" s="2" t="n">
        <v>83053</v>
      </c>
      <c r="H1777" s="2" t="n">
        <v>13</v>
      </c>
      <c r="I1777" s="2" t="n">
        <v>162</v>
      </c>
      <c r="J1777" s="2" t="n">
        <v>1</v>
      </c>
      <c r="K1777" s="2" t="n">
        <v>36589</v>
      </c>
      <c r="L1777" s="2" t="n">
        <v>25963</v>
      </c>
      <c r="M1777" s="2" t="n">
        <v>849</v>
      </c>
      <c r="N1777" s="2" t="n">
        <v>40</v>
      </c>
      <c r="O1777" s="2" t="n">
        <v>92</v>
      </c>
      <c r="P1777" s="2" t="n">
        <v>80</v>
      </c>
      <c r="Q1777" s="2" t="n">
        <v>638</v>
      </c>
      <c r="R1777" s="2" t="n">
        <v>144</v>
      </c>
      <c r="S1777" s="2" t="n">
        <v>1</v>
      </c>
      <c r="T1777" s="2" t="s">
        <v>96</v>
      </c>
      <c r="U1777" s="4" t="n">
        <f aca="false">(M1777+N1777+O1777+P1777)/L1777</f>
        <v>0.0408658475522859</v>
      </c>
      <c r="V1777" s="2" t="str">
        <f aca="false">IF(S1777&lt;=5,"Late night (0-5)",IF(S1777&lt;=11,"Morning (6-11)",IF(S1777&lt;=17,"Afternoon (12-17)","Evening (18-23)")))</f>
        <v>Late night (0-5)</v>
      </c>
    </row>
    <row r="1778" customFormat="false" ht="15" hidden="false" customHeight="false" outlineLevel="0" collapsed="false">
      <c r="A1778" s="2" t="s">
        <v>2894</v>
      </c>
      <c r="B1778" s="2" t="s">
        <v>345</v>
      </c>
      <c r="C1778" s="2" t="s">
        <v>30</v>
      </c>
      <c r="D1778" s="3" t="n">
        <v>45783</v>
      </c>
      <c r="E1778" s="2" t="s">
        <v>1373</v>
      </c>
      <c r="F1778" s="2" t="s">
        <v>26</v>
      </c>
      <c r="G1778" s="2" t="n">
        <v>8662</v>
      </c>
      <c r="H1778" s="2" t="n">
        <v>11</v>
      </c>
      <c r="I1778" s="2" t="n">
        <v>240</v>
      </c>
      <c r="J1778" s="2" t="n">
        <v>1</v>
      </c>
      <c r="K1778" s="2" t="n">
        <v>3216</v>
      </c>
      <c r="L1778" s="2" t="n">
        <v>2053</v>
      </c>
      <c r="M1778" s="2" t="n">
        <v>71</v>
      </c>
      <c r="N1778" s="2" t="n">
        <v>2</v>
      </c>
      <c r="O1778" s="2" t="n">
        <v>2</v>
      </c>
      <c r="P1778" s="2" t="n">
        <v>7</v>
      </c>
      <c r="Q1778" s="2" t="n">
        <v>24</v>
      </c>
      <c r="R1778" s="2" t="n">
        <v>2</v>
      </c>
      <c r="S1778" s="2" t="n">
        <v>2</v>
      </c>
      <c r="T1778" s="2" t="s">
        <v>51</v>
      </c>
      <c r="U1778" s="4" t="n">
        <f aca="false">(M1778+N1778+O1778+P1778)/L1778</f>
        <v>0.0399415489527521</v>
      </c>
      <c r="V1778" s="2" t="str">
        <f aca="false">IF(S1778&lt;=5,"Late night (0-5)",IF(S1778&lt;=11,"Morning (6-11)",IF(S1778&lt;=17,"Afternoon (12-17)","Evening (18-23)")))</f>
        <v>Late night (0-5)</v>
      </c>
    </row>
    <row r="1779" customFormat="false" ht="15" hidden="false" customHeight="false" outlineLevel="0" collapsed="false">
      <c r="A1779" s="2" t="s">
        <v>2895</v>
      </c>
      <c r="B1779" s="2" t="s">
        <v>452</v>
      </c>
      <c r="C1779" s="2" t="s">
        <v>91</v>
      </c>
      <c r="D1779" s="3" t="n">
        <v>45811</v>
      </c>
      <c r="E1779" s="2" t="s">
        <v>760</v>
      </c>
      <c r="F1779" s="2" t="s">
        <v>26</v>
      </c>
      <c r="G1779" s="2" t="n">
        <v>14201</v>
      </c>
      <c r="H1779" s="2" t="n">
        <v>10</v>
      </c>
      <c r="I1779" s="2" t="n">
        <v>71</v>
      </c>
      <c r="J1779" s="2" t="n">
        <v>1</v>
      </c>
      <c r="K1779" s="2" t="n">
        <v>10289</v>
      </c>
      <c r="L1779" s="2" t="n">
        <v>6409</v>
      </c>
      <c r="M1779" s="2" t="n">
        <v>317</v>
      </c>
      <c r="N1779" s="2" t="n">
        <v>9</v>
      </c>
      <c r="O1779" s="2" t="n">
        <v>37</v>
      </c>
      <c r="P1779" s="2" t="n">
        <v>58</v>
      </c>
      <c r="Q1779" s="2" t="n">
        <v>95</v>
      </c>
      <c r="R1779" s="2" t="n">
        <v>12</v>
      </c>
      <c r="S1779" s="2" t="n">
        <v>9</v>
      </c>
      <c r="T1779" s="2" t="s">
        <v>51</v>
      </c>
      <c r="U1779" s="4" t="n">
        <f aca="false">(M1779+N1779+O1779+P1779)/L1779</f>
        <v>0.0656888750195038</v>
      </c>
      <c r="V1779" s="2" t="str">
        <f aca="false">IF(S1779&lt;=5,"Late night (0-5)",IF(S1779&lt;=11,"Morning (6-11)",IF(S1779&lt;=17,"Afternoon (12-17)","Evening (18-23)")))</f>
        <v>Morning (6-11)</v>
      </c>
    </row>
    <row r="1780" customFormat="false" ht="15" hidden="false" customHeight="false" outlineLevel="0" collapsed="false">
      <c r="A1780" s="2" t="s">
        <v>2896</v>
      </c>
      <c r="B1780" s="2" t="s">
        <v>227</v>
      </c>
      <c r="C1780" s="2" t="s">
        <v>54</v>
      </c>
      <c r="D1780" s="3" t="n">
        <v>45838</v>
      </c>
      <c r="E1780" s="2" t="s">
        <v>2897</v>
      </c>
      <c r="F1780" s="2" t="s">
        <v>26</v>
      </c>
      <c r="G1780" s="2" t="n">
        <v>11796</v>
      </c>
      <c r="H1780" s="2" t="n">
        <v>18</v>
      </c>
      <c r="I1780" s="2" t="n">
        <v>186</v>
      </c>
      <c r="J1780" s="2" t="n">
        <v>1</v>
      </c>
      <c r="K1780" s="2" t="n">
        <v>7290</v>
      </c>
      <c r="L1780" s="2" t="n">
        <v>4766</v>
      </c>
      <c r="M1780" s="2" t="n">
        <v>395</v>
      </c>
      <c r="N1780" s="2" t="n">
        <v>14</v>
      </c>
      <c r="O1780" s="2" t="n">
        <v>57</v>
      </c>
      <c r="P1780" s="2" t="n">
        <v>48</v>
      </c>
      <c r="Q1780" s="2" t="n">
        <v>44</v>
      </c>
      <c r="R1780" s="2" t="n">
        <v>12</v>
      </c>
      <c r="S1780" s="2" t="n">
        <v>1</v>
      </c>
      <c r="T1780" s="2" t="s">
        <v>33</v>
      </c>
      <c r="U1780" s="4" t="n">
        <f aca="false">(M1780+N1780+O1780+P1780)/L1780</f>
        <v>0.107847251363827</v>
      </c>
      <c r="V1780" s="2" t="str">
        <f aca="false">IF(S1780&lt;=5,"Late night (0-5)",IF(S1780&lt;=11,"Morning (6-11)",IF(S1780&lt;=17,"Afternoon (12-17)","Evening (18-23)")))</f>
        <v>Late night (0-5)</v>
      </c>
    </row>
    <row r="1781" customFormat="false" ht="15" hidden="false" customHeight="false" outlineLevel="0" collapsed="false">
      <c r="A1781" s="2" t="s">
        <v>2898</v>
      </c>
      <c r="B1781" s="2" t="s">
        <v>188</v>
      </c>
      <c r="C1781" s="2" t="s">
        <v>30</v>
      </c>
      <c r="D1781" s="3" t="n">
        <v>45826</v>
      </c>
      <c r="E1781" s="2" t="s">
        <v>492</v>
      </c>
      <c r="F1781" s="2" t="s">
        <v>38</v>
      </c>
      <c r="G1781" s="2" t="n">
        <v>38900</v>
      </c>
      <c r="H1781" s="2" t="n">
        <v>21</v>
      </c>
      <c r="I1781" s="2" t="n">
        <v>53</v>
      </c>
      <c r="J1781" s="2" t="n">
        <v>1</v>
      </c>
      <c r="K1781" s="2" t="n">
        <v>19624</v>
      </c>
      <c r="L1781" s="2" t="n">
        <v>17150</v>
      </c>
      <c r="M1781" s="2" t="n">
        <v>1345</v>
      </c>
      <c r="N1781" s="2" t="n">
        <v>76</v>
      </c>
      <c r="O1781" s="2" t="n">
        <v>138</v>
      </c>
      <c r="P1781" s="2" t="n">
        <v>337</v>
      </c>
      <c r="Q1781" s="2" t="n">
        <v>280</v>
      </c>
      <c r="R1781" s="2" t="n">
        <v>29</v>
      </c>
      <c r="S1781" s="2" t="n">
        <v>12</v>
      </c>
      <c r="T1781" s="2" t="s">
        <v>66</v>
      </c>
      <c r="U1781" s="4" t="n">
        <f aca="false">(M1781+N1781+O1781+P1781)/L1781</f>
        <v>0.110553935860058</v>
      </c>
      <c r="V1781" s="2" t="str">
        <f aca="false">IF(S1781&lt;=5,"Late night (0-5)",IF(S1781&lt;=11,"Morning (6-11)",IF(S1781&lt;=17,"Afternoon (12-17)","Evening (18-23)")))</f>
        <v>Afternoon (12-17)</v>
      </c>
    </row>
    <row r="1782" customFormat="false" ht="15" hidden="false" customHeight="false" outlineLevel="0" collapsed="false">
      <c r="A1782" s="2" t="s">
        <v>2899</v>
      </c>
      <c r="B1782" s="2" t="s">
        <v>132</v>
      </c>
      <c r="C1782" s="2" t="s">
        <v>36</v>
      </c>
      <c r="D1782" s="3" t="n">
        <v>45959</v>
      </c>
      <c r="E1782" s="2" t="s">
        <v>1900</v>
      </c>
      <c r="F1782" s="2" t="s">
        <v>38</v>
      </c>
      <c r="G1782" s="2" t="n">
        <v>83053</v>
      </c>
      <c r="H1782" s="2" t="n">
        <v>12</v>
      </c>
      <c r="I1782" s="2" t="n">
        <v>248</v>
      </c>
      <c r="J1782" s="2" t="n">
        <v>0</v>
      </c>
      <c r="K1782" s="2" t="n">
        <v>41571</v>
      </c>
      <c r="L1782" s="2" t="n">
        <v>34938</v>
      </c>
      <c r="M1782" s="2" t="n">
        <v>3094</v>
      </c>
      <c r="N1782" s="2" t="n">
        <v>99</v>
      </c>
      <c r="O1782" s="2" t="n">
        <v>164</v>
      </c>
      <c r="P1782" s="2" t="n">
        <v>638</v>
      </c>
      <c r="Q1782" s="2" t="n">
        <v>453</v>
      </c>
      <c r="R1782" s="2" t="n">
        <v>37</v>
      </c>
      <c r="S1782" s="2" t="n">
        <v>12</v>
      </c>
      <c r="T1782" s="2" t="s">
        <v>66</v>
      </c>
      <c r="U1782" s="4" t="n">
        <f aca="false">(M1782+N1782+O1782+P1782)/L1782</f>
        <v>0.11434541187246</v>
      </c>
      <c r="V1782" s="2" t="str">
        <f aca="false">IF(S1782&lt;=5,"Late night (0-5)",IF(S1782&lt;=11,"Morning (6-11)",IF(S1782&lt;=17,"Afternoon (12-17)","Evening (18-23)")))</f>
        <v>Afternoon (12-17)</v>
      </c>
    </row>
    <row r="1783" customFormat="false" ht="15" hidden="false" customHeight="false" outlineLevel="0" collapsed="false">
      <c r="A1783" s="2" t="s">
        <v>2900</v>
      </c>
      <c r="B1783" s="2" t="s">
        <v>154</v>
      </c>
      <c r="C1783" s="2" t="s">
        <v>41</v>
      </c>
      <c r="D1783" s="3" t="n">
        <v>45960</v>
      </c>
      <c r="E1783" s="2" t="s">
        <v>339</v>
      </c>
      <c r="F1783" s="2" t="s">
        <v>32</v>
      </c>
      <c r="G1783" s="2" t="n">
        <v>33644</v>
      </c>
      <c r="H1783" s="2" t="n">
        <v>3</v>
      </c>
      <c r="I1783" s="2" t="n">
        <v>271</v>
      </c>
      <c r="J1783" s="2" t="n">
        <v>0</v>
      </c>
      <c r="K1783" s="2" t="n">
        <v>47931</v>
      </c>
      <c r="L1783" s="2" t="n">
        <v>40288</v>
      </c>
      <c r="M1783" s="2" t="n">
        <v>4149</v>
      </c>
      <c r="N1783" s="2" t="n">
        <v>208</v>
      </c>
      <c r="O1783" s="2" t="n">
        <v>1053</v>
      </c>
      <c r="P1783" s="2" t="n">
        <v>885</v>
      </c>
      <c r="Q1783" s="2" t="n">
        <v>916</v>
      </c>
      <c r="R1783" s="2" t="n">
        <v>209</v>
      </c>
      <c r="S1783" s="2" t="n">
        <v>20</v>
      </c>
      <c r="T1783" s="2" t="s">
        <v>79</v>
      </c>
      <c r="U1783" s="4" t="n">
        <f aca="false">(M1783+N1783+O1783+P1783)/L1783</f>
        <v>0.15625</v>
      </c>
      <c r="V1783" s="2" t="str">
        <f aca="false">IF(S1783&lt;=5,"Late night (0-5)",IF(S1783&lt;=11,"Morning (6-11)",IF(S1783&lt;=17,"Afternoon (12-17)","Evening (18-23)")))</f>
        <v>Evening (18-23)</v>
      </c>
    </row>
    <row r="1784" customFormat="false" ht="15" hidden="false" customHeight="false" outlineLevel="0" collapsed="false">
      <c r="A1784" s="2" t="s">
        <v>2901</v>
      </c>
      <c r="B1784" s="2" t="s">
        <v>459</v>
      </c>
      <c r="C1784" s="2" t="s">
        <v>84</v>
      </c>
      <c r="D1784" s="3" t="n">
        <v>45790</v>
      </c>
      <c r="E1784" s="2" t="s">
        <v>214</v>
      </c>
      <c r="F1784" s="2" t="s">
        <v>32</v>
      </c>
      <c r="G1784" s="2" t="n">
        <v>19744</v>
      </c>
      <c r="H1784" s="2" t="n">
        <v>5</v>
      </c>
      <c r="I1784" s="2" t="n">
        <v>10</v>
      </c>
      <c r="J1784" s="2" t="n">
        <v>1</v>
      </c>
      <c r="K1784" s="2" t="n">
        <v>15297</v>
      </c>
      <c r="L1784" s="2" t="n">
        <v>9382</v>
      </c>
      <c r="M1784" s="2" t="n">
        <v>896</v>
      </c>
      <c r="N1784" s="2" t="n">
        <v>48</v>
      </c>
      <c r="O1784" s="2" t="n">
        <v>128</v>
      </c>
      <c r="P1784" s="2" t="n">
        <v>105</v>
      </c>
      <c r="Q1784" s="2" t="n">
        <v>169</v>
      </c>
      <c r="R1784" s="2" t="n">
        <v>21</v>
      </c>
      <c r="S1784" s="2" t="n">
        <v>1</v>
      </c>
      <c r="T1784" s="2" t="s">
        <v>51</v>
      </c>
      <c r="U1784" s="4" t="n">
        <f aca="false">(M1784+N1784+O1784+P1784)/L1784</f>
        <v>0.125452995096994</v>
      </c>
      <c r="V1784" s="2" t="str">
        <f aca="false">IF(S1784&lt;=5,"Late night (0-5)",IF(S1784&lt;=11,"Morning (6-11)",IF(S1784&lt;=17,"Afternoon (12-17)","Evening (18-23)")))</f>
        <v>Late night (0-5)</v>
      </c>
    </row>
    <row r="1785" customFormat="false" ht="15" hidden="false" customHeight="false" outlineLevel="0" collapsed="false">
      <c r="A1785" s="2" t="s">
        <v>2902</v>
      </c>
      <c r="B1785" s="2" t="s">
        <v>193</v>
      </c>
      <c r="C1785" s="2" t="s">
        <v>36</v>
      </c>
      <c r="D1785" s="3" t="n">
        <v>45947</v>
      </c>
      <c r="E1785" s="2" t="s">
        <v>973</v>
      </c>
      <c r="F1785" s="2" t="s">
        <v>32</v>
      </c>
      <c r="G1785" s="2" t="n">
        <v>26454</v>
      </c>
      <c r="H1785" s="2" t="n">
        <v>16</v>
      </c>
      <c r="I1785" s="2" t="n">
        <v>185</v>
      </c>
      <c r="J1785" s="2" t="n">
        <v>1</v>
      </c>
      <c r="K1785" s="2" t="n">
        <v>39351</v>
      </c>
      <c r="L1785" s="2" t="n">
        <v>35284</v>
      </c>
      <c r="M1785" s="2" t="n">
        <v>2017</v>
      </c>
      <c r="N1785" s="2" t="n">
        <v>46</v>
      </c>
      <c r="O1785" s="2" t="n">
        <v>308</v>
      </c>
      <c r="P1785" s="2" t="n">
        <v>510</v>
      </c>
      <c r="Q1785" s="2" t="n">
        <v>717</v>
      </c>
      <c r="R1785" s="2" t="n">
        <v>156</v>
      </c>
      <c r="S1785" s="2" t="n">
        <v>16</v>
      </c>
      <c r="T1785" s="2" t="s">
        <v>96</v>
      </c>
      <c r="U1785" s="4" t="n">
        <f aca="false">(M1785+N1785+O1785+P1785)/L1785</f>
        <v>0.0816517401655141</v>
      </c>
      <c r="V1785" s="2" t="str">
        <f aca="false">IF(S1785&lt;=5,"Late night (0-5)",IF(S1785&lt;=11,"Morning (6-11)",IF(S1785&lt;=17,"Afternoon (12-17)","Evening (18-23)")))</f>
        <v>Afternoon (12-17)</v>
      </c>
    </row>
    <row r="1786" customFormat="false" ht="15" hidden="false" customHeight="false" outlineLevel="0" collapsed="false">
      <c r="A1786" s="2" t="s">
        <v>2903</v>
      </c>
      <c r="B1786" s="2" t="s">
        <v>132</v>
      </c>
      <c r="C1786" s="2" t="s">
        <v>36</v>
      </c>
      <c r="D1786" s="3" t="n">
        <v>45984</v>
      </c>
      <c r="E1786" s="2" t="s">
        <v>2904</v>
      </c>
      <c r="F1786" s="2" t="s">
        <v>32</v>
      </c>
      <c r="G1786" s="2" t="n">
        <v>83053</v>
      </c>
      <c r="H1786" s="2" t="n">
        <v>13</v>
      </c>
      <c r="I1786" s="2" t="n">
        <v>203</v>
      </c>
      <c r="J1786" s="2" t="n">
        <v>1</v>
      </c>
      <c r="K1786" s="2" t="n">
        <v>120001</v>
      </c>
      <c r="L1786" s="2" t="n">
        <v>95463</v>
      </c>
      <c r="M1786" s="2" t="n">
        <v>6592</v>
      </c>
      <c r="N1786" s="2" t="n">
        <v>449</v>
      </c>
      <c r="O1786" s="2" t="n">
        <v>1627</v>
      </c>
      <c r="P1786" s="2" t="n">
        <v>1319</v>
      </c>
      <c r="Q1786" s="2" t="n">
        <v>2811</v>
      </c>
      <c r="R1786" s="2" t="n">
        <v>466</v>
      </c>
      <c r="S1786" s="2" t="n">
        <v>21</v>
      </c>
      <c r="T1786" s="2" t="s">
        <v>27</v>
      </c>
      <c r="U1786" s="4" t="n">
        <f aca="false">(M1786+N1786+O1786+P1786)/L1786</f>
        <v>0.10461644825744</v>
      </c>
      <c r="V1786" s="2" t="str">
        <f aca="false">IF(S1786&lt;=5,"Late night (0-5)",IF(S1786&lt;=11,"Morning (6-11)",IF(S1786&lt;=17,"Afternoon (12-17)","Evening (18-23)")))</f>
        <v>Evening (18-23)</v>
      </c>
    </row>
    <row r="1787" customFormat="false" ht="15" hidden="false" customHeight="false" outlineLevel="0" collapsed="false">
      <c r="A1787" s="2" t="s">
        <v>2905</v>
      </c>
      <c r="B1787" s="2" t="s">
        <v>111</v>
      </c>
      <c r="C1787" s="2" t="s">
        <v>48</v>
      </c>
      <c r="D1787" s="3" t="n">
        <v>45991</v>
      </c>
      <c r="E1787" s="2" t="s">
        <v>629</v>
      </c>
      <c r="F1787" s="2" t="s">
        <v>32</v>
      </c>
      <c r="G1787" s="2" t="n">
        <v>16824</v>
      </c>
      <c r="H1787" s="2" t="n">
        <v>13</v>
      </c>
      <c r="I1787" s="2" t="n">
        <v>252</v>
      </c>
      <c r="J1787" s="2" t="n">
        <v>0</v>
      </c>
      <c r="K1787" s="2" t="n">
        <v>24222</v>
      </c>
      <c r="L1787" s="2" t="n">
        <v>18165</v>
      </c>
      <c r="M1787" s="2" t="n">
        <v>1709</v>
      </c>
      <c r="N1787" s="2" t="n">
        <v>54</v>
      </c>
      <c r="O1787" s="2" t="n">
        <v>137</v>
      </c>
      <c r="P1787" s="2" t="n">
        <v>123</v>
      </c>
      <c r="Q1787" s="2" t="n">
        <v>477</v>
      </c>
      <c r="R1787" s="2" t="n">
        <v>109</v>
      </c>
      <c r="S1787" s="2" t="n">
        <v>7</v>
      </c>
      <c r="T1787" s="2" t="s">
        <v>27</v>
      </c>
      <c r="U1787" s="4" t="n">
        <f aca="false">(M1787+N1787+O1787+P1787)/L1787</f>
        <v>0.111368015414258</v>
      </c>
      <c r="V1787" s="2" t="str">
        <f aca="false">IF(S1787&lt;=5,"Late night (0-5)",IF(S1787&lt;=11,"Morning (6-11)",IF(S1787&lt;=17,"Afternoon (12-17)","Evening (18-23)")))</f>
        <v>Morning (6-11)</v>
      </c>
    </row>
    <row r="1788" customFormat="false" ht="15" hidden="false" customHeight="false" outlineLevel="0" collapsed="false">
      <c r="A1788" s="2" t="s">
        <v>2906</v>
      </c>
      <c r="B1788" s="2" t="s">
        <v>164</v>
      </c>
      <c r="C1788" s="2" t="s">
        <v>36</v>
      </c>
      <c r="D1788" s="3" t="n">
        <v>45744</v>
      </c>
      <c r="E1788" s="2" t="s">
        <v>407</v>
      </c>
      <c r="F1788" s="2" t="s">
        <v>32</v>
      </c>
      <c r="G1788" s="2" t="n">
        <v>44230</v>
      </c>
      <c r="H1788" s="2" t="n">
        <v>10</v>
      </c>
      <c r="I1788" s="2" t="n">
        <v>152</v>
      </c>
      <c r="J1788" s="2" t="n">
        <v>0</v>
      </c>
      <c r="K1788" s="2" t="n">
        <v>22723</v>
      </c>
      <c r="L1788" s="2" t="n">
        <v>14625</v>
      </c>
      <c r="M1788" s="2" t="n">
        <v>1135</v>
      </c>
      <c r="N1788" s="2" t="n">
        <v>44</v>
      </c>
      <c r="O1788" s="2" t="n">
        <v>124</v>
      </c>
      <c r="P1788" s="2" t="n">
        <v>337</v>
      </c>
      <c r="Q1788" s="2" t="n">
        <v>148</v>
      </c>
      <c r="R1788" s="2" t="n">
        <v>36</v>
      </c>
      <c r="S1788" s="2" t="n">
        <v>0</v>
      </c>
      <c r="T1788" s="2" t="s">
        <v>96</v>
      </c>
      <c r="U1788" s="4" t="n">
        <f aca="false">(M1788+N1788+O1788+P1788)/L1788</f>
        <v>0.112136752136752</v>
      </c>
      <c r="V1788" s="2" t="str">
        <f aca="false">IF(S1788&lt;=5,"Late night (0-5)",IF(S1788&lt;=11,"Morning (6-11)",IF(S1788&lt;=17,"Afternoon (12-17)","Evening (18-23)")))</f>
        <v>Late night (0-5)</v>
      </c>
    </row>
    <row r="1789" customFormat="false" ht="15" hidden="false" customHeight="false" outlineLevel="0" collapsed="false">
      <c r="A1789" s="2" t="s">
        <v>2907</v>
      </c>
      <c r="B1789" s="2" t="s">
        <v>164</v>
      </c>
      <c r="C1789" s="2" t="s">
        <v>36</v>
      </c>
      <c r="D1789" s="3" t="n">
        <v>45994</v>
      </c>
      <c r="E1789" s="2" t="s">
        <v>2478</v>
      </c>
      <c r="F1789" s="2" t="s">
        <v>32</v>
      </c>
      <c r="G1789" s="2" t="n">
        <v>44230</v>
      </c>
      <c r="H1789" s="2" t="n">
        <v>6</v>
      </c>
      <c r="I1789" s="2" t="n">
        <v>230</v>
      </c>
      <c r="J1789" s="2" t="n">
        <v>1</v>
      </c>
      <c r="K1789" s="2" t="n">
        <v>50383</v>
      </c>
      <c r="L1789" s="2" t="n">
        <v>35101</v>
      </c>
      <c r="M1789" s="2" t="n">
        <v>1850</v>
      </c>
      <c r="N1789" s="2" t="n">
        <v>142</v>
      </c>
      <c r="O1789" s="2" t="n">
        <v>347</v>
      </c>
      <c r="P1789" s="2" t="n">
        <v>507</v>
      </c>
      <c r="Q1789" s="2" t="n">
        <v>419</v>
      </c>
      <c r="R1789" s="2" t="n">
        <v>23</v>
      </c>
      <c r="S1789" s="2" t="n">
        <v>9</v>
      </c>
      <c r="T1789" s="2" t="s">
        <v>66</v>
      </c>
      <c r="U1789" s="4" t="n">
        <f aca="false">(M1789+N1789+O1789+P1789)/L1789</f>
        <v>0.0810803111022478</v>
      </c>
      <c r="V1789" s="2" t="str">
        <f aca="false">IF(S1789&lt;=5,"Late night (0-5)",IF(S1789&lt;=11,"Morning (6-11)",IF(S1789&lt;=17,"Afternoon (12-17)","Evening (18-23)")))</f>
        <v>Morning (6-11)</v>
      </c>
    </row>
    <row r="1790" customFormat="false" ht="15" hidden="false" customHeight="false" outlineLevel="0" collapsed="false">
      <c r="A1790" s="2" t="s">
        <v>2908</v>
      </c>
      <c r="B1790" s="2" t="s">
        <v>114</v>
      </c>
      <c r="C1790" s="2" t="s">
        <v>84</v>
      </c>
      <c r="D1790" s="3" t="n">
        <v>45682</v>
      </c>
      <c r="E1790" s="2" t="s">
        <v>1814</v>
      </c>
      <c r="F1790" s="2" t="s">
        <v>32</v>
      </c>
      <c r="G1790" s="2" t="n">
        <v>64307</v>
      </c>
      <c r="H1790" s="2" t="n">
        <v>3</v>
      </c>
      <c r="I1790" s="2" t="n">
        <v>10</v>
      </c>
      <c r="J1790" s="2" t="n">
        <v>1</v>
      </c>
      <c r="K1790" s="2" t="n">
        <v>81126</v>
      </c>
      <c r="L1790" s="2" t="n">
        <v>51737</v>
      </c>
      <c r="M1790" s="2" t="n">
        <v>5586</v>
      </c>
      <c r="N1790" s="2" t="n">
        <v>155</v>
      </c>
      <c r="O1790" s="2" t="n">
        <v>1249</v>
      </c>
      <c r="P1790" s="2" t="n">
        <v>1015</v>
      </c>
      <c r="Q1790" s="2" t="n">
        <v>789</v>
      </c>
      <c r="R1790" s="2" t="n">
        <v>187</v>
      </c>
      <c r="S1790" s="2" t="n">
        <v>16</v>
      </c>
      <c r="T1790" s="2" t="s">
        <v>62</v>
      </c>
      <c r="U1790" s="4" t="n">
        <f aca="false">(M1790+N1790+O1790+P1790)/L1790</f>
        <v>0.15472485841854</v>
      </c>
      <c r="V1790" s="2" t="str">
        <f aca="false">IF(S1790&lt;=5,"Late night (0-5)",IF(S1790&lt;=11,"Morning (6-11)",IF(S1790&lt;=17,"Afternoon (12-17)","Evening (18-23)")))</f>
        <v>Afternoon (12-17)</v>
      </c>
    </row>
    <row r="1791" customFormat="false" ht="15" hidden="false" customHeight="false" outlineLevel="0" collapsed="false">
      <c r="A1791" s="2" t="s">
        <v>2909</v>
      </c>
      <c r="B1791" s="2" t="s">
        <v>360</v>
      </c>
      <c r="C1791" s="2" t="s">
        <v>48</v>
      </c>
      <c r="D1791" s="3" t="n">
        <v>45749</v>
      </c>
      <c r="E1791" s="2" t="s">
        <v>2502</v>
      </c>
      <c r="F1791" s="2" t="s">
        <v>38</v>
      </c>
      <c r="G1791" s="2" t="n">
        <v>19542</v>
      </c>
      <c r="H1791" s="2" t="n">
        <v>11</v>
      </c>
      <c r="I1791" s="2" t="n">
        <v>153</v>
      </c>
      <c r="J1791" s="2" t="n">
        <v>1</v>
      </c>
      <c r="K1791" s="2" t="n">
        <v>4980</v>
      </c>
      <c r="L1791" s="2" t="n">
        <v>2993</v>
      </c>
      <c r="M1791" s="2" t="n">
        <v>112</v>
      </c>
      <c r="N1791" s="2" t="n">
        <v>2</v>
      </c>
      <c r="O1791" s="2" t="n">
        <v>21</v>
      </c>
      <c r="P1791" s="2" t="n">
        <v>18</v>
      </c>
      <c r="Q1791" s="2" t="n">
        <v>62</v>
      </c>
      <c r="R1791" s="2" t="n">
        <v>3</v>
      </c>
      <c r="S1791" s="2" t="n">
        <v>10</v>
      </c>
      <c r="T1791" s="2" t="s">
        <v>66</v>
      </c>
      <c r="U1791" s="4" t="n">
        <f aca="false">(M1791+N1791+O1791+P1791)/L1791</f>
        <v>0.0511192783160708</v>
      </c>
      <c r="V1791" s="2" t="str">
        <f aca="false">IF(S1791&lt;=5,"Late night (0-5)",IF(S1791&lt;=11,"Morning (6-11)",IF(S1791&lt;=17,"Afternoon (12-17)","Evening (18-23)")))</f>
        <v>Morning (6-11)</v>
      </c>
    </row>
    <row r="1792" customFormat="false" ht="15" hidden="false" customHeight="false" outlineLevel="0" collapsed="false">
      <c r="A1792" s="2" t="s">
        <v>2910</v>
      </c>
      <c r="B1792" s="2" t="s">
        <v>57</v>
      </c>
      <c r="C1792" s="2" t="s">
        <v>24</v>
      </c>
      <c r="D1792" s="3" t="n">
        <v>45870</v>
      </c>
      <c r="E1792" s="2" t="s">
        <v>252</v>
      </c>
      <c r="F1792" s="2" t="s">
        <v>38</v>
      </c>
      <c r="G1792" s="2" t="n">
        <v>31021</v>
      </c>
      <c r="H1792" s="2" t="n">
        <v>10</v>
      </c>
      <c r="I1792" s="2" t="n">
        <v>348</v>
      </c>
      <c r="J1792" s="2" t="n">
        <v>1</v>
      </c>
      <c r="K1792" s="2" t="n">
        <v>16746</v>
      </c>
      <c r="L1792" s="2" t="n">
        <v>13343</v>
      </c>
      <c r="M1792" s="2" t="n">
        <v>419</v>
      </c>
      <c r="N1792" s="2" t="n">
        <v>24</v>
      </c>
      <c r="O1792" s="2" t="n">
        <v>43</v>
      </c>
      <c r="P1792" s="2" t="n">
        <v>46</v>
      </c>
      <c r="Q1792" s="2" t="n">
        <v>349</v>
      </c>
      <c r="R1792" s="2" t="n">
        <v>60</v>
      </c>
      <c r="S1792" s="2" t="n">
        <v>18</v>
      </c>
      <c r="T1792" s="2" t="s">
        <v>96</v>
      </c>
      <c r="U1792" s="4" t="n">
        <f aca="false">(M1792+N1792+O1792+P1792)/L1792</f>
        <v>0.0398710934572435</v>
      </c>
      <c r="V1792" s="2" t="str">
        <f aca="false">IF(S1792&lt;=5,"Late night (0-5)",IF(S1792&lt;=11,"Morning (6-11)",IF(S1792&lt;=17,"Afternoon (12-17)","Evening (18-23)")))</f>
        <v>Evening (18-23)</v>
      </c>
    </row>
    <row r="1793" customFormat="false" ht="15" hidden="false" customHeight="false" outlineLevel="0" collapsed="false">
      <c r="A1793" s="2" t="s">
        <v>2911</v>
      </c>
      <c r="B1793" s="2" t="s">
        <v>132</v>
      </c>
      <c r="C1793" s="2" t="s">
        <v>36</v>
      </c>
      <c r="D1793" s="3" t="n">
        <v>45828</v>
      </c>
      <c r="E1793" s="2" t="s">
        <v>2912</v>
      </c>
      <c r="F1793" s="2" t="s">
        <v>32</v>
      </c>
      <c r="G1793" s="2" t="n">
        <v>83053</v>
      </c>
      <c r="H1793" s="2" t="n">
        <v>18</v>
      </c>
      <c r="I1793" s="2" t="n">
        <v>225</v>
      </c>
      <c r="J1793" s="2" t="n">
        <v>0</v>
      </c>
      <c r="K1793" s="2" t="n">
        <v>304575</v>
      </c>
      <c r="L1793" s="2" t="n">
        <v>219302</v>
      </c>
      <c r="M1793" s="2" t="n">
        <v>21986</v>
      </c>
      <c r="N1793" s="2" t="n">
        <v>1703</v>
      </c>
      <c r="O1793" s="2" t="n">
        <v>5427</v>
      </c>
      <c r="P1793" s="2" t="n">
        <v>4158</v>
      </c>
      <c r="Q1793" s="2" t="n">
        <v>5623</v>
      </c>
      <c r="R1793" s="2" t="n">
        <v>532</v>
      </c>
      <c r="S1793" s="2" t="n">
        <v>12</v>
      </c>
      <c r="T1793" s="2" t="s">
        <v>96</v>
      </c>
      <c r="U1793" s="4" t="n">
        <f aca="false">(M1793+N1793+O1793+P1793)/L1793</f>
        <v>0.151726842436457</v>
      </c>
      <c r="V1793" s="2" t="str">
        <f aca="false">IF(S1793&lt;=5,"Late night (0-5)",IF(S1793&lt;=11,"Morning (6-11)",IF(S1793&lt;=17,"Afternoon (12-17)","Evening (18-23)")))</f>
        <v>Afternoon (12-17)</v>
      </c>
    </row>
    <row r="1794" customFormat="false" ht="15" hidden="false" customHeight="false" outlineLevel="0" collapsed="false">
      <c r="A1794" s="2" t="s">
        <v>2913</v>
      </c>
      <c r="B1794" s="2" t="s">
        <v>132</v>
      </c>
      <c r="C1794" s="2" t="s">
        <v>36</v>
      </c>
      <c r="D1794" s="3" t="n">
        <v>45664</v>
      </c>
      <c r="E1794" s="2" t="s">
        <v>1351</v>
      </c>
      <c r="F1794" s="2" t="s">
        <v>50</v>
      </c>
      <c r="G1794" s="2" t="n">
        <v>83053</v>
      </c>
      <c r="H1794" s="2" t="n">
        <v>8</v>
      </c>
      <c r="I1794" s="2" t="n">
        <v>197</v>
      </c>
      <c r="J1794" s="2" t="n">
        <v>0</v>
      </c>
      <c r="K1794" s="2" t="n">
        <v>43067</v>
      </c>
      <c r="L1794" s="2" t="n">
        <v>30007</v>
      </c>
      <c r="M1794" s="2" t="n">
        <v>1147</v>
      </c>
      <c r="N1794" s="2" t="n">
        <v>64</v>
      </c>
      <c r="O1794" s="2" t="n">
        <v>178</v>
      </c>
      <c r="P1794" s="2" t="n">
        <v>164</v>
      </c>
      <c r="Q1794" s="2" t="n">
        <v>711</v>
      </c>
      <c r="R1794" s="2" t="n">
        <v>129</v>
      </c>
      <c r="S1794" s="2" t="n">
        <v>1</v>
      </c>
      <c r="T1794" s="2" t="s">
        <v>51</v>
      </c>
      <c r="U1794" s="4" t="n">
        <f aca="false">(M1794+N1794+O1794+P1794)/L1794</f>
        <v>0.0517545905955277</v>
      </c>
      <c r="V1794" s="2" t="str">
        <f aca="false">IF(S1794&lt;=5,"Late night (0-5)",IF(S1794&lt;=11,"Morning (6-11)",IF(S1794&lt;=17,"Afternoon (12-17)","Evening (18-23)")))</f>
        <v>Late night (0-5)</v>
      </c>
    </row>
    <row r="1795" customFormat="false" ht="15" hidden="false" customHeight="false" outlineLevel="0" collapsed="false">
      <c r="A1795" s="2" t="s">
        <v>2914</v>
      </c>
      <c r="B1795" s="2" t="s">
        <v>132</v>
      </c>
      <c r="C1795" s="2" t="s">
        <v>36</v>
      </c>
      <c r="D1795" s="3" t="n">
        <v>45917</v>
      </c>
      <c r="E1795" s="2" t="s">
        <v>687</v>
      </c>
      <c r="F1795" s="2" t="s">
        <v>38</v>
      </c>
      <c r="G1795" s="2" t="n">
        <v>83053</v>
      </c>
      <c r="H1795" s="2" t="n">
        <v>22</v>
      </c>
      <c r="I1795" s="2" t="n">
        <v>184</v>
      </c>
      <c r="J1795" s="2" t="n">
        <v>0</v>
      </c>
      <c r="K1795" s="2" t="n">
        <v>65150</v>
      </c>
      <c r="L1795" s="2" t="n">
        <v>46796</v>
      </c>
      <c r="M1795" s="2" t="n">
        <v>2813</v>
      </c>
      <c r="N1795" s="2" t="n">
        <v>122</v>
      </c>
      <c r="O1795" s="2" t="n">
        <v>368</v>
      </c>
      <c r="P1795" s="2" t="n">
        <v>386</v>
      </c>
      <c r="Q1795" s="2" t="n">
        <v>514</v>
      </c>
      <c r="R1795" s="2" t="n">
        <v>144</v>
      </c>
      <c r="S1795" s="2" t="n">
        <v>17</v>
      </c>
      <c r="T1795" s="2" t="s">
        <v>66</v>
      </c>
      <c r="U1795" s="4" t="n">
        <f aca="false">(M1795+N1795+O1795+P1795)/L1795</f>
        <v>0.0788315240618856</v>
      </c>
      <c r="V1795" s="2" t="str">
        <f aca="false">IF(S1795&lt;=5,"Late night (0-5)",IF(S1795&lt;=11,"Morning (6-11)",IF(S1795&lt;=17,"Afternoon (12-17)","Evening (18-23)")))</f>
        <v>Afternoon (12-17)</v>
      </c>
    </row>
    <row r="1796" customFormat="false" ht="15" hidden="false" customHeight="false" outlineLevel="0" collapsed="false">
      <c r="A1796" s="2" t="s">
        <v>2915</v>
      </c>
      <c r="B1796" s="2" t="s">
        <v>44</v>
      </c>
      <c r="C1796" s="2" t="s">
        <v>36</v>
      </c>
      <c r="D1796" s="3" t="n">
        <v>45704</v>
      </c>
      <c r="E1796" s="2" t="s">
        <v>629</v>
      </c>
      <c r="F1796" s="2" t="s">
        <v>50</v>
      </c>
      <c r="G1796" s="2" t="n">
        <v>6265</v>
      </c>
      <c r="H1796" s="2" t="n">
        <v>7</v>
      </c>
      <c r="I1796" s="2" t="n">
        <v>248</v>
      </c>
      <c r="J1796" s="2" t="n">
        <v>0</v>
      </c>
      <c r="K1796" s="2" t="n">
        <v>3078</v>
      </c>
      <c r="L1796" s="2" t="n">
        <v>2717</v>
      </c>
      <c r="M1796" s="2" t="n">
        <v>94</v>
      </c>
      <c r="N1796" s="2" t="n">
        <v>6</v>
      </c>
      <c r="O1796" s="2" t="n">
        <v>6</v>
      </c>
      <c r="P1796" s="2" t="n">
        <v>9</v>
      </c>
      <c r="Q1796" s="2" t="n">
        <v>14</v>
      </c>
      <c r="R1796" s="2" t="n">
        <v>0</v>
      </c>
      <c r="S1796" s="2" t="n">
        <v>7</v>
      </c>
      <c r="T1796" s="2" t="s">
        <v>27</v>
      </c>
      <c r="U1796" s="4" t="n">
        <f aca="false">(M1796+N1796+O1796+P1796)/L1796</f>
        <v>0.0423260949576739</v>
      </c>
      <c r="V1796" s="2" t="str">
        <f aca="false">IF(S1796&lt;=5,"Late night (0-5)",IF(S1796&lt;=11,"Morning (6-11)",IF(S1796&lt;=17,"Afternoon (12-17)","Evening (18-23)")))</f>
        <v>Morning (6-11)</v>
      </c>
    </row>
    <row r="1797" customFormat="false" ht="15" hidden="false" customHeight="false" outlineLevel="0" collapsed="false">
      <c r="A1797" s="2" t="s">
        <v>2916</v>
      </c>
      <c r="B1797" s="2" t="s">
        <v>83</v>
      </c>
      <c r="C1797" s="2" t="s">
        <v>84</v>
      </c>
      <c r="D1797" s="3" t="n">
        <v>45805</v>
      </c>
      <c r="E1797" s="2" t="s">
        <v>1431</v>
      </c>
      <c r="F1797" s="2" t="s">
        <v>38</v>
      </c>
      <c r="G1797" s="2" t="n">
        <v>17918</v>
      </c>
      <c r="H1797" s="2" t="n">
        <v>6</v>
      </c>
      <c r="I1797" s="2" t="n">
        <v>97</v>
      </c>
      <c r="J1797" s="2" t="n">
        <v>1</v>
      </c>
      <c r="K1797" s="2" t="n">
        <v>20576</v>
      </c>
      <c r="L1797" s="2" t="n">
        <v>17179</v>
      </c>
      <c r="M1797" s="2" t="n">
        <v>1056</v>
      </c>
      <c r="N1797" s="2" t="n">
        <v>28</v>
      </c>
      <c r="O1797" s="2" t="n">
        <v>111</v>
      </c>
      <c r="P1797" s="2" t="n">
        <v>215</v>
      </c>
      <c r="Q1797" s="2" t="n">
        <v>152</v>
      </c>
      <c r="R1797" s="2" t="n">
        <v>16</v>
      </c>
      <c r="S1797" s="2" t="n">
        <v>18</v>
      </c>
      <c r="T1797" s="2" t="s">
        <v>66</v>
      </c>
      <c r="U1797" s="4" t="n">
        <f aca="false">(M1797+N1797+O1797+P1797)/L1797</f>
        <v>0.0820769544210955</v>
      </c>
      <c r="V1797" s="2" t="str">
        <f aca="false">IF(S1797&lt;=5,"Late night (0-5)",IF(S1797&lt;=11,"Morning (6-11)",IF(S1797&lt;=17,"Afternoon (12-17)","Evening (18-23)")))</f>
        <v>Evening (18-23)</v>
      </c>
    </row>
    <row r="1798" customFormat="false" ht="15" hidden="false" customHeight="false" outlineLevel="0" collapsed="false">
      <c r="A1798" s="2" t="s">
        <v>2917</v>
      </c>
      <c r="B1798" s="2" t="s">
        <v>83</v>
      </c>
      <c r="C1798" s="2" t="s">
        <v>84</v>
      </c>
      <c r="D1798" s="3" t="n">
        <v>45768</v>
      </c>
      <c r="E1798" s="2" t="s">
        <v>1581</v>
      </c>
      <c r="F1798" s="2" t="s">
        <v>32</v>
      </c>
      <c r="G1798" s="2" t="n">
        <v>17918</v>
      </c>
      <c r="H1798" s="2" t="n">
        <v>25</v>
      </c>
      <c r="I1798" s="2" t="n">
        <v>237</v>
      </c>
      <c r="J1798" s="2" t="n">
        <v>0</v>
      </c>
      <c r="K1798" s="2" t="n">
        <v>53003</v>
      </c>
      <c r="L1798" s="2" t="n">
        <v>34393</v>
      </c>
      <c r="M1798" s="2" t="n">
        <v>2528</v>
      </c>
      <c r="N1798" s="2" t="n">
        <v>115</v>
      </c>
      <c r="O1798" s="2" t="n">
        <v>413</v>
      </c>
      <c r="P1798" s="2" t="n">
        <v>258</v>
      </c>
      <c r="Q1798" s="2" t="n">
        <v>879</v>
      </c>
      <c r="R1798" s="2" t="n">
        <v>87</v>
      </c>
      <c r="S1798" s="2" t="n">
        <v>7</v>
      </c>
      <c r="T1798" s="2" t="s">
        <v>33</v>
      </c>
      <c r="U1798" s="4" t="n">
        <f aca="false">(M1798+N1798+O1798+P1798)/L1798</f>
        <v>0.0963568167941151</v>
      </c>
      <c r="V1798" s="2" t="str">
        <f aca="false">IF(S1798&lt;=5,"Late night (0-5)",IF(S1798&lt;=11,"Morning (6-11)",IF(S1798&lt;=17,"Afternoon (12-17)","Evening (18-23)")))</f>
        <v>Morning (6-11)</v>
      </c>
    </row>
    <row r="1799" customFormat="false" ht="15" hidden="false" customHeight="false" outlineLevel="0" collapsed="false">
      <c r="A1799" s="2" t="s">
        <v>2918</v>
      </c>
      <c r="B1799" s="2" t="s">
        <v>138</v>
      </c>
      <c r="C1799" s="2" t="s">
        <v>41</v>
      </c>
      <c r="D1799" s="3" t="n">
        <v>45905</v>
      </c>
      <c r="E1799" s="2" t="s">
        <v>2426</v>
      </c>
      <c r="F1799" s="2" t="s">
        <v>26</v>
      </c>
      <c r="G1799" s="2" t="n">
        <v>18712</v>
      </c>
      <c r="H1799" s="2" t="n">
        <v>26</v>
      </c>
      <c r="I1799" s="2" t="n">
        <v>161</v>
      </c>
      <c r="J1799" s="2" t="n">
        <v>1</v>
      </c>
      <c r="K1799" s="2" t="n">
        <v>47855</v>
      </c>
      <c r="L1799" s="2" t="n">
        <v>28854</v>
      </c>
      <c r="M1799" s="2" t="n">
        <v>1575</v>
      </c>
      <c r="N1799" s="2" t="n">
        <v>88</v>
      </c>
      <c r="O1799" s="2" t="n">
        <v>197</v>
      </c>
      <c r="P1799" s="2" t="n">
        <v>646</v>
      </c>
      <c r="Q1799" s="2" t="n">
        <v>246</v>
      </c>
      <c r="R1799" s="2" t="n">
        <v>70</v>
      </c>
      <c r="S1799" s="2" t="n">
        <v>12</v>
      </c>
      <c r="T1799" s="2" t="s">
        <v>96</v>
      </c>
      <c r="U1799" s="4" t="n">
        <f aca="false">(M1799+N1799+O1799+P1799)/L1799</f>
        <v>0.0868510431829209</v>
      </c>
      <c r="V1799" s="2" t="str">
        <f aca="false">IF(S1799&lt;=5,"Late night (0-5)",IF(S1799&lt;=11,"Morning (6-11)",IF(S1799&lt;=17,"Afternoon (12-17)","Evening (18-23)")))</f>
        <v>Afternoon (12-17)</v>
      </c>
    </row>
    <row r="1800" customFormat="false" ht="15" hidden="false" customHeight="false" outlineLevel="0" collapsed="false">
      <c r="A1800" s="2" t="s">
        <v>2919</v>
      </c>
      <c r="B1800" s="2" t="s">
        <v>426</v>
      </c>
      <c r="C1800" s="2" t="s">
        <v>30</v>
      </c>
      <c r="D1800" s="3" t="n">
        <v>45985</v>
      </c>
      <c r="E1800" s="2" t="s">
        <v>1283</v>
      </c>
      <c r="F1800" s="2" t="s">
        <v>32</v>
      </c>
      <c r="G1800" s="2" t="n">
        <v>40649</v>
      </c>
      <c r="H1800" s="2" t="n">
        <v>15</v>
      </c>
      <c r="I1800" s="2" t="n">
        <v>219</v>
      </c>
      <c r="J1800" s="2" t="n">
        <v>0</v>
      </c>
      <c r="K1800" s="2" t="n">
        <v>100914</v>
      </c>
      <c r="L1800" s="2" t="n">
        <v>71333</v>
      </c>
      <c r="M1800" s="2" t="n">
        <v>4205</v>
      </c>
      <c r="N1800" s="2" t="n">
        <v>85</v>
      </c>
      <c r="O1800" s="2" t="n">
        <v>210</v>
      </c>
      <c r="P1800" s="2" t="n">
        <v>463</v>
      </c>
      <c r="Q1800" s="2" t="n">
        <v>564</v>
      </c>
      <c r="R1800" s="2" t="n">
        <v>45</v>
      </c>
      <c r="S1800" s="2" t="n">
        <v>7</v>
      </c>
      <c r="T1800" s="2" t="s">
        <v>33</v>
      </c>
      <c r="U1800" s="4" t="n">
        <f aca="false">(M1800+N1800+O1800+P1800)/L1800</f>
        <v>0.0695750914723901</v>
      </c>
      <c r="V1800" s="2" t="str">
        <f aca="false">IF(S1800&lt;=5,"Late night (0-5)",IF(S1800&lt;=11,"Morning (6-11)",IF(S1800&lt;=17,"Afternoon (12-17)","Evening (18-23)")))</f>
        <v>Morning (6-11)</v>
      </c>
    </row>
    <row r="1801" customFormat="false" ht="15" hidden="false" customHeight="false" outlineLevel="0" collapsed="false">
      <c r="A1801" s="2" t="s">
        <v>2920</v>
      </c>
      <c r="B1801" s="2" t="s">
        <v>68</v>
      </c>
      <c r="C1801" s="2" t="s">
        <v>54</v>
      </c>
      <c r="D1801" s="3" t="n">
        <v>46017</v>
      </c>
      <c r="E1801" s="2" t="s">
        <v>1599</v>
      </c>
      <c r="F1801" s="2" t="s">
        <v>50</v>
      </c>
      <c r="G1801" s="2" t="n">
        <v>35922</v>
      </c>
      <c r="H1801" s="2" t="n">
        <v>2</v>
      </c>
      <c r="I1801" s="2" t="n">
        <v>172</v>
      </c>
      <c r="J1801" s="2" t="n">
        <v>0</v>
      </c>
      <c r="K1801" s="2" t="n">
        <v>41435</v>
      </c>
      <c r="L1801" s="2" t="n">
        <v>23322</v>
      </c>
      <c r="M1801" s="2" t="n">
        <v>1615</v>
      </c>
      <c r="N1801" s="2" t="n">
        <v>62</v>
      </c>
      <c r="O1801" s="2" t="n">
        <v>157</v>
      </c>
      <c r="P1801" s="2" t="n">
        <v>116</v>
      </c>
      <c r="Q1801" s="2" t="n">
        <v>655</v>
      </c>
      <c r="R1801" s="2" t="n">
        <v>53</v>
      </c>
      <c r="S1801" s="2" t="n">
        <v>9</v>
      </c>
      <c r="T1801" s="2" t="s">
        <v>96</v>
      </c>
      <c r="U1801" s="4" t="n">
        <f aca="false">(M1801+N1801+O1801+P1801)/L1801</f>
        <v>0.0836120401337793</v>
      </c>
      <c r="V1801" s="2" t="str">
        <f aca="false">IF(S1801&lt;=5,"Late night (0-5)",IF(S1801&lt;=11,"Morning (6-11)",IF(S1801&lt;=17,"Afternoon (12-17)","Evening (18-23)")))</f>
        <v>Morning (6-11)</v>
      </c>
    </row>
    <row r="1802" customFormat="false" ht="15" hidden="false" customHeight="false" outlineLevel="0" collapsed="false">
      <c r="A1802" s="2" t="s">
        <v>2921</v>
      </c>
      <c r="B1802" s="2" t="s">
        <v>148</v>
      </c>
      <c r="C1802" s="2" t="s">
        <v>48</v>
      </c>
      <c r="D1802" s="3" t="n">
        <v>45742</v>
      </c>
      <c r="E1802" s="2" t="s">
        <v>2922</v>
      </c>
      <c r="F1802" s="2" t="s">
        <v>38</v>
      </c>
      <c r="G1802" s="2" t="n">
        <v>46311</v>
      </c>
      <c r="H1802" s="2" t="n">
        <v>4</v>
      </c>
      <c r="I1802" s="2" t="n">
        <v>268</v>
      </c>
      <c r="J1802" s="2" t="n">
        <v>1</v>
      </c>
      <c r="K1802" s="2" t="n">
        <v>18630</v>
      </c>
      <c r="L1802" s="2" t="n">
        <v>15916</v>
      </c>
      <c r="M1802" s="2" t="n">
        <v>490</v>
      </c>
      <c r="N1802" s="2" t="n">
        <v>20</v>
      </c>
      <c r="O1802" s="2" t="n">
        <v>84</v>
      </c>
      <c r="P1802" s="2" t="n">
        <v>137</v>
      </c>
      <c r="Q1802" s="2" t="n">
        <v>104</v>
      </c>
      <c r="R1802" s="2" t="n">
        <v>6</v>
      </c>
      <c r="S1802" s="2" t="n">
        <v>5</v>
      </c>
      <c r="T1802" s="2" t="s">
        <v>66</v>
      </c>
      <c r="U1802" s="4" t="n">
        <f aca="false">(M1802+N1802+O1802+P1802)/L1802</f>
        <v>0.0459286252827344</v>
      </c>
      <c r="V1802" s="2" t="str">
        <f aca="false">IF(S1802&lt;=5,"Late night (0-5)",IF(S1802&lt;=11,"Morning (6-11)",IF(S1802&lt;=17,"Afternoon (12-17)","Evening (18-23)")))</f>
        <v>Late night (0-5)</v>
      </c>
    </row>
    <row r="1803" customFormat="false" ht="15" hidden="false" customHeight="false" outlineLevel="0" collapsed="false">
      <c r="A1803" s="2" t="s">
        <v>2923</v>
      </c>
      <c r="B1803" s="2" t="s">
        <v>345</v>
      </c>
      <c r="C1803" s="2" t="s">
        <v>30</v>
      </c>
      <c r="D1803" s="3" t="n">
        <v>45867</v>
      </c>
      <c r="E1803" s="2" t="s">
        <v>55</v>
      </c>
      <c r="F1803" s="2" t="s">
        <v>38</v>
      </c>
      <c r="G1803" s="2" t="n">
        <v>8662</v>
      </c>
      <c r="H1803" s="2" t="n">
        <v>19</v>
      </c>
      <c r="I1803" s="2" t="n">
        <v>164</v>
      </c>
      <c r="J1803" s="2" t="n">
        <v>0</v>
      </c>
      <c r="K1803" s="2" t="n">
        <v>12462</v>
      </c>
      <c r="L1803" s="2" t="n">
        <v>7502</v>
      </c>
      <c r="M1803" s="2" t="n">
        <v>281</v>
      </c>
      <c r="N1803" s="2" t="n">
        <v>10</v>
      </c>
      <c r="O1803" s="2" t="n">
        <v>53</v>
      </c>
      <c r="P1803" s="2" t="n">
        <v>35</v>
      </c>
      <c r="Q1803" s="2" t="n">
        <v>85</v>
      </c>
      <c r="R1803" s="2" t="n">
        <v>24</v>
      </c>
      <c r="S1803" s="2" t="n">
        <v>19</v>
      </c>
      <c r="T1803" s="2" t="s">
        <v>51</v>
      </c>
      <c r="U1803" s="4" t="n">
        <f aca="false">(M1803+N1803+O1803+P1803)/L1803</f>
        <v>0.0505198613703013</v>
      </c>
      <c r="V1803" s="2" t="str">
        <f aca="false">IF(S1803&lt;=5,"Late night (0-5)",IF(S1803&lt;=11,"Morning (6-11)",IF(S1803&lt;=17,"Afternoon (12-17)","Evening (18-23)")))</f>
        <v>Evening (18-23)</v>
      </c>
    </row>
    <row r="1804" customFormat="false" ht="15" hidden="false" customHeight="false" outlineLevel="0" collapsed="false">
      <c r="A1804" s="2" t="s">
        <v>2924</v>
      </c>
      <c r="B1804" s="2" t="s">
        <v>452</v>
      </c>
      <c r="C1804" s="2" t="s">
        <v>91</v>
      </c>
      <c r="D1804" s="3" t="n">
        <v>45930</v>
      </c>
      <c r="E1804" s="2" t="s">
        <v>2502</v>
      </c>
      <c r="F1804" s="2" t="s">
        <v>38</v>
      </c>
      <c r="G1804" s="2" t="n">
        <v>14201</v>
      </c>
      <c r="H1804" s="2" t="n">
        <v>12</v>
      </c>
      <c r="I1804" s="2" t="n">
        <v>117</v>
      </c>
      <c r="J1804" s="2" t="n">
        <v>0</v>
      </c>
      <c r="K1804" s="2" t="n">
        <v>4445</v>
      </c>
      <c r="L1804" s="2" t="n">
        <v>3817</v>
      </c>
      <c r="M1804" s="2" t="n">
        <v>238</v>
      </c>
      <c r="N1804" s="2" t="n">
        <v>5</v>
      </c>
      <c r="O1804" s="2" t="n">
        <v>44</v>
      </c>
      <c r="P1804" s="2" t="n">
        <v>38</v>
      </c>
      <c r="Q1804" s="2" t="n">
        <v>85</v>
      </c>
      <c r="R1804" s="2" t="n">
        <v>7</v>
      </c>
      <c r="S1804" s="2" t="n">
        <v>10</v>
      </c>
      <c r="T1804" s="2" t="s">
        <v>51</v>
      </c>
      <c r="U1804" s="4" t="n">
        <f aca="false">(M1804+N1804+O1804+P1804)/L1804</f>
        <v>0.085145402148284</v>
      </c>
      <c r="V1804" s="2" t="str">
        <f aca="false">IF(S1804&lt;=5,"Late night (0-5)",IF(S1804&lt;=11,"Morning (6-11)",IF(S1804&lt;=17,"Afternoon (12-17)","Evening (18-23)")))</f>
        <v>Morning (6-11)</v>
      </c>
    </row>
    <row r="1805" customFormat="false" ht="15" hidden="false" customHeight="false" outlineLevel="0" collapsed="false">
      <c r="A1805" s="2" t="s">
        <v>2925</v>
      </c>
      <c r="B1805" s="2" t="s">
        <v>206</v>
      </c>
      <c r="C1805" s="2" t="s">
        <v>48</v>
      </c>
      <c r="D1805" s="3" t="n">
        <v>46015</v>
      </c>
      <c r="E1805" s="2" t="s">
        <v>267</v>
      </c>
      <c r="F1805" s="2" t="s">
        <v>32</v>
      </c>
      <c r="G1805" s="2" t="n">
        <v>42937</v>
      </c>
      <c r="H1805" s="2" t="n">
        <v>18</v>
      </c>
      <c r="I1805" s="2" t="n">
        <v>231</v>
      </c>
      <c r="J1805" s="2" t="n">
        <v>1</v>
      </c>
      <c r="K1805" s="2" t="n">
        <v>184175</v>
      </c>
      <c r="L1805" s="2" t="n">
        <v>102462</v>
      </c>
      <c r="M1805" s="2" t="n">
        <v>5271</v>
      </c>
      <c r="N1805" s="2" t="n">
        <v>146</v>
      </c>
      <c r="O1805" s="2" t="n">
        <v>1481</v>
      </c>
      <c r="P1805" s="2" t="n">
        <v>476</v>
      </c>
      <c r="Q1805" s="2" t="n">
        <v>2764</v>
      </c>
      <c r="R1805" s="2" t="n">
        <v>587</v>
      </c>
      <c r="S1805" s="2" t="n">
        <v>18</v>
      </c>
      <c r="T1805" s="2" t="s">
        <v>66</v>
      </c>
      <c r="U1805" s="4" t="n">
        <f aca="false">(M1805+N1805+O1805+P1805)/L1805</f>
        <v>0.0719681442876383</v>
      </c>
      <c r="V1805" s="2" t="str">
        <f aca="false">IF(S1805&lt;=5,"Late night (0-5)",IF(S1805&lt;=11,"Morning (6-11)",IF(S1805&lt;=17,"Afternoon (12-17)","Evening (18-23)")))</f>
        <v>Evening (18-23)</v>
      </c>
    </row>
    <row r="1806" customFormat="false" ht="15" hidden="false" customHeight="false" outlineLevel="0" collapsed="false">
      <c r="A1806" s="2" t="s">
        <v>2926</v>
      </c>
      <c r="B1806" s="2" t="s">
        <v>126</v>
      </c>
      <c r="C1806" s="2" t="s">
        <v>36</v>
      </c>
      <c r="D1806" s="3" t="n">
        <v>45863</v>
      </c>
      <c r="E1806" s="2" t="s">
        <v>2927</v>
      </c>
      <c r="F1806" s="2" t="s">
        <v>32</v>
      </c>
      <c r="G1806" s="2" t="n">
        <v>28784</v>
      </c>
      <c r="H1806" s="2" t="n">
        <v>28</v>
      </c>
      <c r="I1806" s="2" t="n">
        <v>191</v>
      </c>
      <c r="J1806" s="2" t="n">
        <v>1</v>
      </c>
      <c r="K1806" s="2" t="n">
        <v>13600</v>
      </c>
      <c r="L1806" s="2" t="n">
        <v>8089</v>
      </c>
      <c r="M1806" s="2" t="n">
        <v>811</v>
      </c>
      <c r="N1806" s="2" t="n">
        <v>18</v>
      </c>
      <c r="O1806" s="2" t="n">
        <v>92</v>
      </c>
      <c r="P1806" s="2" t="n">
        <v>131</v>
      </c>
      <c r="Q1806" s="2" t="n">
        <v>145</v>
      </c>
      <c r="R1806" s="2" t="n">
        <v>10</v>
      </c>
      <c r="S1806" s="2" t="n">
        <v>1</v>
      </c>
      <c r="T1806" s="2" t="s">
        <v>96</v>
      </c>
      <c r="U1806" s="4" t="n">
        <f aca="false">(M1806+N1806+O1806+P1806)/L1806</f>
        <v>0.130053158610459</v>
      </c>
      <c r="V1806" s="2" t="str">
        <f aca="false">IF(S1806&lt;=5,"Late night (0-5)",IF(S1806&lt;=11,"Morning (6-11)",IF(S1806&lt;=17,"Afternoon (12-17)","Evening (18-23)")))</f>
        <v>Late night (0-5)</v>
      </c>
    </row>
    <row r="1807" customFormat="false" ht="15" hidden="false" customHeight="false" outlineLevel="0" collapsed="false">
      <c r="A1807" s="2" t="s">
        <v>2928</v>
      </c>
      <c r="B1807" s="2" t="s">
        <v>138</v>
      </c>
      <c r="C1807" s="2" t="s">
        <v>41</v>
      </c>
      <c r="D1807" s="3" t="n">
        <v>45814</v>
      </c>
      <c r="E1807" s="2" t="s">
        <v>1816</v>
      </c>
      <c r="F1807" s="2" t="s">
        <v>26</v>
      </c>
      <c r="G1807" s="2" t="n">
        <v>18712</v>
      </c>
      <c r="H1807" s="2" t="n">
        <v>16</v>
      </c>
      <c r="I1807" s="2" t="n">
        <v>130</v>
      </c>
      <c r="J1807" s="2" t="n">
        <v>1</v>
      </c>
      <c r="K1807" s="2" t="n">
        <v>13211</v>
      </c>
      <c r="L1807" s="2" t="n">
        <v>9216</v>
      </c>
      <c r="M1807" s="2" t="n">
        <v>687</v>
      </c>
      <c r="N1807" s="2" t="n">
        <v>33</v>
      </c>
      <c r="O1807" s="2" t="n">
        <v>74</v>
      </c>
      <c r="P1807" s="2" t="n">
        <v>197</v>
      </c>
      <c r="Q1807" s="2" t="n">
        <v>105</v>
      </c>
      <c r="R1807" s="2" t="n">
        <v>11</v>
      </c>
      <c r="S1807" s="2" t="n">
        <v>4</v>
      </c>
      <c r="T1807" s="2" t="s">
        <v>96</v>
      </c>
      <c r="U1807" s="4" t="n">
        <f aca="false">(M1807+N1807+O1807+P1807)/L1807</f>
        <v>0.107530381944444</v>
      </c>
      <c r="V1807" s="2" t="str">
        <f aca="false">IF(S1807&lt;=5,"Late night (0-5)",IF(S1807&lt;=11,"Morning (6-11)",IF(S1807&lt;=17,"Afternoon (12-17)","Evening (18-23)")))</f>
        <v>Late night (0-5)</v>
      </c>
    </row>
    <row r="1808" customFormat="false" ht="15" hidden="false" customHeight="false" outlineLevel="0" collapsed="false">
      <c r="A1808" s="2" t="s">
        <v>2929</v>
      </c>
      <c r="B1808" s="2" t="s">
        <v>138</v>
      </c>
      <c r="C1808" s="2" t="s">
        <v>41</v>
      </c>
      <c r="D1808" s="3" t="n">
        <v>45926</v>
      </c>
      <c r="E1808" s="2" t="s">
        <v>216</v>
      </c>
      <c r="F1808" s="2" t="s">
        <v>32</v>
      </c>
      <c r="G1808" s="2" t="n">
        <v>18712</v>
      </c>
      <c r="H1808" s="2" t="n">
        <v>24</v>
      </c>
      <c r="I1808" s="2" t="n">
        <v>224</v>
      </c>
      <c r="J1808" s="2" t="n">
        <v>1</v>
      </c>
      <c r="K1808" s="2" t="n">
        <v>20484</v>
      </c>
      <c r="L1808" s="2" t="n">
        <v>17235</v>
      </c>
      <c r="M1808" s="2" t="n">
        <v>1494</v>
      </c>
      <c r="N1808" s="2" t="n">
        <v>55</v>
      </c>
      <c r="O1808" s="2" t="n">
        <v>184</v>
      </c>
      <c r="P1808" s="2" t="n">
        <v>313</v>
      </c>
      <c r="Q1808" s="2" t="n">
        <v>490</v>
      </c>
      <c r="R1808" s="2" t="n">
        <v>145</v>
      </c>
      <c r="S1808" s="2" t="n">
        <v>7</v>
      </c>
      <c r="T1808" s="2" t="s">
        <v>96</v>
      </c>
      <c r="U1808" s="4" t="n">
        <f aca="false">(M1808+N1808+O1808+P1808)/L1808</f>
        <v>0.118711923411662</v>
      </c>
      <c r="V1808" s="2" t="str">
        <f aca="false">IF(S1808&lt;=5,"Late night (0-5)",IF(S1808&lt;=11,"Morning (6-11)",IF(S1808&lt;=17,"Afternoon (12-17)","Evening (18-23)")))</f>
        <v>Morning (6-11)</v>
      </c>
    </row>
    <row r="1809" customFormat="false" ht="15" hidden="false" customHeight="false" outlineLevel="0" collapsed="false">
      <c r="A1809" s="2" t="s">
        <v>2930</v>
      </c>
      <c r="B1809" s="2" t="s">
        <v>44</v>
      </c>
      <c r="C1809" s="2" t="s">
        <v>36</v>
      </c>
      <c r="D1809" s="3" t="n">
        <v>45774</v>
      </c>
      <c r="E1809" s="2" t="s">
        <v>2931</v>
      </c>
      <c r="F1809" s="2" t="s">
        <v>32</v>
      </c>
      <c r="G1809" s="2" t="n">
        <v>6265</v>
      </c>
      <c r="H1809" s="2" t="n">
        <v>5</v>
      </c>
      <c r="I1809" s="2" t="n">
        <v>185</v>
      </c>
      <c r="J1809" s="2" t="n">
        <v>1</v>
      </c>
      <c r="K1809" s="2" t="n">
        <v>5220</v>
      </c>
      <c r="L1809" s="2" t="n">
        <v>3726</v>
      </c>
      <c r="M1809" s="2" t="n">
        <v>196</v>
      </c>
      <c r="N1809" s="2" t="n">
        <v>4</v>
      </c>
      <c r="O1809" s="2" t="n">
        <v>12</v>
      </c>
      <c r="P1809" s="2" t="n">
        <v>18</v>
      </c>
      <c r="Q1809" s="2" t="n">
        <v>48</v>
      </c>
      <c r="R1809" s="2" t="n">
        <v>4</v>
      </c>
      <c r="S1809" s="2" t="n">
        <v>5</v>
      </c>
      <c r="T1809" s="2" t="s">
        <v>27</v>
      </c>
      <c r="U1809" s="4" t="n">
        <f aca="false">(M1809+N1809+O1809+P1809)/L1809</f>
        <v>0.0617283950617284</v>
      </c>
      <c r="V1809" s="2" t="str">
        <f aca="false">IF(S1809&lt;=5,"Late night (0-5)",IF(S1809&lt;=11,"Morning (6-11)",IF(S1809&lt;=17,"Afternoon (12-17)","Evening (18-23)")))</f>
        <v>Late night (0-5)</v>
      </c>
    </row>
    <row r="1810" customFormat="false" ht="15" hidden="false" customHeight="false" outlineLevel="0" collapsed="false">
      <c r="A1810" s="2" t="s">
        <v>2932</v>
      </c>
      <c r="B1810" s="2" t="s">
        <v>374</v>
      </c>
      <c r="C1810" s="2" t="s">
        <v>24</v>
      </c>
      <c r="D1810" s="3" t="n">
        <v>45713</v>
      </c>
      <c r="E1810" s="2" t="s">
        <v>1283</v>
      </c>
      <c r="F1810" s="2" t="s">
        <v>26</v>
      </c>
      <c r="G1810" s="2" t="n">
        <v>9509</v>
      </c>
      <c r="H1810" s="2" t="n">
        <v>11</v>
      </c>
      <c r="I1810" s="2" t="n">
        <v>245</v>
      </c>
      <c r="J1810" s="2" t="n">
        <v>1</v>
      </c>
      <c r="K1810" s="2" t="n">
        <v>8048</v>
      </c>
      <c r="L1810" s="2" t="n">
        <v>4662</v>
      </c>
      <c r="M1810" s="2" t="n">
        <v>191</v>
      </c>
      <c r="N1810" s="2" t="n">
        <v>7</v>
      </c>
      <c r="O1810" s="2" t="n">
        <v>24</v>
      </c>
      <c r="P1810" s="2" t="n">
        <v>61</v>
      </c>
      <c r="Q1810" s="2" t="n">
        <v>74</v>
      </c>
      <c r="R1810" s="2" t="n">
        <v>6</v>
      </c>
      <c r="S1810" s="2" t="n">
        <v>7</v>
      </c>
      <c r="T1810" s="2" t="s">
        <v>51</v>
      </c>
      <c r="U1810" s="4" t="n">
        <f aca="false">(M1810+N1810+O1810+P1810)/L1810</f>
        <v>0.0607035607035607</v>
      </c>
      <c r="V1810" s="2" t="str">
        <f aca="false">IF(S1810&lt;=5,"Late night (0-5)",IF(S1810&lt;=11,"Morning (6-11)",IF(S1810&lt;=17,"Afternoon (12-17)","Evening (18-23)")))</f>
        <v>Morning (6-11)</v>
      </c>
    </row>
    <row r="1811" customFormat="false" ht="15" hidden="false" customHeight="false" outlineLevel="0" collapsed="false">
      <c r="A1811" s="2" t="s">
        <v>2933</v>
      </c>
      <c r="B1811" s="2" t="s">
        <v>94</v>
      </c>
      <c r="C1811" s="2" t="s">
        <v>30</v>
      </c>
      <c r="D1811" s="3" t="n">
        <v>45720</v>
      </c>
      <c r="E1811" s="2" t="s">
        <v>1296</v>
      </c>
      <c r="F1811" s="2" t="s">
        <v>38</v>
      </c>
      <c r="G1811" s="2" t="n">
        <v>58559</v>
      </c>
      <c r="H1811" s="2" t="n">
        <v>0</v>
      </c>
      <c r="I1811" s="2" t="n">
        <v>97</v>
      </c>
      <c r="J1811" s="2" t="n">
        <v>1</v>
      </c>
      <c r="K1811" s="2" t="n">
        <v>61731</v>
      </c>
      <c r="L1811" s="2" t="n">
        <v>43944</v>
      </c>
      <c r="M1811" s="2" t="n">
        <v>2118</v>
      </c>
      <c r="N1811" s="2" t="n">
        <v>70</v>
      </c>
      <c r="O1811" s="2" t="n">
        <v>372</v>
      </c>
      <c r="P1811" s="2" t="n">
        <v>626</v>
      </c>
      <c r="Q1811" s="2" t="n">
        <v>610</v>
      </c>
      <c r="R1811" s="2" t="n">
        <v>136</v>
      </c>
      <c r="S1811" s="2" t="n">
        <v>20</v>
      </c>
      <c r="T1811" s="2" t="s">
        <v>51</v>
      </c>
      <c r="U1811" s="4" t="n">
        <f aca="false">(M1811+N1811+O1811+P1811)/L1811</f>
        <v>0.0725013653741125</v>
      </c>
      <c r="V1811" s="2" t="str">
        <f aca="false">IF(S1811&lt;=5,"Late night (0-5)",IF(S1811&lt;=11,"Morning (6-11)",IF(S1811&lt;=17,"Afternoon (12-17)","Evening (18-23)")))</f>
        <v>Evening (18-23)</v>
      </c>
    </row>
    <row r="1812" customFormat="false" ht="15" hidden="false" customHeight="false" outlineLevel="0" collapsed="false">
      <c r="A1812" s="2" t="s">
        <v>2934</v>
      </c>
      <c r="B1812" s="2" t="s">
        <v>345</v>
      </c>
      <c r="C1812" s="2" t="s">
        <v>30</v>
      </c>
      <c r="D1812" s="3" t="n">
        <v>46017</v>
      </c>
      <c r="E1812" s="2" t="s">
        <v>1496</v>
      </c>
      <c r="F1812" s="2" t="s">
        <v>38</v>
      </c>
      <c r="G1812" s="2" t="n">
        <v>8662</v>
      </c>
      <c r="H1812" s="2" t="n">
        <v>21</v>
      </c>
      <c r="I1812" s="2" t="n">
        <v>228</v>
      </c>
      <c r="J1812" s="2" t="n">
        <v>0</v>
      </c>
      <c r="K1812" s="2" t="n">
        <v>5178</v>
      </c>
      <c r="L1812" s="2" t="n">
        <v>2949</v>
      </c>
      <c r="M1812" s="2" t="n">
        <v>132</v>
      </c>
      <c r="N1812" s="2" t="n">
        <v>3</v>
      </c>
      <c r="O1812" s="2" t="n">
        <v>21</v>
      </c>
      <c r="P1812" s="2" t="n">
        <v>19</v>
      </c>
      <c r="Q1812" s="2" t="n">
        <v>40</v>
      </c>
      <c r="R1812" s="2" t="n">
        <v>5</v>
      </c>
      <c r="S1812" s="2" t="n">
        <v>8</v>
      </c>
      <c r="T1812" s="2" t="s">
        <v>96</v>
      </c>
      <c r="U1812" s="4" t="n">
        <f aca="false">(M1812+N1812+O1812+P1812)/L1812</f>
        <v>0.0593421498813157</v>
      </c>
      <c r="V1812" s="2" t="str">
        <f aca="false">IF(S1812&lt;=5,"Late night (0-5)",IF(S1812&lt;=11,"Morning (6-11)",IF(S1812&lt;=17,"Afternoon (12-17)","Evening (18-23)")))</f>
        <v>Morning (6-11)</v>
      </c>
    </row>
    <row r="1813" customFormat="false" ht="15" hidden="false" customHeight="false" outlineLevel="0" collapsed="false">
      <c r="A1813" s="2" t="s">
        <v>2935</v>
      </c>
      <c r="B1813" s="2" t="s">
        <v>154</v>
      </c>
      <c r="C1813" s="2" t="s">
        <v>41</v>
      </c>
      <c r="D1813" s="3" t="n">
        <v>45843</v>
      </c>
      <c r="E1813" s="2" t="s">
        <v>2936</v>
      </c>
      <c r="F1813" s="2" t="s">
        <v>26</v>
      </c>
      <c r="G1813" s="2" t="n">
        <v>33644</v>
      </c>
      <c r="H1813" s="2" t="n">
        <v>19</v>
      </c>
      <c r="I1813" s="2" t="n">
        <v>214</v>
      </c>
      <c r="J1813" s="2" t="n">
        <v>1</v>
      </c>
      <c r="K1813" s="2" t="n">
        <v>45892</v>
      </c>
      <c r="L1813" s="2" t="n">
        <v>34427</v>
      </c>
      <c r="M1813" s="2" t="n">
        <v>1049</v>
      </c>
      <c r="N1813" s="2" t="n">
        <v>26</v>
      </c>
      <c r="O1813" s="2" t="n">
        <v>120</v>
      </c>
      <c r="P1813" s="2" t="n">
        <v>142</v>
      </c>
      <c r="Q1813" s="2" t="n">
        <v>597</v>
      </c>
      <c r="R1813" s="2" t="n">
        <v>115</v>
      </c>
      <c r="S1813" s="2" t="n">
        <v>2</v>
      </c>
      <c r="T1813" s="2" t="s">
        <v>62</v>
      </c>
      <c r="U1813" s="4" t="n">
        <f aca="false">(M1813+N1813+O1813+P1813)/L1813</f>
        <v>0.0388357974845325</v>
      </c>
      <c r="V1813" s="2" t="str">
        <f aca="false">IF(S1813&lt;=5,"Late night (0-5)",IF(S1813&lt;=11,"Morning (6-11)",IF(S1813&lt;=17,"Afternoon (12-17)","Evening (18-23)")))</f>
        <v>Late night (0-5)</v>
      </c>
    </row>
    <row r="1814" customFormat="false" ht="15" hidden="false" customHeight="false" outlineLevel="0" collapsed="false">
      <c r="A1814" s="2" t="s">
        <v>2937</v>
      </c>
      <c r="B1814" s="2" t="s">
        <v>374</v>
      </c>
      <c r="C1814" s="2" t="s">
        <v>24</v>
      </c>
      <c r="D1814" s="3" t="n">
        <v>45835</v>
      </c>
      <c r="E1814" s="2" t="s">
        <v>2151</v>
      </c>
      <c r="F1814" s="2" t="s">
        <v>32</v>
      </c>
      <c r="G1814" s="2" t="n">
        <v>9509</v>
      </c>
      <c r="H1814" s="2" t="n">
        <v>12</v>
      </c>
      <c r="I1814" s="2" t="n">
        <v>162</v>
      </c>
      <c r="J1814" s="2" t="n">
        <v>1</v>
      </c>
      <c r="K1814" s="2" t="n">
        <v>19923</v>
      </c>
      <c r="L1814" s="2" t="n">
        <v>16302</v>
      </c>
      <c r="M1814" s="2" t="n">
        <v>1483</v>
      </c>
      <c r="N1814" s="2" t="n">
        <v>73</v>
      </c>
      <c r="O1814" s="2" t="n">
        <v>414</v>
      </c>
      <c r="P1814" s="2" t="n">
        <v>86</v>
      </c>
      <c r="Q1814" s="2" t="n">
        <v>108</v>
      </c>
      <c r="R1814" s="2" t="n">
        <v>16</v>
      </c>
      <c r="S1814" s="2" t="n">
        <v>15</v>
      </c>
      <c r="T1814" s="2" t="s">
        <v>96</v>
      </c>
      <c r="U1814" s="4" t="n">
        <f aca="false">(M1814+N1814+O1814+P1814)/L1814</f>
        <v>0.126119494540547</v>
      </c>
      <c r="V1814" s="2" t="str">
        <f aca="false">IF(S1814&lt;=5,"Late night (0-5)",IF(S1814&lt;=11,"Morning (6-11)",IF(S1814&lt;=17,"Afternoon (12-17)","Evening (18-23)")))</f>
        <v>Afternoon (12-17)</v>
      </c>
    </row>
    <row r="1815" customFormat="false" ht="15" hidden="false" customHeight="false" outlineLevel="0" collapsed="false">
      <c r="A1815" s="2" t="s">
        <v>2938</v>
      </c>
      <c r="B1815" s="2" t="s">
        <v>35</v>
      </c>
      <c r="C1815" s="2" t="s">
        <v>36</v>
      </c>
      <c r="D1815" s="3" t="n">
        <v>46015</v>
      </c>
      <c r="E1815" s="2" t="s">
        <v>1267</v>
      </c>
      <c r="F1815" s="2" t="s">
        <v>32</v>
      </c>
      <c r="G1815" s="2" t="n">
        <v>33933</v>
      </c>
      <c r="H1815" s="2" t="n">
        <v>9</v>
      </c>
      <c r="I1815" s="2" t="n">
        <v>10</v>
      </c>
      <c r="J1815" s="2" t="n">
        <v>0</v>
      </c>
      <c r="K1815" s="2" t="n">
        <v>12428</v>
      </c>
      <c r="L1815" s="2" t="n">
        <v>8504</v>
      </c>
      <c r="M1815" s="2" t="n">
        <v>513</v>
      </c>
      <c r="N1815" s="2" t="n">
        <v>21</v>
      </c>
      <c r="O1815" s="2" t="n">
        <v>48</v>
      </c>
      <c r="P1815" s="2" t="n">
        <v>69</v>
      </c>
      <c r="Q1815" s="2" t="n">
        <v>215</v>
      </c>
      <c r="R1815" s="2" t="n">
        <v>23</v>
      </c>
      <c r="S1815" s="2" t="n">
        <v>1</v>
      </c>
      <c r="T1815" s="2" t="s">
        <v>66</v>
      </c>
      <c r="U1815" s="4" t="n">
        <f aca="false">(M1815+N1815+O1815+P1815)/L1815</f>
        <v>0.076552210724365</v>
      </c>
      <c r="V1815" s="2" t="str">
        <f aca="false">IF(S1815&lt;=5,"Late night (0-5)",IF(S1815&lt;=11,"Morning (6-11)",IF(S1815&lt;=17,"Afternoon (12-17)","Evening (18-23)")))</f>
        <v>Late night (0-5)</v>
      </c>
    </row>
    <row r="1816" customFormat="false" ht="15" hidden="false" customHeight="false" outlineLevel="0" collapsed="false">
      <c r="A1816" s="2" t="s">
        <v>2939</v>
      </c>
      <c r="B1816" s="2" t="s">
        <v>452</v>
      </c>
      <c r="C1816" s="2" t="s">
        <v>91</v>
      </c>
      <c r="D1816" s="3" t="n">
        <v>45714</v>
      </c>
      <c r="E1816" s="2" t="s">
        <v>2806</v>
      </c>
      <c r="F1816" s="2" t="s">
        <v>32</v>
      </c>
      <c r="G1816" s="2" t="n">
        <v>14201</v>
      </c>
      <c r="H1816" s="2" t="n">
        <v>15</v>
      </c>
      <c r="I1816" s="2" t="n">
        <v>177</v>
      </c>
      <c r="J1816" s="2" t="n">
        <v>1</v>
      </c>
      <c r="K1816" s="2" t="n">
        <v>34703</v>
      </c>
      <c r="L1816" s="2" t="n">
        <v>23118</v>
      </c>
      <c r="M1816" s="2" t="n">
        <v>2494</v>
      </c>
      <c r="N1816" s="2" t="n">
        <v>53</v>
      </c>
      <c r="O1816" s="2" t="n">
        <v>112</v>
      </c>
      <c r="P1816" s="2" t="n">
        <v>343</v>
      </c>
      <c r="Q1816" s="2" t="n">
        <v>327</v>
      </c>
      <c r="R1816" s="2" t="n">
        <v>88</v>
      </c>
      <c r="S1816" s="2" t="n">
        <v>21</v>
      </c>
      <c r="T1816" s="2" t="s">
        <v>66</v>
      </c>
      <c r="U1816" s="4" t="n">
        <f aca="false">(M1816+N1816+O1816+P1816)/L1816</f>
        <v>0.129855523834242</v>
      </c>
      <c r="V1816" s="2" t="str">
        <f aca="false">IF(S1816&lt;=5,"Late night (0-5)",IF(S1816&lt;=11,"Morning (6-11)",IF(S1816&lt;=17,"Afternoon (12-17)","Evening (18-23)")))</f>
        <v>Evening (18-23)</v>
      </c>
    </row>
    <row r="1817" customFormat="false" ht="15" hidden="false" customHeight="false" outlineLevel="0" collapsed="false">
      <c r="A1817" s="2" t="s">
        <v>2940</v>
      </c>
      <c r="B1817" s="2" t="s">
        <v>40</v>
      </c>
      <c r="C1817" s="2" t="s">
        <v>41</v>
      </c>
      <c r="D1817" s="3" t="n">
        <v>46003</v>
      </c>
      <c r="E1817" s="2" t="s">
        <v>438</v>
      </c>
      <c r="F1817" s="2" t="s">
        <v>38</v>
      </c>
      <c r="G1817" s="2" t="n">
        <v>23051</v>
      </c>
      <c r="H1817" s="2" t="n">
        <v>10</v>
      </c>
      <c r="I1817" s="2" t="n">
        <v>95</v>
      </c>
      <c r="J1817" s="2" t="n">
        <v>0</v>
      </c>
      <c r="K1817" s="2" t="n">
        <v>7166</v>
      </c>
      <c r="L1817" s="2" t="n">
        <v>4037</v>
      </c>
      <c r="M1817" s="2" t="n">
        <v>326</v>
      </c>
      <c r="N1817" s="2" t="n">
        <v>18</v>
      </c>
      <c r="O1817" s="2" t="n">
        <v>42</v>
      </c>
      <c r="P1817" s="2" t="n">
        <v>65</v>
      </c>
      <c r="Q1817" s="2" t="n">
        <v>75</v>
      </c>
      <c r="R1817" s="2" t="n">
        <v>4</v>
      </c>
      <c r="S1817" s="2" t="n">
        <v>7</v>
      </c>
      <c r="T1817" s="2" t="s">
        <v>96</v>
      </c>
      <c r="U1817" s="4" t="n">
        <f aca="false">(M1817+N1817+O1817+P1817)/L1817</f>
        <v>0.111716621253406</v>
      </c>
      <c r="V1817" s="2" t="str">
        <f aca="false">IF(S1817&lt;=5,"Late night (0-5)",IF(S1817&lt;=11,"Morning (6-11)",IF(S1817&lt;=17,"Afternoon (12-17)","Evening (18-23)")))</f>
        <v>Morning (6-11)</v>
      </c>
    </row>
    <row r="1818" customFormat="false" ht="15" hidden="false" customHeight="false" outlineLevel="0" collapsed="false">
      <c r="A1818" s="2" t="s">
        <v>2941</v>
      </c>
      <c r="B1818" s="2" t="s">
        <v>40</v>
      </c>
      <c r="C1818" s="2" t="s">
        <v>41</v>
      </c>
      <c r="D1818" s="3" t="n">
        <v>45977</v>
      </c>
      <c r="E1818" s="2" t="s">
        <v>913</v>
      </c>
      <c r="F1818" s="2" t="s">
        <v>32</v>
      </c>
      <c r="G1818" s="2" t="n">
        <v>23051</v>
      </c>
      <c r="H1818" s="2" t="n">
        <v>13</v>
      </c>
      <c r="I1818" s="2" t="n">
        <v>164</v>
      </c>
      <c r="J1818" s="2" t="n">
        <v>0</v>
      </c>
      <c r="K1818" s="2" t="n">
        <v>42273</v>
      </c>
      <c r="L1818" s="2" t="n">
        <v>29661</v>
      </c>
      <c r="M1818" s="2" t="n">
        <v>1802</v>
      </c>
      <c r="N1818" s="2" t="n">
        <v>64</v>
      </c>
      <c r="O1818" s="2" t="n">
        <v>208</v>
      </c>
      <c r="P1818" s="2" t="n">
        <v>508</v>
      </c>
      <c r="Q1818" s="2" t="n">
        <v>270</v>
      </c>
      <c r="R1818" s="2" t="n">
        <v>80</v>
      </c>
      <c r="S1818" s="2" t="n">
        <v>5</v>
      </c>
      <c r="T1818" s="2" t="s">
        <v>27</v>
      </c>
      <c r="U1818" s="4" t="n">
        <f aca="false">(M1818+N1818+O1818+P1818)/L1818</f>
        <v>0.0870503354573346</v>
      </c>
      <c r="V1818" s="2" t="str">
        <f aca="false">IF(S1818&lt;=5,"Late night (0-5)",IF(S1818&lt;=11,"Morning (6-11)",IF(S1818&lt;=17,"Afternoon (12-17)","Evening (18-23)")))</f>
        <v>Late night (0-5)</v>
      </c>
    </row>
    <row r="1819" customFormat="false" ht="15" hidden="false" customHeight="false" outlineLevel="0" collapsed="false">
      <c r="A1819" s="2" t="s">
        <v>2942</v>
      </c>
      <c r="B1819" s="2" t="s">
        <v>47</v>
      </c>
      <c r="C1819" s="2" t="s">
        <v>48</v>
      </c>
      <c r="D1819" s="3" t="n">
        <v>45728</v>
      </c>
      <c r="E1819" s="2" t="s">
        <v>2943</v>
      </c>
      <c r="F1819" s="2" t="s">
        <v>26</v>
      </c>
      <c r="G1819" s="2" t="n">
        <v>19609</v>
      </c>
      <c r="H1819" s="2" t="n">
        <v>10</v>
      </c>
      <c r="I1819" s="2" t="n">
        <v>238</v>
      </c>
      <c r="J1819" s="2" t="n">
        <v>0</v>
      </c>
      <c r="K1819" s="2" t="n">
        <v>6798</v>
      </c>
      <c r="L1819" s="2" t="n">
        <v>4408</v>
      </c>
      <c r="M1819" s="2" t="n">
        <v>277</v>
      </c>
      <c r="N1819" s="2" t="n">
        <v>5</v>
      </c>
      <c r="O1819" s="2" t="n">
        <v>55</v>
      </c>
      <c r="P1819" s="2" t="n">
        <v>98</v>
      </c>
      <c r="Q1819" s="2" t="n">
        <v>75</v>
      </c>
      <c r="R1819" s="2" t="n">
        <v>16</v>
      </c>
      <c r="S1819" s="2" t="n">
        <v>11</v>
      </c>
      <c r="T1819" s="2" t="s">
        <v>66</v>
      </c>
      <c r="U1819" s="4" t="n">
        <f aca="false">(M1819+N1819+O1819+P1819)/L1819</f>
        <v>0.0986842105263158</v>
      </c>
      <c r="V1819" s="2" t="str">
        <f aca="false">IF(S1819&lt;=5,"Late night (0-5)",IF(S1819&lt;=11,"Morning (6-11)",IF(S1819&lt;=17,"Afternoon (12-17)","Evening (18-23)")))</f>
        <v>Morning (6-11)</v>
      </c>
    </row>
    <row r="1820" customFormat="false" ht="15" hidden="false" customHeight="false" outlineLevel="0" collapsed="false">
      <c r="A1820" s="2" t="s">
        <v>2944</v>
      </c>
      <c r="B1820" s="2" t="s">
        <v>164</v>
      </c>
      <c r="C1820" s="2" t="s">
        <v>36</v>
      </c>
      <c r="D1820" s="3" t="n">
        <v>45854</v>
      </c>
      <c r="E1820" s="2" t="s">
        <v>2070</v>
      </c>
      <c r="F1820" s="2" t="s">
        <v>38</v>
      </c>
      <c r="G1820" s="2" t="n">
        <v>44230</v>
      </c>
      <c r="H1820" s="2" t="n">
        <v>11</v>
      </c>
      <c r="I1820" s="2" t="n">
        <v>285</v>
      </c>
      <c r="J1820" s="2" t="n">
        <v>0</v>
      </c>
      <c r="K1820" s="2" t="n">
        <v>13225</v>
      </c>
      <c r="L1820" s="2" t="n">
        <v>10355</v>
      </c>
      <c r="M1820" s="2" t="n">
        <v>590</v>
      </c>
      <c r="N1820" s="2" t="n">
        <v>45</v>
      </c>
      <c r="O1820" s="2" t="n">
        <v>61</v>
      </c>
      <c r="P1820" s="2" t="n">
        <v>162</v>
      </c>
      <c r="Q1820" s="2" t="n">
        <v>276</v>
      </c>
      <c r="R1820" s="2" t="n">
        <v>37</v>
      </c>
      <c r="S1820" s="2" t="n">
        <v>4</v>
      </c>
      <c r="T1820" s="2" t="s">
        <v>66</v>
      </c>
      <c r="U1820" s="4" t="n">
        <f aca="false">(M1820+N1820+O1820+P1820)/L1820</f>
        <v>0.0828585224529213</v>
      </c>
      <c r="V1820" s="2" t="str">
        <f aca="false">IF(S1820&lt;=5,"Late night (0-5)",IF(S1820&lt;=11,"Morning (6-11)",IF(S1820&lt;=17,"Afternoon (12-17)","Evening (18-23)")))</f>
        <v>Late night (0-5)</v>
      </c>
    </row>
    <row r="1821" customFormat="false" ht="15" hidden="false" customHeight="false" outlineLevel="0" collapsed="false">
      <c r="A1821" s="2" t="s">
        <v>2945</v>
      </c>
      <c r="B1821" s="2" t="s">
        <v>141</v>
      </c>
      <c r="C1821" s="2" t="s">
        <v>48</v>
      </c>
      <c r="D1821" s="3" t="n">
        <v>45763</v>
      </c>
      <c r="E1821" s="2" t="s">
        <v>1151</v>
      </c>
      <c r="F1821" s="2" t="s">
        <v>38</v>
      </c>
      <c r="G1821" s="2" t="n">
        <v>16119</v>
      </c>
      <c r="H1821" s="2" t="n">
        <v>19</v>
      </c>
      <c r="I1821" s="2" t="n">
        <v>245</v>
      </c>
      <c r="J1821" s="2" t="n">
        <v>0</v>
      </c>
      <c r="K1821" s="2" t="n">
        <v>3129</v>
      </c>
      <c r="L1821" s="2" t="n">
        <v>2256</v>
      </c>
      <c r="M1821" s="2" t="n">
        <v>68</v>
      </c>
      <c r="N1821" s="2" t="n">
        <v>3</v>
      </c>
      <c r="O1821" s="2" t="n">
        <v>10</v>
      </c>
      <c r="P1821" s="2" t="n">
        <v>7</v>
      </c>
      <c r="Q1821" s="2" t="n">
        <v>51</v>
      </c>
      <c r="R1821" s="2" t="n">
        <v>2</v>
      </c>
      <c r="S1821" s="2" t="n">
        <v>4</v>
      </c>
      <c r="T1821" s="2" t="s">
        <v>66</v>
      </c>
      <c r="U1821" s="4" t="n">
        <f aca="false">(M1821+N1821+O1821+P1821)/L1821</f>
        <v>0.0390070921985816</v>
      </c>
      <c r="V1821" s="2" t="str">
        <f aca="false">IF(S1821&lt;=5,"Late night (0-5)",IF(S1821&lt;=11,"Morning (6-11)",IF(S1821&lt;=17,"Afternoon (12-17)","Evening (18-23)")))</f>
        <v>Late night (0-5)</v>
      </c>
    </row>
    <row r="1822" customFormat="false" ht="15" hidden="false" customHeight="false" outlineLevel="0" collapsed="false">
      <c r="A1822" s="2" t="s">
        <v>2946</v>
      </c>
      <c r="B1822" s="2" t="s">
        <v>151</v>
      </c>
      <c r="C1822" s="2" t="s">
        <v>36</v>
      </c>
      <c r="D1822" s="3" t="n">
        <v>45939</v>
      </c>
      <c r="E1822" s="2" t="s">
        <v>2947</v>
      </c>
      <c r="F1822" s="2" t="s">
        <v>32</v>
      </c>
      <c r="G1822" s="2" t="n">
        <v>19247</v>
      </c>
      <c r="H1822" s="2" t="n">
        <v>11</v>
      </c>
      <c r="I1822" s="2" t="n">
        <v>179</v>
      </c>
      <c r="J1822" s="2" t="n">
        <v>1</v>
      </c>
      <c r="K1822" s="2" t="n">
        <v>12026</v>
      </c>
      <c r="L1822" s="2" t="n">
        <v>8449</v>
      </c>
      <c r="M1822" s="2" t="n">
        <v>549</v>
      </c>
      <c r="N1822" s="2" t="n">
        <v>22</v>
      </c>
      <c r="O1822" s="2" t="n">
        <v>45</v>
      </c>
      <c r="P1822" s="2" t="n">
        <v>73</v>
      </c>
      <c r="Q1822" s="2" t="n">
        <v>227</v>
      </c>
      <c r="R1822" s="2" t="n">
        <v>17</v>
      </c>
      <c r="S1822" s="2" t="n">
        <v>20</v>
      </c>
      <c r="T1822" s="2" t="s">
        <v>79</v>
      </c>
      <c r="U1822" s="4" t="n">
        <f aca="false">(M1822+N1822+O1822+P1822)/L1822</f>
        <v>0.0815481122026275</v>
      </c>
      <c r="V1822" s="2" t="str">
        <f aca="false">IF(S1822&lt;=5,"Late night (0-5)",IF(S1822&lt;=11,"Morning (6-11)",IF(S1822&lt;=17,"Afternoon (12-17)","Evening (18-23)")))</f>
        <v>Evening (18-23)</v>
      </c>
    </row>
    <row r="1823" customFormat="false" ht="15" hidden="false" customHeight="false" outlineLevel="0" collapsed="false">
      <c r="A1823" s="2" t="s">
        <v>2948</v>
      </c>
      <c r="B1823" s="2" t="s">
        <v>114</v>
      </c>
      <c r="C1823" s="2" t="s">
        <v>84</v>
      </c>
      <c r="D1823" s="3" t="n">
        <v>45995</v>
      </c>
      <c r="E1823" s="2" t="s">
        <v>2949</v>
      </c>
      <c r="F1823" s="2" t="s">
        <v>32</v>
      </c>
      <c r="G1823" s="2" t="n">
        <v>64307</v>
      </c>
      <c r="H1823" s="2" t="n">
        <v>14</v>
      </c>
      <c r="I1823" s="2" t="n">
        <v>245</v>
      </c>
      <c r="J1823" s="2" t="n">
        <v>0</v>
      </c>
      <c r="K1823" s="2" t="n">
        <v>192500</v>
      </c>
      <c r="L1823" s="2" t="n">
        <v>114075</v>
      </c>
      <c r="M1823" s="2" t="n">
        <v>12008</v>
      </c>
      <c r="N1823" s="2" t="n">
        <v>581</v>
      </c>
      <c r="O1823" s="2" t="n">
        <v>2537</v>
      </c>
      <c r="P1823" s="2" t="n">
        <v>1694</v>
      </c>
      <c r="Q1823" s="2" t="n">
        <v>1580</v>
      </c>
      <c r="R1823" s="2" t="n">
        <v>264</v>
      </c>
      <c r="S1823" s="2" t="n">
        <v>5</v>
      </c>
      <c r="T1823" s="2" t="s">
        <v>79</v>
      </c>
      <c r="U1823" s="4" t="n">
        <f aca="false">(M1823+N1823+O1823+P1823)/L1823</f>
        <v>0.147446855139163</v>
      </c>
      <c r="V1823" s="2" t="str">
        <f aca="false">IF(S1823&lt;=5,"Late night (0-5)",IF(S1823&lt;=11,"Morning (6-11)",IF(S1823&lt;=17,"Afternoon (12-17)","Evening (18-23)")))</f>
        <v>Late night (0-5)</v>
      </c>
    </row>
    <row r="1824" customFormat="false" ht="15" hidden="false" customHeight="false" outlineLevel="0" collapsed="false">
      <c r="A1824" s="2" t="s">
        <v>2950</v>
      </c>
      <c r="B1824" s="2" t="s">
        <v>220</v>
      </c>
      <c r="C1824" s="2" t="s">
        <v>48</v>
      </c>
      <c r="D1824" s="3" t="n">
        <v>45746</v>
      </c>
      <c r="E1824" s="2" t="s">
        <v>2345</v>
      </c>
      <c r="F1824" s="2" t="s">
        <v>32</v>
      </c>
      <c r="G1824" s="2" t="n">
        <v>18917</v>
      </c>
      <c r="H1824" s="2" t="n">
        <v>12</v>
      </c>
      <c r="I1824" s="2" t="n">
        <v>116</v>
      </c>
      <c r="J1824" s="2" t="n">
        <v>1</v>
      </c>
      <c r="K1824" s="2" t="n">
        <v>54974</v>
      </c>
      <c r="L1824" s="2" t="n">
        <v>31343</v>
      </c>
      <c r="M1824" s="2" t="n">
        <v>2265</v>
      </c>
      <c r="N1824" s="2" t="n">
        <v>159</v>
      </c>
      <c r="O1824" s="2" t="n">
        <v>265</v>
      </c>
      <c r="P1824" s="2" t="n">
        <v>472</v>
      </c>
      <c r="Q1824" s="2" t="n">
        <v>592</v>
      </c>
      <c r="R1824" s="2" t="n">
        <v>166</v>
      </c>
      <c r="S1824" s="2" t="n">
        <v>22</v>
      </c>
      <c r="T1824" s="2" t="s">
        <v>27</v>
      </c>
      <c r="U1824" s="4" t="n">
        <f aca="false">(M1824+N1824+O1824+P1824)/L1824</f>
        <v>0.100851864850206</v>
      </c>
      <c r="V1824" s="2" t="str">
        <f aca="false">IF(S1824&lt;=5,"Late night (0-5)",IF(S1824&lt;=11,"Morning (6-11)",IF(S1824&lt;=17,"Afternoon (12-17)","Evening (18-23)")))</f>
        <v>Evening (18-23)</v>
      </c>
    </row>
    <row r="1825" customFormat="false" ht="15" hidden="false" customHeight="false" outlineLevel="0" collapsed="false">
      <c r="A1825" s="2" t="s">
        <v>2951</v>
      </c>
      <c r="B1825" s="2" t="s">
        <v>452</v>
      </c>
      <c r="C1825" s="2" t="s">
        <v>91</v>
      </c>
      <c r="D1825" s="3" t="n">
        <v>45910</v>
      </c>
      <c r="E1825" s="2" t="s">
        <v>2952</v>
      </c>
      <c r="F1825" s="2" t="s">
        <v>38</v>
      </c>
      <c r="G1825" s="2" t="n">
        <v>14201</v>
      </c>
      <c r="H1825" s="2" t="n">
        <v>16</v>
      </c>
      <c r="I1825" s="2" t="n">
        <v>193</v>
      </c>
      <c r="J1825" s="2" t="n">
        <v>0</v>
      </c>
      <c r="K1825" s="2" t="n">
        <v>8341</v>
      </c>
      <c r="L1825" s="2" t="n">
        <v>5768</v>
      </c>
      <c r="M1825" s="2" t="n">
        <v>499</v>
      </c>
      <c r="N1825" s="2" t="n">
        <v>37</v>
      </c>
      <c r="O1825" s="2" t="n">
        <v>99</v>
      </c>
      <c r="P1825" s="2" t="n">
        <v>44</v>
      </c>
      <c r="Q1825" s="2" t="n">
        <v>29</v>
      </c>
      <c r="R1825" s="2" t="n">
        <v>4</v>
      </c>
      <c r="S1825" s="2" t="n">
        <v>23</v>
      </c>
      <c r="T1825" s="2" t="s">
        <v>66</v>
      </c>
      <c r="U1825" s="4" t="n">
        <f aca="false">(M1825+N1825+O1825+P1825)/L1825</f>
        <v>0.117718446601942</v>
      </c>
      <c r="V1825" s="2" t="str">
        <f aca="false">IF(S1825&lt;=5,"Late night (0-5)",IF(S1825&lt;=11,"Morning (6-11)",IF(S1825&lt;=17,"Afternoon (12-17)","Evening (18-23)")))</f>
        <v>Evening (18-23)</v>
      </c>
    </row>
    <row r="1826" customFormat="false" ht="15" hidden="false" customHeight="false" outlineLevel="0" collapsed="false">
      <c r="A1826" s="2" t="s">
        <v>2953</v>
      </c>
      <c r="B1826" s="2" t="s">
        <v>307</v>
      </c>
      <c r="C1826" s="2" t="s">
        <v>48</v>
      </c>
      <c r="D1826" s="3" t="n">
        <v>45762</v>
      </c>
      <c r="E1826" s="2" t="s">
        <v>2954</v>
      </c>
      <c r="F1826" s="2" t="s">
        <v>32</v>
      </c>
      <c r="G1826" s="2" t="n">
        <v>91358</v>
      </c>
      <c r="H1826" s="2" t="n">
        <v>15</v>
      </c>
      <c r="I1826" s="2" t="n">
        <v>265</v>
      </c>
      <c r="J1826" s="2" t="n">
        <v>0</v>
      </c>
      <c r="K1826" s="2" t="n">
        <v>274467</v>
      </c>
      <c r="L1826" s="2" t="n">
        <v>166449</v>
      </c>
      <c r="M1826" s="2" t="n">
        <v>13177</v>
      </c>
      <c r="N1826" s="2" t="n">
        <v>264</v>
      </c>
      <c r="O1826" s="2" t="n">
        <v>3153</v>
      </c>
      <c r="P1826" s="2" t="n">
        <v>2248</v>
      </c>
      <c r="Q1826" s="2" t="n">
        <v>2982</v>
      </c>
      <c r="R1826" s="2" t="n">
        <v>812</v>
      </c>
      <c r="S1826" s="2" t="n">
        <v>19</v>
      </c>
      <c r="T1826" s="2" t="s">
        <v>51</v>
      </c>
      <c r="U1826" s="4" t="n">
        <f aca="false">(M1826+N1826+O1826+P1826)/L1826</f>
        <v>0.113199838989721</v>
      </c>
      <c r="V1826" s="2" t="str">
        <f aca="false">IF(S1826&lt;=5,"Late night (0-5)",IF(S1826&lt;=11,"Morning (6-11)",IF(S1826&lt;=17,"Afternoon (12-17)","Evening (18-23)")))</f>
        <v>Evening (18-23)</v>
      </c>
    </row>
    <row r="1827" customFormat="false" ht="15" hidden="false" customHeight="false" outlineLevel="0" collapsed="false">
      <c r="A1827" s="2" t="s">
        <v>2955</v>
      </c>
      <c r="B1827" s="2" t="s">
        <v>53</v>
      </c>
      <c r="C1827" s="2" t="s">
        <v>54</v>
      </c>
      <c r="D1827" s="3" t="n">
        <v>45731</v>
      </c>
      <c r="E1827" s="2" t="s">
        <v>2956</v>
      </c>
      <c r="F1827" s="2" t="s">
        <v>26</v>
      </c>
      <c r="G1827" s="2" t="n">
        <v>11318</v>
      </c>
      <c r="H1827" s="2" t="n">
        <v>19</v>
      </c>
      <c r="I1827" s="2" t="n">
        <v>277</v>
      </c>
      <c r="J1827" s="2" t="n">
        <v>0</v>
      </c>
      <c r="K1827" s="2" t="n">
        <v>11719</v>
      </c>
      <c r="L1827" s="2" t="n">
        <v>10133</v>
      </c>
      <c r="M1827" s="2" t="n">
        <v>714</v>
      </c>
      <c r="N1827" s="2" t="n">
        <v>35</v>
      </c>
      <c r="O1827" s="2" t="n">
        <v>97</v>
      </c>
      <c r="P1827" s="2" t="n">
        <v>262</v>
      </c>
      <c r="Q1827" s="2" t="n">
        <v>223</v>
      </c>
      <c r="R1827" s="2" t="n">
        <v>59</v>
      </c>
      <c r="S1827" s="2" t="n">
        <v>22</v>
      </c>
      <c r="T1827" s="2" t="s">
        <v>62</v>
      </c>
      <c r="U1827" s="4" t="n">
        <f aca="false">(M1827+N1827+O1827+P1827)/L1827</f>
        <v>0.109345702161255</v>
      </c>
      <c r="V1827" s="2" t="str">
        <f aca="false">IF(S1827&lt;=5,"Late night (0-5)",IF(S1827&lt;=11,"Morning (6-11)",IF(S1827&lt;=17,"Afternoon (12-17)","Evening (18-23)")))</f>
        <v>Evening (18-23)</v>
      </c>
    </row>
    <row r="1828" customFormat="false" ht="15" hidden="false" customHeight="false" outlineLevel="0" collapsed="false">
      <c r="A1828" s="2" t="s">
        <v>2957</v>
      </c>
      <c r="B1828" s="2" t="s">
        <v>151</v>
      </c>
      <c r="C1828" s="2" t="s">
        <v>36</v>
      </c>
      <c r="D1828" s="3" t="n">
        <v>45763</v>
      </c>
      <c r="E1828" s="2" t="s">
        <v>2958</v>
      </c>
      <c r="F1828" s="2" t="s">
        <v>32</v>
      </c>
      <c r="G1828" s="2" t="n">
        <v>19247</v>
      </c>
      <c r="H1828" s="2" t="n">
        <v>13</v>
      </c>
      <c r="I1828" s="2" t="n">
        <v>101</v>
      </c>
      <c r="J1828" s="2" t="n">
        <v>1</v>
      </c>
      <c r="K1828" s="2" t="n">
        <v>45385</v>
      </c>
      <c r="L1828" s="2" t="n">
        <v>39400</v>
      </c>
      <c r="M1828" s="2" t="n">
        <v>2542</v>
      </c>
      <c r="N1828" s="2" t="n">
        <v>85</v>
      </c>
      <c r="O1828" s="2" t="n">
        <v>221</v>
      </c>
      <c r="P1828" s="2" t="n">
        <v>466</v>
      </c>
      <c r="Q1828" s="2" t="n">
        <v>905</v>
      </c>
      <c r="R1828" s="2" t="n">
        <v>155</v>
      </c>
      <c r="S1828" s="2" t="n">
        <v>17</v>
      </c>
      <c r="T1828" s="2" t="s">
        <v>66</v>
      </c>
      <c r="U1828" s="4" t="n">
        <f aca="false">(M1828+N1828+O1828+P1828)/L1828</f>
        <v>0.0841116751269036</v>
      </c>
      <c r="V1828" s="2" t="str">
        <f aca="false">IF(S1828&lt;=5,"Late night (0-5)",IF(S1828&lt;=11,"Morning (6-11)",IF(S1828&lt;=17,"Afternoon (12-17)","Evening (18-23)")))</f>
        <v>Afternoon (12-17)</v>
      </c>
    </row>
    <row r="1829" customFormat="false" ht="15" hidden="false" customHeight="false" outlineLevel="0" collapsed="false">
      <c r="A1829" s="2" t="s">
        <v>2959</v>
      </c>
      <c r="B1829" s="2" t="s">
        <v>310</v>
      </c>
      <c r="C1829" s="2" t="s">
        <v>91</v>
      </c>
      <c r="D1829" s="3" t="n">
        <v>45670</v>
      </c>
      <c r="E1829" s="2" t="s">
        <v>2954</v>
      </c>
      <c r="F1829" s="2" t="s">
        <v>50</v>
      </c>
      <c r="G1829" s="2" t="n">
        <v>56571</v>
      </c>
      <c r="H1829" s="2" t="n">
        <v>20</v>
      </c>
      <c r="I1829" s="2" t="n">
        <v>140</v>
      </c>
      <c r="J1829" s="2" t="n">
        <v>0</v>
      </c>
      <c r="K1829" s="2" t="n">
        <v>47420</v>
      </c>
      <c r="L1829" s="2" t="n">
        <v>27451</v>
      </c>
      <c r="M1829" s="2" t="n">
        <v>1453</v>
      </c>
      <c r="N1829" s="2" t="n">
        <v>89</v>
      </c>
      <c r="O1829" s="2" t="n">
        <v>100</v>
      </c>
      <c r="P1829" s="2" t="n">
        <v>309</v>
      </c>
      <c r="Q1829" s="2" t="n">
        <v>411</v>
      </c>
      <c r="R1829" s="2" t="n">
        <v>21</v>
      </c>
      <c r="S1829" s="2" t="n">
        <v>19</v>
      </c>
      <c r="T1829" s="2" t="s">
        <v>33</v>
      </c>
      <c r="U1829" s="4" t="n">
        <f aca="false">(M1829+N1829+O1829+P1829)/L1829</f>
        <v>0.0710720920913628</v>
      </c>
      <c r="V1829" s="2" t="str">
        <f aca="false">IF(S1829&lt;=5,"Late night (0-5)",IF(S1829&lt;=11,"Morning (6-11)",IF(S1829&lt;=17,"Afternoon (12-17)","Evening (18-23)")))</f>
        <v>Evening (18-23)</v>
      </c>
    </row>
    <row r="1830" customFormat="false" ht="15" hidden="false" customHeight="false" outlineLevel="0" collapsed="false">
      <c r="A1830" s="2" t="s">
        <v>2960</v>
      </c>
      <c r="B1830" s="2" t="s">
        <v>240</v>
      </c>
      <c r="C1830" s="2" t="s">
        <v>41</v>
      </c>
      <c r="D1830" s="3" t="n">
        <v>45832</v>
      </c>
      <c r="E1830" s="2" t="s">
        <v>2961</v>
      </c>
      <c r="F1830" s="2" t="s">
        <v>32</v>
      </c>
      <c r="G1830" s="2" t="n">
        <v>83197</v>
      </c>
      <c r="H1830" s="2" t="n">
        <v>14</v>
      </c>
      <c r="I1830" s="2" t="n">
        <v>253</v>
      </c>
      <c r="J1830" s="2" t="n">
        <v>1</v>
      </c>
      <c r="K1830" s="2" t="n">
        <v>186369</v>
      </c>
      <c r="L1830" s="2" t="n">
        <v>151458</v>
      </c>
      <c r="M1830" s="2" t="n">
        <v>6312</v>
      </c>
      <c r="N1830" s="2" t="n">
        <v>244</v>
      </c>
      <c r="O1830" s="2" t="n">
        <v>1693</v>
      </c>
      <c r="P1830" s="2" t="n">
        <v>404</v>
      </c>
      <c r="Q1830" s="2" t="n">
        <v>2900</v>
      </c>
      <c r="R1830" s="2" t="n">
        <v>553</v>
      </c>
      <c r="S1830" s="2" t="n">
        <v>18</v>
      </c>
      <c r="T1830" s="2" t="s">
        <v>51</v>
      </c>
      <c r="U1830" s="4" t="n">
        <f aca="false">(M1830+N1830+O1830+P1830)/L1830</f>
        <v>0.0571313499451993</v>
      </c>
      <c r="V1830" s="2" t="str">
        <f aca="false">IF(S1830&lt;=5,"Late night (0-5)",IF(S1830&lt;=11,"Morning (6-11)",IF(S1830&lt;=17,"Afternoon (12-17)","Evening (18-23)")))</f>
        <v>Evening (18-23)</v>
      </c>
    </row>
    <row r="1831" customFormat="false" ht="15" hidden="false" customHeight="false" outlineLevel="0" collapsed="false">
      <c r="A1831" s="2" t="s">
        <v>2962</v>
      </c>
      <c r="B1831" s="2" t="s">
        <v>71</v>
      </c>
      <c r="C1831" s="2" t="s">
        <v>48</v>
      </c>
      <c r="D1831" s="3" t="n">
        <v>45922</v>
      </c>
      <c r="E1831" s="2" t="s">
        <v>348</v>
      </c>
      <c r="F1831" s="2" t="s">
        <v>32</v>
      </c>
      <c r="G1831" s="2" t="n">
        <v>7316</v>
      </c>
      <c r="H1831" s="2" t="n">
        <v>19</v>
      </c>
      <c r="I1831" s="2" t="n">
        <v>62</v>
      </c>
      <c r="J1831" s="2" t="n">
        <v>0</v>
      </c>
      <c r="K1831" s="2" t="n">
        <v>15731</v>
      </c>
      <c r="L1831" s="2" t="n">
        <v>10086</v>
      </c>
      <c r="M1831" s="2" t="n">
        <v>807</v>
      </c>
      <c r="N1831" s="2" t="n">
        <v>51</v>
      </c>
      <c r="O1831" s="2" t="n">
        <v>184</v>
      </c>
      <c r="P1831" s="2" t="n">
        <v>57</v>
      </c>
      <c r="Q1831" s="2" t="n">
        <v>90</v>
      </c>
      <c r="R1831" s="2" t="n">
        <v>7</v>
      </c>
      <c r="S1831" s="2" t="n">
        <v>21</v>
      </c>
      <c r="T1831" s="2" t="s">
        <v>33</v>
      </c>
      <c r="U1831" s="4" t="n">
        <f aca="false">(M1831+N1831+O1831+P1831)/L1831</f>
        <v>0.108962918897482</v>
      </c>
      <c r="V1831" s="2" t="str">
        <f aca="false">IF(S1831&lt;=5,"Late night (0-5)",IF(S1831&lt;=11,"Morning (6-11)",IF(S1831&lt;=17,"Afternoon (12-17)","Evening (18-23)")))</f>
        <v>Evening (18-23)</v>
      </c>
    </row>
    <row r="1832" customFormat="false" ht="15" hidden="false" customHeight="false" outlineLevel="0" collapsed="false">
      <c r="A1832" s="2" t="s">
        <v>2963</v>
      </c>
      <c r="B1832" s="2" t="s">
        <v>106</v>
      </c>
      <c r="C1832" s="2" t="s">
        <v>91</v>
      </c>
      <c r="D1832" s="3" t="n">
        <v>45678</v>
      </c>
      <c r="E1832" s="2" t="s">
        <v>2964</v>
      </c>
      <c r="F1832" s="2" t="s">
        <v>50</v>
      </c>
      <c r="G1832" s="2" t="n">
        <v>59477</v>
      </c>
      <c r="H1832" s="2" t="n">
        <v>12</v>
      </c>
      <c r="I1832" s="2" t="n">
        <v>28</v>
      </c>
      <c r="J1832" s="2" t="n">
        <v>0</v>
      </c>
      <c r="K1832" s="2" t="n">
        <v>31156</v>
      </c>
      <c r="L1832" s="2" t="n">
        <v>18247</v>
      </c>
      <c r="M1832" s="2" t="n">
        <v>1600</v>
      </c>
      <c r="N1832" s="2" t="n">
        <v>113</v>
      </c>
      <c r="O1832" s="2" t="n">
        <v>276</v>
      </c>
      <c r="P1832" s="2" t="n">
        <v>159</v>
      </c>
      <c r="Q1832" s="2" t="n">
        <v>213</v>
      </c>
      <c r="R1832" s="2" t="n">
        <v>42</v>
      </c>
      <c r="S1832" s="2" t="n">
        <v>6</v>
      </c>
      <c r="T1832" s="2" t="s">
        <v>51</v>
      </c>
      <c r="U1832" s="4" t="n">
        <f aca="false">(M1832+N1832+O1832+P1832)/L1832</f>
        <v>0.117717981037979</v>
      </c>
      <c r="V1832" s="2" t="str">
        <f aca="false">IF(S1832&lt;=5,"Late night (0-5)",IF(S1832&lt;=11,"Morning (6-11)",IF(S1832&lt;=17,"Afternoon (12-17)","Evening (18-23)")))</f>
        <v>Morning (6-11)</v>
      </c>
    </row>
    <row r="1833" customFormat="false" ht="15" hidden="false" customHeight="false" outlineLevel="0" collapsed="false">
      <c r="A1833" s="2" t="s">
        <v>2965</v>
      </c>
      <c r="B1833" s="2" t="s">
        <v>327</v>
      </c>
      <c r="C1833" s="2" t="s">
        <v>91</v>
      </c>
      <c r="D1833" s="3" t="n">
        <v>45895</v>
      </c>
      <c r="E1833" s="2" t="s">
        <v>1503</v>
      </c>
      <c r="F1833" s="2" t="s">
        <v>38</v>
      </c>
      <c r="G1833" s="2" t="n">
        <v>16943</v>
      </c>
      <c r="H1833" s="2" t="n">
        <v>10</v>
      </c>
      <c r="I1833" s="2" t="n">
        <v>163</v>
      </c>
      <c r="J1833" s="2" t="n">
        <v>0</v>
      </c>
      <c r="K1833" s="2" t="n">
        <v>3798</v>
      </c>
      <c r="L1833" s="2" t="n">
        <v>2112</v>
      </c>
      <c r="M1833" s="2" t="n">
        <v>162</v>
      </c>
      <c r="N1833" s="2" t="n">
        <v>10</v>
      </c>
      <c r="O1833" s="2" t="n">
        <v>19</v>
      </c>
      <c r="P1833" s="2" t="n">
        <v>35</v>
      </c>
      <c r="Q1833" s="2" t="n">
        <v>18</v>
      </c>
      <c r="R1833" s="2" t="n">
        <v>2</v>
      </c>
      <c r="S1833" s="2" t="n">
        <v>4</v>
      </c>
      <c r="T1833" s="2" t="s">
        <v>51</v>
      </c>
      <c r="U1833" s="4" t="n">
        <f aca="false">(M1833+N1833+O1833+P1833)/L1833</f>
        <v>0.107007575757576</v>
      </c>
      <c r="V1833" s="2" t="str">
        <f aca="false">IF(S1833&lt;=5,"Late night (0-5)",IF(S1833&lt;=11,"Morning (6-11)",IF(S1833&lt;=17,"Afternoon (12-17)","Evening (18-23)")))</f>
        <v>Late night (0-5)</v>
      </c>
    </row>
    <row r="1834" customFormat="false" ht="15" hidden="false" customHeight="false" outlineLevel="0" collapsed="false">
      <c r="A1834" s="2" t="s">
        <v>2966</v>
      </c>
      <c r="B1834" s="2" t="s">
        <v>264</v>
      </c>
      <c r="C1834" s="2" t="s">
        <v>36</v>
      </c>
      <c r="D1834" s="3" t="n">
        <v>45846</v>
      </c>
      <c r="E1834" s="2" t="s">
        <v>1006</v>
      </c>
      <c r="F1834" s="2" t="s">
        <v>50</v>
      </c>
      <c r="G1834" s="2" t="n">
        <v>22362</v>
      </c>
      <c r="H1834" s="2" t="n">
        <v>15</v>
      </c>
      <c r="I1834" s="2" t="n">
        <v>71</v>
      </c>
      <c r="J1834" s="2" t="n">
        <v>0</v>
      </c>
      <c r="K1834" s="2" t="n">
        <v>49552</v>
      </c>
      <c r="L1834" s="2" t="n">
        <v>29024</v>
      </c>
      <c r="M1834" s="2" t="n">
        <v>1520</v>
      </c>
      <c r="N1834" s="2" t="n">
        <v>46</v>
      </c>
      <c r="O1834" s="2" t="n">
        <v>196</v>
      </c>
      <c r="P1834" s="2" t="n">
        <v>235</v>
      </c>
      <c r="Q1834" s="2" t="n">
        <v>156</v>
      </c>
      <c r="R1834" s="2" t="n">
        <v>10</v>
      </c>
      <c r="S1834" s="2" t="n">
        <v>8</v>
      </c>
      <c r="T1834" s="2" t="s">
        <v>51</v>
      </c>
      <c r="U1834" s="4" t="n">
        <f aca="false">(M1834+N1834+O1834+P1834)/L1834</f>
        <v>0.0688051267916207</v>
      </c>
      <c r="V1834" s="2" t="str">
        <f aca="false">IF(S1834&lt;=5,"Late night (0-5)",IF(S1834&lt;=11,"Morning (6-11)",IF(S1834&lt;=17,"Afternoon (12-17)","Evening (18-23)")))</f>
        <v>Morning (6-11)</v>
      </c>
    </row>
    <row r="1835" customFormat="false" ht="15" hidden="false" customHeight="false" outlineLevel="0" collapsed="false">
      <c r="A1835" s="2" t="s">
        <v>2967</v>
      </c>
      <c r="B1835" s="2" t="s">
        <v>310</v>
      </c>
      <c r="C1835" s="2" t="s">
        <v>91</v>
      </c>
      <c r="D1835" s="3" t="n">
        <v>45763</v>
      </c>
      <c r="E1835" s="2" t="s">
        <v>781</v>
      </c>
      <c r="F1835" s="2" t="s">
        <v>38</v>
      </c>
      <c r="G1835" s="2" t="n">
        <v>56571</v>
      </c>
      <c r="H1835" s="2" t="n">
        <v>15</v>
      </c>
      <c r="I1835" s="2" t="n">
        <v>217</v>
      </c>
      <c r="J1835" s="2" t="n">
        <v>0</v>
      </c>
      <c r="K1835" s="2" t="n">
        <v>12187</v>
      </c>
      <c r="L1835" s="2" t="n">
        <v>8769</v>
      </c>
      <c r="M1835" s="2" t="n">
        <v>677</v>
      </c>
      <c r="N1835" s="2" t="n">
        <v>50</v>
      </c>
      <c r="O1835" s="2" t="n">
        <v>88</v>
      </c>
      <c r="P1835" s="2" t="n">
        <v>84</v>
      </c>
      <c r="Q1835" s="2" t="n">
        <v>193</v>
      </c>
      <c r="R1835" s="2" t="n">
        <v>45</v>
      </c>
      <c r="S1835" s="2" t="n">
        <v>2</v>
      </c>
      <c r="T1835" s="2" t="s">
        <v>66</v>
      </c>
      <c r="U1835" s="4" t="n">
        <f aca="false">(M1835+N1835+O1835+P1835)/L1835</f>
        <v>0.102520241760748</v>
      </c>
      <c r="V1835" s="2" t="str">
        <f aca="false">IF(S1835&lt;=5,"Late night (0-5)",IF(S1835&lt;=11,"Morning (6-11)",IF(S1835&lt;=17,"Afternoon (12-17)","Evening (18-23)")))</f>
        <v>Late night (0-5)</v>
      </c>
    </row>
    <row r="1836" customFormat="false" ht="15" hidden="false" customHeight="false" outlineLevel="0" collapsed="false">
      <c r="A1836" s="2" t="s">
        <v>2968</v>
      </c>
      <c r="B1836" s="2" t="s">
        <v>151</v>
      </c>
      <c r="C1836" s="2" t="s">
        <v>36</v>
      </c>
      <c r="D1836" s="3" t="n">
        <v>45934</v>
      </c>
      <c r="E1836" s="2" t="s">
        <v>2947</v>
      </c>
      <c r="F1836" s="2" t="s">
        <v>26</v>
      </c>
      <c r="G1836" s="2" t="n">
        <v>19247</v>
      </c>
      <c r="H1836" s="2" t="n">
        <v>12</v>
      </c>
      <c r="I1836" s="2" t="n">
        <v>205</v>
      </c>
      <c r="J1836" s="2" t="n">
        <v>0</v>
      </c>
      <c r="K1836" s="2" t="n">
        <v>27541</v>
      </c>
      <c r="L1836" s="2" t="n">
        <v>15421</v>
      </c>
      <c r="M1836" s="2" t="n">
        <v>1280</v>
      </c>
      <c r="N1836" s="2" t="n">
        <v>48</v>
      </c>
      <c r="O1836" s="2" t="n">
        <v>205</v>
      </c>
      <c r="P1836" s="2" t="n">
        <v>240</v>
      </c>
      <c r="Q1836" s="2" t="n">
        <v>310</v>
      </c>
      <c r="R1836" s="2" t="n">
        <v>66</v>
      </c>
      <c r="S1836" s="2" t="n">
        <v>20</v>
      </c>
      <c r="T1836" s="2" t="s">
        <v>62</v>
      </c>
      <c r="U1836" s="4" t="n">
        <f aca="false">(M1836+N1836+O1836+P1836)/L1836</f>
        <v>0.114973088645354</v>
      </c>
      <c r="V1836" s="2" t="str">
        <f aca="false">IF(S1836&lt;=5,"Late night (0-5)",IF(S1836&lt;=11,"Morning (6-11)",IF(S1836&lt;=17,"Afternoon (12-17)","Evening (18-23)")))</f>
        <v>Evening (18-23)</v>
      </c>
    </row>
    <row r="1837" customFormat="false" ht="15" hidden="false" customHeight="false" outlineLevel="0" collapsed="false">
      <c r="A1837" s="2" t="s">
        <v>2969</v>
      </c>
      <c r="B1837" s="2" t="s">
        <v>53</v>
      </c>
      <c r="C1837" s="2" t="s">
        <v>54</v>
      </c>
      <c r="D1837" s="3" t="n">
        <v>45907</v>
      </c>
      <c r="E1837" s="2" t="s">
        <v>490</v>
      </c>
      <c r="F1837" s="2" t="s">
        <v>32</v>
      </c>
      <c r="G1837" s="2" t="n">
        <v>11318</v>
      </c>
      <c r="H1837" s="2" t="n">
        <v>16</v>
      </c>
      <c r="I1837" s="2" t="n">
        <v>88</v>
      </c>
      <c r="J1837" s="2" t="n">
        <v>1</v>
      </c>
      <c r="K1837" s="2" t="n">
        <v>5248</v>
      </c>
      <c r="L1837" s="2" t="n">
        <v>3894</v>
      </c>
      <c r="M1837" s="2" t="n">
        <v>161</v>
      </c>
      <c r="N1837" s="2" t="n">
        <v>12</v>
      </c>
      <c r="O1837" s="2" t="n">
        <v>20</v>
      </c>
      <c r="P1837" s="2" t="n">
        <v>45</v>
      </c>
      <c r="Q1837" s="2" t="n">
        <v>85</v>
      </c>
      <c r="R1837" s="2" t="n">
        <v>16</v>
      </c>
      <c r="S1837" s="2" t="n">
        <v>3</v>
      </c>
      <c r="T1837" s="2" t="s">
        <v>27</v>
      </c>
      <c r="U1837" s="4" t="n">
        <f aca="false">(M1837+N1837+O1837+P1837)/L1837</f>
        <v>0.0611196712891628</v>
      </c>
      <c r="V1837" s="2" t="str">
        <f aca="false">IF(S1837&lt;=5,"Late night (0-5)",IF(S1837&lt;=11,"Morning (6-11)",IF(S1837&lt;=17,"Afternoon (12-17)","Evening (18-23)")))</f>
        <v>Late night (0-5)</v>
      </c>
    </row>
    <row r="1838" customFormat="false" ht="15" hidden="false" customHeight="false" outlineLevel="0" collapsed="false">
      <c r="A1838" s="2" t="s">
        <v>2970</v>
      </c>
      <c r="B1838" s="2" t="s">
        <v>103</v>
      </c>
      <c r="C1838" s="2" t="s">
        <v>36</v>
      </c>
      <c r="D1838" s="3" t="n">
        <v>45999</v>
      </c>
      <c r="E1838" s="2" t="s">
        <v>1852</v>
      </c>
      <c r="F1838" s="2" t="s">
        <v>38</v>
      </c>
      <c r="G1838" s="2" t="n">
        <v>56979</v>
      </c>
      <c r="H1838" s="2" t="n">
        <v>11</v>
      </c>
      <c r="I1838" s="2" t="n">
        <v>161</v>
      </c>
      <c r="J1838" s="2" t="n">
        <v>1</v>
      </c>
      <c r="K1838" s="2" t="n">
        <v>18837</v>
      </c>
      <c r="L1838" s="2" t="n">
        <v>12716</v>
      </c>
      <c r="M1838" s="2" t="n">
        <v>885</v>
      </c>
      <c r="N1838" s="2" t="n">
        <v>40</v>
      </c>
      <c r="O1838" s="2" t="n">
        <v>59</v>
      </c>
      <c r="P1838" s="2" t="n">
        <v>236</v>
      </c>
      <c r="Q1838" s="2" t="n">
        <v>173</v>
      </c>
      <c r="R1838" s="2" t="n">
        <v>48</v>
      </c>
      <c r="S1838" s="2" t="n">
        <v>1</v>
      </c>
      <c r="T1838" s="2" t="s">
        <v>33</v>
      </c>
      <c r="U1838" s="4" t="n">
        <f aca="false">(M1838+N1838+O1838+P1838)/L1838</f>
        <v>0.0959421201635735</v>
      </c>
      <c r="V1838" s="2" t="str">
        <f aca="false">IF(S1838&lt;=5,"Late night (0-5)",IF(S1838&lt;=11,"Morning (6-11)",IF(S1838&lt;=17,"Afternoon (12-17)","Evening (18-23)")))</f>
        <v>Late night (0-5)</v>
      </c>
    </row>
    <row r="1839" customFormat="false" ht="15" hidden="false" customHeight="false" outlineLevel="0" collapsed="false">
      <c r="A1839" s="2" t="s">
        <v>2971</v>
      </c>
      <c r="B1839" s="2" t="s">
        <v>151</v>
      </c>
      <c r="C1839" s="2" t="s">
        <v>36</v>
      </c>
      <c r="D1839" s="3" t="n">
        <v>45899</v>
      </c>
      <c r="E1839" s="2" t="s">
        <v>480</v>
      </c>
      <c r="F1839" s="2" t="s">
        <v>26</v>
      </c>
      <c r="G1839" s="2" t="n">
        <v>19247</v>
      </c>
      <c r="H1839" s="2" t="n">
        <v>7</v>
      </c>
      <c r="I1839" s="2" t="n">
        <v>300</v>
      </c>
      <c r="J1839" s="2" t="n">
        <v>1</v>
      </c>
      <c r="K1839" s="2" t="n">
        <v>39472</v>
      </c>
      <c r="L1839" s="2" t="n">
        <v>22783</v>
      </c>
      <c r="M1839" s="2" t="n">
        <v>1840</v>
      </c>
      <c r="N1839" s="2" t="n">
        <v>93</v>
      </c>
      <c r="O1839" s="2" t="n">
        <v>279</v>
      </c>
      <c r="P1839" s="2" t="n">
        <v>381</v>
      </c>
      <c r="Q1839" s="2" t="n">
        <v>555</v>
      </c>
      <c r="R1839" s="2" t="n">
        <v>51</v>
      </c>
      <c r="S1839" s="2" t="n">
        <v>1</v>
      </c>
      <c r="T1839" s="2" t="s">
        <v>62</v>
      </c>
      <c r="U1839" s="4" t="n">
        <f aca="false">(M1839+N1839+O1839+P1839)/L1839</f>
        <v>0.113812930693938</v>
      </c>
      <c r="V1839" s="2" t="str">
        <f aca="false">IF(S1839&lt;=5,"Late night (0-5)",IF(S1839&lt;=11,"Morning (6-11)",IF(S1839&lt;=17,"Afternoon (12-17)","Evening (18-23)")))</f>
        <v>Late night (0-5)</v>
      </c>
    </row>
    <row r="1840" customFormat="false" ht="15" hidden="false" customHeight="false" outlineLevel="0" collapsed="false">
      <c r="A1840" s="2" t="s">
        <v>2972</v>
      </c>
      <c r="B1840" s="2" t="s">
        <v>220</v>
      </c>
      <c r="C1840" s="2" t="s">
        <v>48</v>
      </c>
      <c r="D1840" s="3" t="n">
        <v>45987</v>
      </c>
      <c r="E1840" s="2" t="s">
        <v>2973</v>
      </c>
      <c r="F1840" s="2" t="s">
        <v>32</v>
      </c>
      <c r="G1840" s="2" t="n">
        <v>18917</v>
      </c>
      <c r="H1840" s="2" t="n">
        <v>15</v>
      </c>
      <c r="I1840" s="2" t="n">
        <v>212</v>
      </c>
      <c r="J1840" s="2" t="n">
        <v>0</v>
      </c>
      <c r="K1840" s="2" t="n">
        <v>36976</v>
      </c>
      <c r="L1840" s="2" t="n">
        <v>21001</v>
      </c>
      <c r="M1840" s="2" t="n">
        <v>1815</v>
      </c>
      <c r="N1840" s="2" t="n">
        <v>141</v>
      </c>
      <c r="O1840" s="2" t="n">
        <v>473</v>
      </c>
      <c r="P1840" s="2" t="n">
        <v>461</v>
      </c>
      <c r="Q1840" s="2" t="n">
        <v>485</v>
      </c>
      <c r="R1840" s="2" t="n">
        <v>102</v>
      </c>
      <c r="S1840" s="2" t="n">
        <v>10</v>
      </c>
      <c r="T1840" s="2" t="s">
        <v>66</v>
      </c>
      <c r="U1840" s="4" t="n">
        <f aca="false">(M1840+N1840+O1840+P1840)/L1840</f>
        <v>0.137612494643112</v>
      </c>
      <c r="V1840" s="2" t="str">
        <f aca="false">IF(S1840&lt;=5,"Late night (0-5)",IF(S1840&lt;=11,"Morning (6-11)",IF(S1840&lt;=17,"Afternoon (12-17)","Evening (18-23)")))</f>
        <v>Morning (6-11)</v>
      </c>
    </row>
    <row r="1841" customFormat="false" ht="15" hidden="false" customHeight="false" outlineLevel="0" collapsed="false">
      <c r="A1841" s="2" t="s">
        <v>2974</v>
      </c>
      <c r="B1841" s="2" t="s">
        <v>360</v>
      </c>
      <c r="C1841" s="2" t="s">
        <v>48</v>
      </c>
      <c r="D1841" s="3" t="n">
        <v>45880</v>
      </c>
      <c r="E1841" s="2" t="s">
        <v>800</v>
      </c>
      <c r="F1841" s="2" t="s">
        <v>26</v>
      </c>
      <c r="G1841" s="2" t="n">
        <v>19542</v>
      </c>
      <c r="H1841" s="2" t="n">
        <v>10</v>
      </c>
      <c r="I1841" s="2" t="n">
        <v>354</v>
      </c>
      <c r="J1841" s="2" t="n">
        <v>1</v>
      </c>
      <c r="K1841" s="2" t="n">
        <v>36764</v>
      </c>
      <c r="L1841" s="2" t="n">
        <v>21224</v>
      </c>
      <c r="M1841" s="2" t="n">
        <v>1329</v>
      </c>
      <c r="N1841" s="2" t="n">
        <v>64</v>
      </c>
      <c r="O1841" s="2" t="n">
        <v>207</v>
      </c>
      <c r="P1841" s="2" t="n">
        <v>97</v>
      </c>
      <c r="Q1841" s="2" t="n">
        <v>168</v>
      </c>
      <c r="R1841" s="2" t="n">
        <v>12</v>
      </c>
      <c r="S1841" s="2" t="n">
        <v>17</v>
      </c>
      <c r="T1841" s="2" t="s">
        <v>33</v>
      </c>
      <c r="U1841" s="4" t="n">
        <f aca="false">(M1841+N1841+O1841+P1841)/L1841</f>
        <v>0.0799566528458349</v>
      </c>
      <c r="V1841" s="2" t="str">
        <f aca="false">IF(S1841&lt;=5,"Late night (0-5)",IF(S1841&lt;=11,"Morning (6-11)",IF(S1841&lt;=17,"Afternoon (12-17)","Evening (18-23)")))</f>
        <v>Afternoon (12-17)</v>
      </c>
    </row>
    <row r="1842" customFormat="false" ht="15" hidden="false" customHeight="false" outlineLevel="0" collapsed="false">
      <c r="A1842" s="2" t="s">
        <v>2975</v>
      </c>
      <c r="B1842" s="2" t="s">
        <v>206</v>
      </c>
      <c r="C1842" s="2" t="s">
        <v>48</v>
      </c>
      <c r="D1842" s="3" t="n">
        <v>45682</v>
      </c>
      <c r="E1842" s="2" t="s">
        <v>779</v>
      </c>
      <c r="F1842" s="2" t="s">
        <v>38</v>
      </c>
      <c r="G1842" s="2" t="n">
        <v>42937</v>
      </c>
      <c r="H1842" s="2" t="n">
        <v>11</v>
      </c>
      <c r="I1842" s="2" t="n">
        <v>142</v>
      </c>
      <c r="J1842" s="2" t="n">
        <v>1</v>
      </c>
      <c r="K1842" s="2" t="n">
        <v>24097</v>
      </c>
      <c r="L1842" s="2" t="n">
        <v>14913</v>
      </c>
      <c r="M1842" s="2" t="n">
        <v>885</v>
      </c>
      <c r="N1842" s="2" t="n">
        <v>35</v>
      </c>
      <c r="O1842" s="2" t="n">
        <v>51</v>
      </c>
      <c r="P1842" s="2" t="n">
        <v>108</v>
      </c>
      <c r="Q1842" s="2" t="n">
        <v>359</v>
      </c>
      <c r="R1842" s="2" t="n">
        <v>54</v>
      </c>
      <c r="S1842" s="2" t="n">
        <v>6</v>
      </c>
      <c r="T1842" s="2" t="s">
        <v>62</v>
      </c>
      <c r="U1842" s="4" t="n">
        <f aca="false">(M1842+N1842+O1842+P1842)/L1842</f>
        <v>0.0723529806209348</v>
      </c>
      <c r="V1842" s="2" t="str">
        <f aca="false">IF(S1842&lt;=5,"Late night (0-5)",IF(S1842&lt;=11,"Morning (6-11)",IF(S1842&lt;=17,"Afternoon (12-17)","Evening (18-23)")))</f>
        <v>Morning (6-11)</v>
      </c>
    </row>
    <row r="1843" customFormat="false" ht="15" hidden="false" customHeight="false" outlineLevel="0" collapsed="false">
      <c r="A1843" s="2" t="s">
        <v>2976</v>
      </c>
      <c r="B1843" s="2" t="s">
        <v>181</v>
      </c>
      <c r="C1843" s="2" t="s">
        <v>91</v>
      </c>
      <c r="D1843" s="3" t="n">
        <v>45713</v>
      </c>
      <c r="E1843" s="2" t="s">
        <v>516</v>
      </c>
      <c r="F1843" s="2" t="s">
        <v>38</v>
      </c>
      <c r="G1843" s="2" t="n">
        <v>31658</v>
      </c>
      <c r="H1843" s="2" t="n">
        <v>5</v>
      </c>
      <c r="I1843" s="2" t="n">
        <v>257</v>
      </c>
      <c r="J1843" s="2" t="n">
        <v>1</v>
      </c>
      <c r="K1843" s="2" t="n">
        <v>35516</v>
      </c>
      <c r="L1843" s="2" t="n">
        <v>23318</v>
      </c>
      <c r="M1843" s="2" t="n">
        <v>1166</v>
      </c>
      <c r="N1843" s="2" t="n">
        <v>37</v>
      </c>
      <c r="O1843" s="2" t="n">
        <v>210</v>
      </c>
      <c r="P1843" s="2" t="n">
        <v>99</v>
      </c>
      <c r="Q1843" s="2" t="n">
        <v>362</v>
      </c>
      <c r="R1843" s="2" t="n">
        <v>74</v>
      </c>
      <c r="S1843" s="2" t="n">
        <v>19</v>
      </c>
      <c r="T1843" s="2" t="s">
        <v>51</v>
      </c>
      <c r="U1843" s="4" t="n">
        <f aca="false">(M1843+N1843+O1843+P1843)/L1843</f>
        <v>0.0648426108585642</v>
      </c>
      <c r="V1843" s="2" t="str">
        <f aca="false">IF(S1843&lt;=5,"Late night (0-5)",IF(S1843&lt;=11,"Morning (6-11)",IF(S1843&lt;=17,"Afternoon (12-17)","Evening (18-23)")))</f>
        <v>Evening (18-23)</v>
      </c>
    </row>
    <row r="1844" customFormat="false" ht="15" hidden="false" customHeight="false" outlineLevel="0" collapsed="false">
      <c r="A1844" s="2" t="s">
        <v>2977</v>
      </c>
      <c r="B1844" s="2" t="s">
        <v>60</v>
      </c>
      <c r="C1844" s="2" t="s">
        <v>41</v>
      </c>
      <c r="D1844" s="3" t="n">
        <v>45676</v>
      </c>
      <c r="E1844" s="2" t="s">
        <v>1535</v>
      </c>
      <c r="F1844" s="2" t="s">
        <v>38</v>
      </c>
      <c r="G1844" s="2" t="n">
        <v>7512</v>
      </c>
      <c r="H1844" s="2" t="n">
        <v>5</v>
      </c>
      <c r="I1844" s="2" t="n">
        <v>237</v>
      </c>
      <c r="J1844" s="2" t="n">
        <v>1</v>
      </c>
      <c r="K1844" s="2" t="n">
        <v>5130</v>
      </c>
      <c r="L1844" s="2" t="n">
        <v>3007</v>
      </c>
      <c r="M1844" s="2" t="n">
        <v>236</v>
      </c>
      <c r="N1844" s="2" t="n">
        <v>17</v>
      </c>
      <c r="O1844" s="2" t="n">
        <v>45</v>
      </c>
      <c r="P1844" s="2" t="n">
        <v>40</v>
      </c>
      <c r="Q1844" s="2" t="n">
        <v>22</v>
      </c>
      <c r="R1844" s="2" t="n">
        <v>5</v>
      </c>
      <c r="S1844" s="2" t="n">
        <v>10</v>
      </c>
      <c r="T1844" s="2" t="s">
        <v>27</v>
      </c>
      <c r="U1844" s="4" t="n">
        <f aca="false">(M1844+N1844+O1844+P1844)/L1844</f>
        <v>0.112404389757233</v>
      </c>
      <c r="V1844" s="2" t="str">
        <f aca="false">IF(S1844&lt;=5,"Late night (0-5)",IF(S1844&lt;=11,"Morning (6-11)",IF(S1844&lt;=17,"Afternoon (12-17)","Evening (18-23)")))</f>
        <v>Morning (6-11)</v>
      </c>
    </row>
    <row r="1845" customFormat="false" ht="15" hidden="false" customHeight="false" outlineLevel="0" collapsed="false">
      <c r="A1845" s="2" t="s">
        <v>2978</v>
      </c>
      <c r="B1845" s="2" t="s">
        <v>83</v>
      </c>
      <c r="C1845" s="2" t="s">
        <v>84</v>
      </c>
      <c r="D1845" s="3" t="n">
        <v>45745</v>
      </c>
      <c r="E1845" s="2" t="s">
        <v>2979</v>
      </c>
      <c r="F1845" s="2" t="s">
        <v>32</v>
      </c>
      <c r="G1845" s="2" t="n">
        <v>17918</v>
      </c>
      <c r="H1845" s="2" t="n">
        <v>18</v>
      </c>
      <c r="I1845" s="2" t="n">
        <v>83</v>
      </c>
      <c r="J1845" s="2" t="n">
        <v>0</v>
      </c>
      <c r="K1845" s="2" t="n">
        <v>37717</v>
      </c>
      <c r="L1845" s="2" t="n">
        <v>28863</v>
      </c>
      <c r="M1845" s="2" t="n">
        <v>2064</v>
      </c>
      <c r="N1845" s="2" t="n">
        <v>44</v>
      </c>
      <c r="O1845" s="2" t="n">
        <v>226</v>
      </c>
      <c r="P1845" s="2" t="n">
        <v>296</v>
      </c>
      <c r="Q1845" s="2" t="n">
        <v>572</v>
      </c>
      <c r="R1845" s="2" t="n">
        <v>95</v>
      </c>
      <c r="S1845" s="2" t="n">
        <v>21</v>
      </c>
      <c r="T1845" s="2" t="s">
        <v>62</v>
      </c>
      <c r="U1845" s="4" t="n">
        <f aca="false">(M1845+N1845+O1845+P1845)/L1845</f>
        <v>0.09112011918373</v>
      </c>
      <c r="V1845" s="2" t="str">
        <f aca="false">IF(S1845&lt;=5,"Late night (0-5)",IF(S1845&lt;=11,"Morning (6-11)",IF(S1845&lt;=17,"Afternoon (12-17)","Evening (18-23)")))</f>
        <v>Evening (18-23)</v>
      </c>
    </row>
    <row r="1846" customFormat="false" ht="15" hidden="false" customHeight="false" outlineLevel="0" collapsed="false">
      <c r="A1846" s="2" t="s">
        <v>2980</v>
      </c>
      <c r="B1846" s="2" t="s">
        <v>126</v>
      </c>
      <c r="C1846" s="2" t="s">
        <v>36</v>
      </c>
      <c r="D1846" s="3" t="n">
        <v>45761</v>
      </c>
      <c r="E1846" s="2" t="s">
        <v>2740</v>
      </c>
      <c r="F1846" s="2" t="s">
        <v>38</v>
      </c>
      <c r="G1846" s="2" t="n">
        <v>28784</v>
      </c>
      <c r="H1846" s="2" t="n">
        <v>13</v>
      </c>
      <c r="I1846" s="2" t="n">
        <v>245</v>
      </c>
      <c r="J1846" s="2" t="n">
        <v>0</v>
      </c>
      <c r="K1846" s="2" t="n">
        <v>4966</v>
      </c>
      <c r="L1846" s="2" t="n">
        <v>3835</v>
      </c>
      <c r="M1846" s="2" t="n">
        <v>153</v>
      </c>
      <c r="N1846" s="2" t="n">
        <v>5</v>
      </c>
      <c r="O1846" s="2" t="n">
        <v>24</v>
      </c>
      <c r="P1846" s="2" t="n">
        <v>12</v>
      </c>
      <c r="Q1846" s="2" t="n">
        <v>77</v>
      </c>
      <c r="R1846" s="2" t="n">
        <v>15</v>
      </c>
      <c r="S1846" s="2" t="n">
        <v>9</v>
      </c>
      <c r="T1846" s="2" t="s">
        <v>33</v>
      </c>
      <c r="U1846" s="4" t="n">
        <f aca="false">(M1846+N1846+O1846+P1846)/L1846</f>
        <v>0.0505867014341591</v>
      </c>
      <c r="V1846" s="2" t="str">
        <f aca="false">IF(S1846&lt;=5,"Late night (0-5)",IF(S1846&lt;=11,"Morning (6-11)",IF(S1846&lt;=17,"Afternoon (12-17)","Evening (18-23)")))</f>
        <v>Morning (6-11)</v>
      </c>
    </row>
    <row r="1847" customFormat="false" ht="15" hidden="false" customHeight="false" outlineLevel="0" collapsed="false">
      <c r="A1847" s="2" t="s">
        <v>2981</v>
      </c>
      <c r="B1847" s="2" t="s">
        <v>345</v>
      </c>
      <c r="C1847" s="2" t="s">
        <v>30</v>
      </c>
      <c r="D1847" s="3" t="n">
        <v>45852</v>
      </c>
      <c r="E1847" s="2" t="s">
        <v>2982</v>
      </c>
      <c r="F1847" s="2" t="s">
        <v>50</v>
      </c>
      <c r="G1847" s="2" t="n">
        <v>8662</v>
      </c>
      <c r="H1847" s="2" t="n">
        <v>21</v>
      </c>
      <c r="I1847" s="2" t="n">
        <v>168</v>
      </c>
      <c r="J1847" s="2" t="n">
        <v>0</v>
      </c>
      <c r="K1847" s="2" t="n">
        <v>4836</v>
      </c>
      <c r="L1847" s="2" t="n">
        <v>3193</v>
      </c>
      <c r="M1847" s="2" t="n">
        <v>199</v>
      </c>
      <c r="N1847" s="2" t="n">
        <v>4</v>
      </c>
      <c r="O1847" s="2" t="n">
        <v>36</v>
      </c>
      <c r="P1847" s="2" t="n">
        <v>41</v>
      </c>
      <c r="Q1847" s="2" t="n">
        <v>61</v>
      </c>
      <c r="R1847" s="2" t="n">
        <v>11</v>
      </c>
      <c r="S1847" s="2" t="n">
        <v>6</v>
      </c>
      <c r="T1847" s="2" t="s">
        <v>33</v>
      </c>
      <c r="U1847" s="4" t="n">
        <f aca="false">(M1847+N1847+O1847+P1847)/L1847</f>
        <v>0.0876918258690886</v>
      </c>
      <c r="V1847" s="2" t="str">
        <f aca="false">IF(S1847&lt;=5,"Late night (0-5)",IF(S1847&lt;=11,"Morning (6-11)",IF(S1847&lt;=17,"Afternoon (12-17)","Evening (18-23)")))</f>
        <v>Morning (6-11)</v>
      </c>
    </row>
    <row r="1848" customFormat="false" ht="15" hidden="false" customHeight="false" outlineLevel="0" collapsed="false">
      <c r="A1848" s="2" t="s">
        <v>2983</v>
      </c>
      <c r="B1848" s="2" t="s">
        <v>220</v>
      </c>
      <c r="C1848" s="2" t="s">
        <v>48</v>
      </c>
      <c r="D1848" s="3" t="n">
        <v>45856</v>
      </c>
      <c r="E1848" s="2" t="s">
        <v>2806</v>
      </c>
      <c r="F1848" s="2" t="s">
        <v>32</v>
      </c>
      <c r="G1848" s="2" t="n">
        <v>18917</v>
      </c>
      <c r="H1848" s="2" t="n">
        <v>19</v>
      </c>
      <c r="I1848" s="2" t="n">
        <v>127</v>
      </c>
      <c r="J1848" s="2" t="n">
        <v>0</v>
      </c>
      <c r="K1848" s="2" t="n">
        <v>78273</v>
      </c>
      <c r="L1848" s="2" t="n">
        <v>57301</v>
      </c>
      <c r="M1848" s="2" t="n">
        <v>3509</v>
      </c>
      <c r="N1848" s="2" t="n">
        <v>198</v>
      </c>
      <c r="O1848" s="2" t="n">
        <v>409</v>
      </c>
      <c r="P1848" s="2" t="n">
        <v>299</v>
      </c>
      <c r="Q1848" s="2" t="n">
        <v>1663</v>
      </c>
      <c r="R1848" s="2" t="n">
        <v>419</v>
      </c>
      <c r="S1848" s="2" t="n">
        <v>21</v>
      </c>
      <c r="T1848" s="2" t="s">
        <v>96</v>
      </c>
      <c r="U1848" s="4" t="n">
        <f aca="false">(M1848+N1848+O1848+P1848)/L1848</f>
        <v>0.0770492661559135</v>
      </c>
      <c r="V1848" s="2" t="str">
        <f aca="false">IF(S1848&lt;=5,"Late night (0-5)",IF(S1848&lt;=11,"Morning (6-11)",IF(S1848&lt;=17,"Afternoon (12-17)","Evening (18-23)")))</f>
        <v>Evening (18-23)</v>
      </c>
    </row>
    <row r="1849" customFormat="false" ht="15" hidden="false" customHeight="false" outlineLevel="0" collapsed="false">
      <c r="A1849" s="2" t="s">
        <v>2984</v>
      </c>
      <c r="B1849" s="2" t="s">
        <v>220</v>
      </c>
      <c r="C1849" s="2" t="s">
        <v>48</v>
      </c>
      <c r="D1849" s="3" t="n">
        <v>45697</v>
      </c>
      <c r="E1849" s="2" t="s">
        <v>1092</v>
      </c>
      <c r="F1849" s="2" t="s">
        <v>32</v>
      </c>
      <c r="G1849" s="2" t="n">
        <v>18917</v>
      </c>
      <c r="H1849" s="2" t="n">
        <v>8</v>
      </c>
      <c r="I1849" s="2" t="n">
        <v>158</v>
      </c>
      <c r="J1849" s="2" t="n">
        <v>1</v>
      </c>
      <c r="K1849" s="2" t="n">
        <v>60360</v>
      </c>
      <c r="L1849" s="2" t="n">
        <v>52032</v>
      </c>
      <c r="M1849" s="2" t="n">
        <v>4744</v>
      </c>
      <c r="N1849" s="2" t="n">
        <v>165</v>
      </c>
      <c r="O1849" s="2" t="n">
        <v>1324</v>
      </c>
      <c r="P1849" s="2" t="n">
        <v>243</v>
      </c>
      <c r="Q1849" s="2" t="n">
        <v>984</v>
      </c>
      <c r="R1849" s="2" t="n">
        <v>202</v>
      </c>
      <c r="S1849" s="2" t="n">
        <v>21</v>
      </c>
      <c r="T1849" s="2" t="s">
        <v>27</v>
      </c>
      <c r="U1849" s="4" t="n">
        <f aca="false">(M1849+N1849+O1849+P1849)/L1849</f>
        <v>0.124461869618696</v>
      </c>
      <c r="V1849" s="2" t="str">
        <f aca="false">IF(S1849&lt;=5,"Late night (0-5)",IF(S1849&lt;=11,"Morning (6-11)",IF(S1849&lt;=17,"Afternoon (12-17)","Evening (18-23)")))</f>
        <v>Evening (18-23)</v>
      </c>
    </row>
    <row r="1850" customFormat="false" ht="15" hidden="false" customHeight="false" outlineLevel="0" collapsed="false">
      <c r="A1850" s="2" t="s">
        <v>2985</v>
      </c>
      <c r="B1850" s="2" t="s">
        <v>106</v>
      </c>
      <c r="C1850" s="2" t="s">
        <v>91</v>
      </c>
      <c r="D1850" s="3" t="n">
        <v>45747</v>
      </c>
      <c r="E1850" s="2" t="s">
        <v>2986</v>
      </c>
      <c r="F1850" s="2" t="s">
        <v>32</v>
      </c>
      <c r="G1850" s="2" t="n">
        <v>59477</v>
      </c>
      <c r="H1850" s="2" t="n">
        <v>8</v>
      </c>
      <c r="I1850" s="2" t="n">
        <v>323</v>
      </c>
      <c r="J1850" s="2" t="n">
        <v>0</v>
      </c>
      <c r="K1850" s="2" t="n">
        <v>101822</v>
      </c>
      <c r="L1850" s="2" t="n">
        <v>69440</v>
      </c>
      <c r="M1850" s="2" t="n">
        <v>6343</v>
      </c>
      <c r="N1850" s="2" t="n">
        <v>268</v>
      </c>
      <c r="O1850" s="2" t="n">
        <v>1335</v>
      </c>
      <c r="P1850" s="2" t="n">
        <v>438</v>
      </c>
      <c r="Q1850" s="2" t="n">
        <v>1182</v>
      </c>
      <c r="R1850" s="2" t="n">
        <v>87</v>
      </c>
      <c r="S1850" s="2" t="n">
        <v>21</v>
      </c>
      <c r="T1850" s="2" t="s">
        <v>33</v>
      </c>
      <c r="U1850" s="4" t="n">
        <f aca="false">(M1850+N1850+O1850+P1850)/L1850</f>
        <v>0.12073732718894</v>
      </c>
      <c r="V1850" s="2" t="str">
        <f aca="false">IF(S1850&lt;=5,"Late night (0-5)",IF(S1850&lt;=11,"Morning (6-11)",IF(S1850&lt;=17,"Afternoon (12-17)","Evening (18-23)")))</f>
        <v>Evening (18-23)</v>
      </c>
    </row>
    <row r="1851" customFormat="false" ht="15" hidden="false" customHeight="false" outlineLevel="0" collapsed="false">
      <c r="A1851" s="2" t="s">
        <v>2987</v>
      </c>
      <c r="B1851" s="2" t="s">
        <v>148</v>
      </c>
      <c r="C1851" s="2" t="s">
        <v>48</v>
      </c>
      <c r="D1851" s="3" t="n">
        <v>45856</v>
      </c>
      <c r="E1851" s="2" t="s">
        <v>2988</v>
      </c>
      <c r="F1851" s="2" t="s">
        <v>32</v>
      </c>
      <c r="G1851" s="2" t="n">
        <v>46311</v>
      </c>
      <c r="H1851" s="2" t="n">
        <v>16</v>
      </c>
      <c r="I1851" s="2" t="n">
        <v>142</v>
      </c>
      <c r="J1851" s="2" t="n">
        <v>0</v>
      </c>
      <c r="K1851" s="2" t="n">
        <v>101675</v>
      </c>
      <c r="L1851" s="2" t="n">
        <v>75845</v>
      </c>
      <c r="M1851" s="2" t="n">
        <v>5340</v>
      </c>
      <c r="N1851" s="2" t="n">
        <v>241</v>
      </c>
      <c r="O1851" s="2" t="n">
        <v>415</v>
      </c>
      <c r="P1851" s="2" t="n">
        <v>318</v>
      </c>
      <c r="Q1851" s="2" t="n">
        <v>446</v>
      </c>
      <c r="R1851" s="2" t="n">
        <v>61</v>
      </c>
      <c r="S1851" s="2" t="n">
        <v>17</v>
      </c>
      <c r="T1851" s="2" t="s">
        <v>96</v>
      </c>
      <c r="U1851" s="4" t="n">
        <f aca="false">(M1851+N1851+O1851+P1851)/L1851</f>
        <v>0.083248730964467</v>
      </c>
      <c r="V1851" s="2" t="str">
        <f aca="false">IF(S1851&lt;=5,"Late night (0-5)",IF(S1851&lt;=11,"Morning (6-11)",IF(S1851&lt;=17,"Afternoon (12-17)","Evening (18-23)")))</f>
        <v>Afternoon (12-17)</v>
      </c>
    </row>
    <row r="1852" customFormat="false" ht="15" hidden="false" customHeight="false" outlineLevel="0" collapsed="false">
      <c r="A1852" s="2" t="s">
        <v>2989</v>
      </c>
      <c r="B1852" s="2" t="s">
        <v>243</v>
      </c>
      <c r="C1852" s="2" t="s">
        <v>91</v>
      </c>
      <c r="D1852" s="3" t="n">
        <v>45747</v>
      </c>
      <c r="E1852" s="2" t="s">
        <v>457</v>
      </c>
      <c r="F1852" s="2" t="s">
        <v>26</v>
      </c>
      <c r="G1852" s="2" t="n">
        <v>42046</v>
      </c>
      <c r="H1852" s="2" t="n">
        <v>18</v>
      </c>
      <c r="I1852" s="2" t="n">
        <v>335</v>
      </c>
      <c r="J1852" s="2" t="n">
        <v>1</v>
      </c>
      <c r="K1852" s="2" t="n">
        <v>88701</v>
      </c>
      <c r="L1852" s="2" t="n">
        <v>59249</v>
      </c>
      <c r="M1852" s="2" t="n">
        <v>4908</v>
      </c>
      <c r="N1852" s="2" t="n">
        <v>184</v>
      </c>
      <c r="O1852" s="2" t="n">
        <v>394</v>
      </c>
      <c r="P1852" s="2" t="n">
        <v>903</v>
      </c>
      <c r="Q1852" s="2" t="n">
        <v>320</v>
      </c>
      <c r="R1852" s="2" t="n">
        <v>29</v>
      </c>
      <c r="S1852" s="2" t="n">
        <v>19</v>
      </c>
      <c r="T1852" s="2" t="s">
        <v>33</v>
      </c>
      <c r="U1852" s="4" t="n">
        <f aca="false">(M1852+N1852+O1852+P1852)/L1852</f>
        <v>0.107833043595673</v>
      </c>
      <c r="V1852" s="2" t="str">
        <f aca="false">IF(S1852&lt;=5,"Late night (0-5)",IF(S1852&lt;=11,"Morning (6-11)",IF(S1852&lt;=17,"Afternoon (12-17)","Evening (18-23)")))</f>
        <v>Evening (18-23)</v>
      </c>
    </row>
    <row r="1853" customFormat="false" ht="15" hidden="false" customHeight="false" outlineLevel="0" collapsed="false">
      <c r="A1853" s="2" t="s">
        <v>2990</v>
      </c>
      <c r="B1853" s="2" t="s">
        <v>138</v>
      </c>
      <c r="C1853" s="2" t="s">
        <v>41</v>
      </c>
      <c r="D1853" s="3" t="n">
        <v>45727</v>
      </c>
      <c r="E1853" s="2" t="s">
        <v>2991</v>
      </c>
      <c r="F1853" s="2" t="s">
        <v>50</v>
      </c>
      <c r="G1853" s="2" t="n">
        <v>18712</v>
      </c>
      <c r="H1853" s="2" t="n">
        <v>13</v>
      </c>
      <c r="I1853" s="2" t="n">
        <v>213</v>
      </c>
      <c r="J1853" s="2" t="n">
        <v>1</v>
      </c>
      <c r="K1853" s="2" t="n">
        <v>24841</v>
      </c>
      <c r="L1853" s="2" t="n">
        <v>18287</v>
      </c>
      <c r="M1853" s="2" t="n">
        <v>915</v>
      </c>
      <c r="N1853" s="2" t="n">
        <v>72</v>
      </c>
      <c r="O1853" s="2" t="n">
        <v>139</v>
      </c>
      <c r="P1853" s="2" t="n">
        <v>104</v>
      </c>
      <c r="Q1853" s="2" t="n">
        <v>435</v>
      </c>
      <c r="R1853" s="2" t="n">
        <v>35</v>
      </c>
      <c r="S1853" s="2" t="n">
        <v>3</v>
      </c>
      <c r="T1853" s="2" t="s">
        <v>51</v>
      </c>
      <c r="U1853" s="4" t="n">
        <f aca="false">(M1853+N1853+O1853+P1853)/L1853</f>
        <v>0.0672608957182698</v>
      </c>
      <c r="V1853" s="2" t="str">
        <f aca="false">IF(S1853&lt;=5,"Late night (0-5)",IF(S1853&lt;=11,"Morning (6-11)",IF(S1853&lt;=17,"Afternoon (12-17)","Evening (18-23)")))</f>
        <v>Late night (0-5)</v>
      </c>
    </row>
    <row r="1854" customFormat="false" ht="15" hidden="false" customHeight="false" outlineLevel="0" collapsed="false">
      <c r="A1854" s="2" t="s">
        <v>2992</v>
      </c>
      <c r="B1854" s="2" t="s">
        <v>68</v>
      </c>
      <c r="C1854" s="2" t="s">
        <v>54</v>
      </c>
      <c r="D1854" s="3" t="n">
        <v>45666</v>
      </c>
      <c r="E1854" s="2" t="s">
        <v>1163</v>
      </c>
      <c r="F1854" s="2" t="s">
        <v>50</v>
      </c>
      <c r="G1854" s="2" t="n">
        <v>35922</v>
      </c>
      <c r="H1854" s="2" t="n">
        <v>18</v>
      </c>
      <c r="I1854" s="2" t="n">
        <v>87</v>
      </c>
      <c r="J1854" s="2" t="n">
        <v>0</v>
      </c>
      <c r="K1854" s="2" t="n">
        <v>12282</v>
      </c>
      <c r="L1854" s="2" t="n">
        <v>8644</v>
      </c>
      <c r="M1854" s="2" t="n">
        <v>386</v>
      </c>
      <c r="N1854" s="2" t="n">
        <v>26</v>
      </c>
      <c r="O1854" s="2" t="n">
        <v>51</v>
      </c>
      <c r="P1854" s="2" t="n">
        <v>80</v>
      </c>
      <c r="Q1854" s="2" t="n">
        <v>67</v>
      </c>
      <c r="R1854" s="2" t="n">
        <v>3</v>
      </c>
      <c r="S1854" s="2" t="n">
        <v>15</v>
      </c>
      <c r="T1854" s="2" t="s">
        <v>79</v>
      </c>
      <c r="U1854" s="4" t="n">
        <f aca="false">(M1854+N1854+O1854+P1854)/L1854</f>
        <v>0.0628181397501157</v>
      </c>
      <c r="V1854" s="2" t="str">
        <f aca="false">IF(S1854&lt;=5,"Late night (0-5)",IF(S1854&lt;=11,"Morning (6-11)",IF(S1854&lt;=17,"Afternoon (12-17)","Evening (18-23)")))</f>
        <v>Afternoon (12-17)</v>
      </c>
    </row>
    <row r="1855" customFormat="false" ht="15" hidden="false" customHeight="false" outlineLevel="0" collapsed="false">
      <c r="A1855" s="2" t="s">
        <v>2993</v>
      </c>
      <c r="B1855" s="2" t="s">
        <v>148</v>
      </c>
      <c r="C1855" s="2" t="s">
        <v>48</v>
      </c>
      <c r="D1855" s="3" t="n">
        <v>45761</v>
      </c>
      <c r="E1855" s="2" t="s">
        <v>2456</v>
      </c>
      <c r="F1855" s="2" t="s">
        <v>50</v>
      </c>
      <c r="G1855" s="2" t="n">
        <v>46311</v>
      </c>
      <c r="H1855" s="2" t="n">
        <v>14</v>
      </c>
      <c r="I1855" s="2" t="n">
        <v>304</v>
      </c>
      <c r="J1855" s="2" t="n">
        <v>1</v>
      </c>
      <c r="K1855" s="2" t="n">
        <v>45992</v>
      </c>
      <c r="L1855" s="2" t="n">
        <v>28906</v>
      </c>
      <c r="M1855" s="2" t="n">
        <v>2561</v>
      </c>
      <c r="N1855" s="2" t="n">
        <v>109</v>
      </c>
      <c r="O1855" s="2" t="n">
        <v>102</v>
      </c>
      <c r="P1855" s="2" t="n">
        <v>767</v>
      </c>
      <c r="Q1855" s="2" t="n">
        <v>750</v>
      </c>
      <c r="R1855" s="2" t="n">
        <v>79</v>
      </c>
      <c r="S1855" s="2" t="n">
        <v>22</v>
      </c>
      <c r="T1855" s="2" t="s">
        <v>33</v>
      </c>
      <c r="U1855" s="4" t="n">
        <f aca="false">(M1855+N1855+O1855+P1855)/L1855</f>
        <v>0.12243132913582</v>
      </c>
      <c r="V1855" s="2" t="str">
        <f aca="false">IF(S1855&lt;=5,"Late night (0-5)",IF(S1855&lt;=11,"Morning (6-11)",IF(S1855&lt;=17,"Afternoon (12-17)","Evening (18-23)")))</f>
        <v>Evening (18-23)</v>
      </c>
    </row>
    <row r="1856" customFormat="false" ht="15" hidden="false" customHeight="false" outlineLevel="0" collapsed="false">
      <c r="A1856" s="2" t="s">
        <v>2994</v>
      </c>
      <c r="B1856" s="2" t="s">
        <v>327</v>
      </c>
      <c r="C1856" s="2" t="s">
        <v>91</v>
      </c>
      <c r="D1856" s="3" t="n">
        <v>45701</v>
      </c>
      <c r="E1856" s="2" t="s">
        <v>341</v>
      </c>
      <c r="F1856" s="2" t="s">
        <v>38</v>
      </c>
      <c r="G1856" s="2" t="n">
        <v>16943</v>
      </c>
      <c r="H1856" s="2" t="n">
        <v>13</v>
      </c>
      <c r="I1856" s="2" t="n">
        <v>109</v>
      </c>
      <c r="J1856" s="2" t="n">
        <v>1</v>
      </c>
      <c r="K1856" s="2" t="n">
        <v>7347</v>
      </c>
      <c r="L1856" s="2" t="n">
        <v>5522</v>
      </c>
      <c r="M1856" s="2" t="n">
        <v>400</v>
      </c>
      <c r="N1856" s="2" t="n">
        <v>9</v>
      </c>
      <c r="O1856" s="2" t="n">
        <v>36</v>
      </c>
      <c r="P1856" s="2" t="n">
        <v>49</v>
      </c>
      <c r="Q1856" s="2" t="n">
        <v>57</v>
      </c>
      <c r="R1856" s="2" t="n">
        <v>12</v>
      </c>
      <c r="S1856" s="2" t="n">
        <v>16</v>
      </c>
      <c r="T1856" s="2" t="s">
        <v>79</v>
      </c>
      <c r="U1856" s="4" t="n">
        <f aca="false">(M1856+N1856+O1856+P1856)/L1856</f>
        <v>0.0894603404563564</v>
      </c>
      <c r="V1856" s="2" t="str">
        <f aca="false">IF(S1856&lt;=5,"Late night (0-5)",IF(S1856&lt;=11,"Morning (6-11)",IF(S1856&lt;=17,"Afternoon (12-17)","Evening (18-23)")))</f>
        <v>Afternoon (12-17)</v>
      </c>
    </row>
    <row r="1857" customFormat="false" ht="15" hidden="false" customHeight="false" outlineLevel="0" collapsed="false">
      <c r="A1857" s="2" t="s">
        <v>2995</v>
      </c>
      <c r="B1857" s="2" t="s">
        <v>40</v>
      </c>
      <c r="C1857" s="2" t="s">
        <v>41</v>
      </c>
      <c r="D1857" s="3" t="n">
        <v>45769</v>
      </c>
      <c r="E1857" s="2" t="s">
        <v>346</v>
      </c>
      <c r="F1857" s="2" t="s">
        <v>38</v>
      </c>
      <c r="G1857" s="2" t="n">
        <v>23051</v>
      </c>
      <c r="H1857" s="2" t="n">
        <v>15</v>
      </c>
      <c r="I1857" s="2" t="n">
        <v>157</v>
      </c>
      <c r="J1857" s="2" t="n">
        <v>1</v>
      </c>
      <c r="K1857" s="2" t="n">
        <v>18996</v>
      </c>
      <c r="L1857" s="2" t="n">
        <v>12048</v>
      </c>
      <c r="M1857" s="2" t="n">
        <v>490</v>
      </c>
      <c r="N1857" s="2" t="n">
        <v>28</v>
      </c>
      <c r="O1857" s="2" t="n">
        <v>53</v>
      </c>
      <c r="P1857" s="2" t="n">
        <v>127</v>
      </c>
      <c r="Q1857" s="2" t="n">
        <v>206</v>
      </c>
      <c r="R1857" s="2" t="n">
        <v>58</v>
      </c>
      <c r="S1857" s="2" t="n">
        <v>5</v>
      </c>
      <c r="T1857" s="2" t="s">
        <v>51</v>
      </c>
      <c r="U1857" s="4" t="n">
        <f aca="false">(M1857+N1857+O1857+P1857)/L1857</f>
        <v>0.0579349269588313</v>
      </c>
      <c r="V1857" s="2" t="str">
        <f aca="false">IF(S1857&lt;=5,"Late night (0-5)",IF(S1857&lt;=11,"Morning (6-11)",IF(S1857&lt;=17,"Afternoon (12-17)","Evening (18-23)")))</f>
        <v>Late night (0-5)</v>
      </c>
    </row>
    <row r="1858" customFormat="false" ht="15" hidden="false" customHeight="false" outlineLevel="0" collapsed="false">
      <c r="A1858" s="2" t="s">
        <v>2996</v>
      </c>
      <c r="B1858" s="2" t="s">
        <v>111</v>
      </c>
      <c r="C1858" s="2" t="s">
        <v>48</v>
      </c>
      <c r="D1858" s="3" t="n">
        <v>46013</v>
      </c>
      <c r="E1858" s="2" t="s">
        <v>1088</v>
      </c>
      <c r="F1858" s="2" t="s">
        <v>26</v>
      </c>
      <c r="G1858" s="2" t="n">
        <v>16824</v>
      </c>
      <c r="H1858" s="2" t="n">
        <v>15</v>
      </c>
      <c r="I1858" s="2" t="n">
        <v>334</v>
      </c>
      <c r="J1858" s="2" t="n">
        <v>0</v>
      </c>
      <c r="K1858" s="2" t="n">
        <v>11186</v>
      </c>
      <c r="L1858" s="2" t="n">
        <v>6533</v>
      </c>
      <c r="M1858" s="2" t="n">
        <v>396</v>
      </c>
      <c r="N1858" s="2" t="n">
        <v>9</v>
      </c>
      <c r="O1858" s="2" t="n">
        <v>26</v>
      </c>
      <c r="P1858" s="2" t="n">
        <v>135</v>
      </c>
      <c r="Q1858" s="2" t="n">
        <v>50</v>
      </c>
      <c r="R1858" s="2" t="n">
        <v>8</v>
      </c>
      <c r="S1858" s="2" t="n">
        <v>7</v>
      </c>
      <c r="T1858" s="2" t="s">
        <v>33</v>
      </c>
      <c r="U1858" s="4" t="n">
        <f aca="false">(M1858+N1858+O1858+P1858)/L1858</f>
        <v>0.0866370733200674</v>
      </c>
      <c r="V1858" s="2" t="str">
        <f aca="false">IF(S1858&lt;=5,"Late night (0-5)",IF(S1858&lt;=11,"Morning (6-11)",IF(S1858&lt;=17,"Afternoon (12-17)","Evening (18-23)")))</f>
        <v>Morning (6-11)</v>
      </c>
    </row>
    <row r="1859" customFormat="false" ht="15" hidden="false" customHeight="false" outlineLevel="0" collapsed="false">
      <c r="A1859" s="2" t="s">
        <v>2997</v>
      </c>
      <c r="B1859" s="2" t="s">
        <v>154</v>
      </c>
      <c r="C1859" s="2" t="s">
        <v>41</v>
      </c>
      <c r="D1859" s="3" t="n">
        <v>45841</v>
      </c>
      <c r="E1859" s="2" t="s">
        <v>1891</v>
      </c>
      <c r="F1859" s="2" t="s">
        <v>32</v>
      </c>
      <c r="G1859" s="2" t="n">
        <v>33644</v>
      </c>
      <c r="H1859" s="2" t="n">
        <v>13</v>
      </c>
      <c r="I1859" s="2" t="n">
        <v>321</v>
      </c>
      <c r="J1859" s="2" t="n">
        <v>1</v>
      </c>
      <c r="K1859" s="2" t="n">
        <v>43321</v>
      </c>
      <c r="L1859" s="2" t="n">
        <v>27781</v>
      </c>
      <c r="M1859" s="2" t="n">
        <v>2227</v>
      </c>
      <c r="N1859" s="2" t="n">
        <v>165</v>
      </c>
      <c r="O1859" s="2" t="n">
        <v>371</v>
      </c>
      <c r="P1859" s="2" t="n">
        <v>303</v>
      </c>
      <c r="Q1859" s="2" t="n">
        <v>494</v>
      </c>
      <c r="R1859" s="2" t="n">
        <v>48</v>
      </c>
      <c r="S1859" s="2" t="n">
        <v>3</v>
      </c>
      <c r="T1859" s="2" t="s">
        <v>79</v>
      </c>
      <c r="U1859" s="4" t="n">
        <f aca="false">(M1859+N1859+O1859+P1859)/L1859</f>
        <v>0.110363197869047</v>
      </c>
      <c r="V1859" s="2" t="str">
        <f aca="false">IF(S1859&lt;=5,"Late night (0-5)",IF(S1859&lt;=11,"Morning (6-11)",IF(S1859&lt;=17,"Afternoon (12-17)","Evening (18-23)")))</f>
        <v>Late night (0-5)</v>
      </c>
    </row>
    <row r="1860" customFormat="false" ht="15" hidden="false" customHeight="false" outlineLevel="0" collapsed="false">
      <c r="A1860" s="2" t="s">
        <v>2998</v>
      </c>
      <c r="B1860" s="2" t="s">
        <v>94</v>
      </c>
      <c r="C1860" s="2" t="s">
        <v>30</v>
      </c>
      <c r="D1860" s="3" t="n">
        <v>45703</v>
      </c>
      <c r="E1860" s="2" t="s">
        <v>532</v>
      </c>
      <c r="F1860" s="2" t="s">
        <v>38</v>
      </c>
      <c r="G1860" s="2" t="n">
        <v>58559</v>
      </c>
      <c r="H1860" s="2" t="n">
        <v>14</v>
      </c>
      <c r="I1860" s="2" t="n">
        <v>111</v>
      </c>
      <c r="J1860" s="2" t="n">
        <v>0</v>
      </c>
      <c r="K1860" s="2" t="n">
        <v>44927</v>
      </c>
      <c r="L1860" s="2" t="n">
        <v>28867</v>
      </c>
      <c r="M1860" s="2" t="n">
        <v>2067</v>
      </c>
      <c r="N1860" s="2" t="n">
        <v>51</v>
      </c>
      <c r="O1860" s="2" t="n">
        <v>193</v>
      </c>
      <c r="P1860" s="2" t="n">
        <v>488</v>
      </c>
      <c r="Q1860" s="2" t="n">
        <v>665</v>
      </c>
      <c r="R1860" s="2" t="n">
        <v>123</v>
      </c>
      <c r="S1860" s="2" t="n">
        <v>14</v>
      </c>
      <c r="T1860" s="2" t="s">
        <v>62</v>
      </c>
      <c r="U1860" s="4" t="n">
        <f aca="false">(M1860+N1860+O1860+P1860)/L1860</f>
        <v>0.0969619288460872</v>
      </c>
      <c r="V1860" s="2" t="str">
        <f aca="false">IF(S1860&lt;=5,"Late night (0-5)",IF(S1860&lt;=11,"Morning (6-11)",IF(S1860&lt;=17,"Afternoon (12-17)","Evening (18-23)")))</f>
        <v>Afternoon (12-17)</v>
      </c>
    </row>
    <row r="1861" customFormat="false" ht="15" hidden="false" customHeight="false" outlineLevel="0" collapsed="false">
      <c r="A1861" s="2" t="s">
        <v>2999</v>
      </c>
      <c r="B1861" s="2" t="s">
        <v>243</v>
      </c>
      <c r="C1861" s="2" t="s">
        <v>91</v>
      </c>
      <c r="D1861" s="3" t="n">
        <v>45899</v>
      </c>
      <c r="E1861" s="2" t="s">
        <v>146</v>
      </c>
      <c r="F1861" s="2" t="s">
        <v>32</v>
      </c>
      <c r="G1861" s="2" t="n">
        <v>42046</v>
      </c>
      <c r="H1861" s="2" t="n">
        <v>13</v>
      </c>
      <c r="I1861" s="2" t="n">
        <v>191</v>
      </c>
      <c r="J1861" s="2" t="n">
        <v>1</v>
      </c>
      <c r="K1861" s="2" t="n">
        <v>38541</v>
      </c>
      <c r="L1861" s="2" t="n">
        <v>24327</v>
      </c>
      <c r="M1861" s="2" t="n">
        <v>1855</v>
      </c>
      <c r="N1861" s="2" t="n">
        <v>37</v>
      </c>
      <c r="O1861" s="2" t="n">
        <v>100</v>
      </c>
      <c r="P1861" s="2" t="n">
        <v>552</v>
      </c>
      <c r="Q1861" s="2" t="n">
        <v>597</v>
      </c>
      <c r="R1861" s="2" t="n">
        <v>169</v>
      </c>
      <c r="S1861" s="2" t="n">
        <v>12</v>
      </c>
      <c r="T1861" s="2" t="s">
        <v>62</v>
      </c>
      <c r="U1861" s="4" t="n">
        <f aca="false">(M1861+N1861+O1861+P1861)/L1861</f>
        <v>0.104575163398693</v>
      </c>
      <c r="V1861" s="2" t="str">
        <f aca="false">IF(S1861&lt;=5,"Late night (0-5)",IF(S1861&lt;=11,"Morning (6-11)",IF(S1861&lt;=17,"Afternoon (12-17)","Evening (18-23)")))</f>
        <v>Afternoon (12-17)</v>
      </c>
    </row>
    <row r="1862" customFormat="false" ht="15" hidden="false" customHeight="false" outlineLevel="0" collapsed="false">
      <c r="A1862" s="2" t="s">
        <v>3000</v>
      </c>
      <c r="B1862" s="2" t="s">
        <v>135</v>
      </c>
      <c r="C1862" s="2" t="s">
        <v>36</v>
      </c>
      <c r="D1862" s="3" t="n">
        <v>45950</v>
      </c>
      <c r="E1862" s="2" t="s">
        <v>3001</v>
      </c>
      <c r="F1862" s="2" t="s">
        <v>38</v>
      </c>
      <c r="G1862" s="2" t="n">
        <v>45812</v>
      </c>
      <c r="H1862" s="2" t="n">
        <v>10</v>
      </c>
      <c r="I1862" s="2" t="n">
        <v>279</v>
      </c>
      <c r="J1862" s="2" t="n">
        <v>1</v>
      </c>
      <c r="K1862" s="2" t="n">
        <v>13837</v>
      </c>
      <c r="L1862" s="2" t="n">
        <v>12326</v>
      </c>
      <c r="M1862" s="2" t="n">
        <v>924</v>
      </c>
      <c r="N1862" s="2" t="n">
        <v>39</v>
      </c>
      <c r="O1862" s="2" t="n">
        <v>121</v>
      </c>
      <c r="P1862" s="2" t="n">
        <v>103</v>
      </c>
      <c r="Q1862" s="2" t="n">
        <v>109</v>
      </c>
      <c r="R1862" s="2" t="n">
        <v>19</v>
      </c>
      <c r="S1862" s="2" t="n">
        <v>6</v>
      </c>
      <c r="T1862" s="2" t="s">
        <v>33</v>
      </c>
      <c r="U1862" s="4" t="n">
        <f aca="false">(M1862+N1862+O1862+P1862)/L1862</f>
        <v>0.0963005030017849</v>
      </c>
      <c r="V1862" s="2" t="str">
        <f aca="false">IF(S1862&lt;=5,"Late night (0-5)",IF(S1862&lt;=11,"Morning (6-11)",IF(S1862&lt;=17,"Afternoon (12-17)","Evening (18-23)")))</f>
        <v>Morning (6-11)</v>
      </c>
    </row>
    <row r="1863" customFormat="false" ht="15" hidden="false" customHeight="false" outlineLevel="0" collapsed="false">
      <c r="A1863" s="2" t="s">
        <v>3002</v>
      </c>
      <c r="B1863" s="2" t="s">
        <v>431</v>
      </c>
      <c r="C1863" s="2" t="s">
        <v>36</v>
      </c>
      <c r="D1863" s="3" t="n">
        <v>45889</v>
      </c>
      <c r="E1863" s="2" t="s">
        <v>3003</v>
      </c>
      <c r="F1863" s="2" t="s">
        <v>50</v>
      </c>
      <c r="G1863" s="2" t="n">
        <v>64821</v>
      </c>
      <c r="H1863" s="2" t="n">
        <v>11</v>
      </c>
      <c r="I1863" s="2" t="n">
        <v>229</v>
      </c>
      <c r="J1863" s="2" t="n">
        <v>1</v>
      </c>
      <c r="K1863" s="2" t="n">
        <v>57213</v>
      </c>
      <c r="L1863" s="2" t="n">
        <v>31828</v>
      </c>
      <c r="M1863" s="2" t="n">
        <v>2692</v>
      </c>
      <c r="N1863" s="2" t="n">
        <v>102</v>
      </c>
      <c r="O1863" s="2" t="n">
        <v>467</v>
      </c>
      <c r="P1863" s="2" t="n">
        <v>198</v>
      </c>
      <c r="Q1863" s="2" t="n">
        <v>698</v>
      </c>
      <c r="R1863" s="2" t="n">
        <v>94</v>
      </c>
      <c r="S1863" s="2" t="n">
        <v>7</v>
      </c>
      <c r="T1863" s="2" t="s">
        <v>66</v>
      </c>
      <c r="U1863" s="4" t="n">
        <f aca="false">(M1863+N1863+O1863+P1863)/L1863</f>
        <v>0.108677893678522</v>
      </c>
      <c r="V1863" s="2" t="str">
        <f aca="false">IF(S1863&lt;=5,"Late night (0-5)",IF(S1863&lt;=11,"Morning (6-11)",IF(S1863&lt;=17,"Afternoon (12-17)","Evening (18-23)")))</f>
        <v>Morning (6-11)</v>
      </c>
    </row>
    <row r="1864" customFormat="false" ht="15" hidden="false" customHeight="false" outlineLevel="0" collapsed="false">
      <c r="A1864" s="2" t="s">
        <v>3004</v>
      </c>
      <c r="B1864" s="2" t="s">
        <v>98</v>
      </c>
      <c r="C1864" s="2" t="s">
        <v>54</v>
      </c>
      <c r="D1864" s="3" t="n">
        <v>45783</v>
      </c>
      <c r="E1864" s="2" t="s">
        <v>3005</v>
      </c>
      <c r="F1864" s="2" t="s">
        <v>38</v>
      </c>
      <c r="G1864" s="2" t="n">
        <v>18366</v>
      </c>
      <c r="H1864" s="2" t="n">
        <v>14</v>
      </c>
      <c r="I1864" s="2" t="n">
        <v>57</v>
      </c>
      <c r="J1864" s="2" t="n">
        <v>0</v>
      </c>
      <c r="K1864" s="2" t="n">
        <v>26641</v>
      </c>
      <c r="L1864" s="2" t="n">
        <v>20198</v>
      </c>
      <c r="M1864" s="2" t="n">
        <v>837</v>
      </c>
      <c r="N1864" s="2" t="n">
        <v>66</v>
      </c>
      <c r="O1864" s="2" t="n">
        <v>159</v>
      </c>
      <c r="P1864" s="2" t="n">
        <v>114</v>
      </c>
      <c r="Q1864" s="2" t="n">
        <v>232</v>
      </c>
      <c r="R1864" s="2" t="n">
        <v>58</v>
      </c>
      <c r="S1864" s="2" t="n">
        <v>14</v>
      </c>
      <c r="T1864" s="2" t="s">
        <v>51</v>
      </c>
      <c r="U1864" s="4" t="n">
        <f aca="false">(M1864+N1864+O1864+P1864)/L1864</f>
        <v>0.0582235864937122</v>
      </c>
      <c r="V1864" s="2" t="str">
        <f aca="false">IF(S1864&lt;=5,"Late night (0-5)",IF(S1864&lt;=11,"Morning (6-11)",IF(S1864&lt;=17,"Afternoon (12-17)","Evening (18-23)")))</f>
        <v>Afternoon (12-17)</v>
      </c>
    </row>
    <row r="1865" customFormat="false" ht="15" hidden="false" customHeight="false" outlineLevel="0" collapsed="false">
      <c r="A1865" s="2" t="s">
        <v>3006</v>
      </c>
      <c r="B1865" s="2" t="s">
        <v>206</v>
      </c>
      <c r="C1865" s="2" t="s">
        <v>48</v>
      </c>
      <c r="D1865" s="3" t="n">
        <v>46001</v>
      </c>
      <c r="E1865" s="2" t="s">
        <v>2241</v>
      </c>
      <c r="F1865" s="2" t="s">
        <v>26</v>
      </c>
      <c r="G1865" s="2" t="n">
        <v>42937</v>
      </c>
      <c r="H1865" s="2" t="n">
        <v>9</v>
      </c>
      <c r="I1865" s="2" t="n">
        <v>251</v>
      </c>
      <c r="J1865" s="2" t="n">
        <v>0</v>
      </c>
      <c r="K1865" s="2" t="n">
        <v>40670</v>
      </c>
      <c r="L1865" s="2" t="n">
        <v>23244</v>
      </c>
      <c r="M1865" s="2" t="n">
        <v>741</v>
      </c>
      <c r="N1865" s="2" t="n">
        <v>49</v>
      </c>
      <c r="O1865" s="2" t="n">
        <v>138</v>
      </c>
      <c r="P1865" s="2" t="n">
        <v>154</v>
      </c>
      <c r="Q1865" s="2" t="n">
        <v>158</v>
      </c>
      <c r="R1865" s="2" t="n">
        <v>39</v>
      </c>
      <c r="S1865" s="2" t="n">
        <v>7</v>
      </c>
      <c r="T1865" s="2" t="s">
        <v>66</v>
      </c>
      <c r="U1865" s="4" t="n">
        <f aca="false">(M1865+N1865+O1865+P1865)/L1865</f>
        <v>0.0465496472207882</v>
      </c>
      <c r="V1865" s="2" t="str">
        <f aca="false">IF(S1865&lt;=5,"Late night (0-5)",IF(S1865&lt;=11,"Morning (6-11)",IF(S1865&lt;=17,"Afternoon (12-17)","Evening (18-23)")))</f>
        <v>Morning (6-11)</v>
      </c>
    </row>
    <row r="1866" customFormat="false" ht="15" hidden="false" customHeight="false" outlineLevel="0" collapsed="false">
      <c r="A1866" s="2" t="s">
        <v>3007</v>
      </c>
      <c r="B1866" s="2" t="s">
        <v>77</v>
      </c>
      <c r="C1866" s="2" t="s">
        <v>30</v>
      </c>
      <c r="D1866" s="3" t="n">
        <v>45822</v>
      </c>
      <c r="E1866" s="2" t="s">
        <v>2116</v>
      </c>
      <c r="F1866" s="2" t="s">
        <v>50</v>
      </c>
      <c r="G1866" s="2" t="n">
        <v>17548</v>
      </c>
      <c r="H1866" s="2" t="n">
        <v>10</v>
      </c>
      <c r="I1866" s="2" t="n">
        <v>304</v>
      </c>
      <c r="J1866" s="2" t="n">
        <v>1</v>
      </c>
      <c r="K1866" s="2" t="n">
        <v>6528</v>
      </c>
      <c r="L1866" s="2" t="n">
        <v>5312</v>
      </c>
      <c r="M1866" s="2" t="n">
        <v>293</v>
      </c>
      <c r="N1866" s="2" t="n">
        <v>22</v>
      </c>
      <c r="O1866" s="2" t="n">
        <v>49</v>
      </c>
      <c r="P1866" s="2" t="n">
        <v>51</v>
      </c>
      <c r="Q1866" s="2" t="n">
        <v>46</v>
      </c>
      <c r="R1866" s="2" t="n">
        <v>6</v>
      </c>
      <c r="S1866" s="2" t="n">
        <v>2</v>
      </c>
      <c r="T1866" s="2" t="s">
        <v>62</v>
      </c>
      <c r="U1866" s="4" t="n">
        <f aca="false">(M1866+N1866+O1866+P1866)/L1866</f>
        <v>0.078125</v>
      </c>
      <c r="V1866" s="2" t="str">
        <f aca="false">IF(S1866&lt;=5,"Late night (0-5)",IF(S1866&lt;=11,"Morning (6-11)",IF(S1866&lt;=17,"Afternoon (12-17)","Evening (18-23)")))</f>
        <v>Late night (0-5)</v>
      </c>
    </row>
    <row r="1867" customFormat="false" ht="15" hidden="false" customHeight="false" outlineLevel="0" collapsed="false">
      <c r="A1867" s="2" t="s">
        <v>3008</v>
      </c>
      <c r="B1867" s="2" t="s">
        <v>83</v>
      </c>
      <c r="C1867" s="2" t="s">
        <v>84</v>
      </c>
      <c r="D1867" s="3" t="n">
        <v>45977</v>
      </c>
      <c r="E1867" s="2" t="s">
        <v>109</v>
      </c>
      <c r="F1867" s="2" t="s">
        <v>50</v>
      </c>
      <c r="G1867" s="2" t="n">
        <v>17918</v>
      </c>
      <c r="H1867" s="2" t="n">
        <v>10</v>
      </c>
      <c r="I1867" s="2" t="n">
        <v>160</v>
      </c>
      <c r="J1867" s="2" t="n">
        <v>1</v>
      </c>
      <c r="K1867" s="2" t="n">
        <v>34898</v>
      </c>
      <c r="L1867" s="2" t="n">
        <v>19556</v>
      </c>
      <c r="M1867" s="2" t="n">
        <v>725</v>
      </c>
      <c r="N1867" s="2" t="n">
        <v>31</v>
      </c>
      <c r="O1867" s="2" t="n">
        <v>112</v>
      </c>
      <c r="P1867" s="2" t="n">
        <v>153</v>
      </c>
      <c r="Q1867" s="2" t="n">
        <v>211</v>
      </c>
      <c r="R1867" s="2" t="n">
        <v>27</v>
      </c>
      <c r="S1867" s="2" t="n">
        <v>9</v>
      </c>
      <c r="T1867" s="2" t="s">
        <v>27</v>
      </c>
      <c r="U1867" s="4" t="n">
        <f aca="false">(M1867+N1867+O1867+P1867)/L1867</f>
        <v>0.0522090407036204</v>
      </c>
      <c r="V1867" s="2" t="str">
        <f aca="false">IF(S1867&lt;=5,"Late night (0-5)",IF(S1867&lt;=11,"Morning (6-11)",IF(S1867&lt;=17,"Afternoon (12-17)","Evening (18-23)")))</f>
        <v>Morning (6-11)</v>
      </c>
    </row>
    <row r="1868" customFormat="false" ht="15" hidden="false" customHeight="false" outlineLevel="0" collapsed="false">
      <c r="A1868" s="2" t="s">
        <v>3009</v>
      </c>
      <c r="B1868" s="2" t="s">
        <v>345</v>
      </c>
      <c r="C1868" s="2" t="s">
        <v>30</v>
      </c>
      <c r="D1868" s="3" t="n">
        <v>45890</v>
      </c>
      <c r="E1868" s="2" t="s">
        <v>3010</v>
      </c>
      <c r="F1868" s="2" t="s">
        <v>50</v>
      </c>
      <c r="G1868" s="2" t="n">
        <v>8662</v>
      </c>
      <c r="H1868" s="2" t="n">
        <v>15</v>
      </c>
      <c r="I1868" s="2" t="n">
        <v>344</v>
      </c>
      <c r="J1868" s="2" t="n">
        <v>1</v>
      </c>
      <c r="K1868" s="2" t="n">
        <v>12279</v>
      </c>
      <c r="L1868" s="2" t="n">
        <v>7369</v>
      </c>
      <c r="M1868" s="2" t="n">
        <v>434</v>
      </c>
      <c r="N1868" s="2" t="n">
        <v>33</v>
      </c>
      <c r="O1868" s="2" t="n">
        <v>19</v>
      </c>
      <c r="P1868" s="2" t="n">
        <v>88</v>
      </c>
      <c r="Q1868" s="2" t="n">
        <v>169</v>
      </c>
      <c r="R1868" s="2" t="n">
        <v>34</v>
      </c>
      <c r="S1868" s="2" t="n">
        <v>12</v>
      </c>
      <c r="T1868" s="2" t="s">
        <v>79</v>
      </c>
      <c r="U1868" s="4" t="n">
        <f aca="false">(M1868+N1868+O1868+P1868)/L1868</f>
        <v>0.0778938797665898</v>
      </c>
      <c r="V1868" s="2" t="str">
        <f aca="false">IF(S1868&lt;=5,"Late night (0-5)",IF(S1868&lt;=11,"Morning (6-11)",IF(S1868&lt;=17,"Afternoon (12-17)","Evening (18-23)")))</f>
        <v>Afternoon (12-17)</v>
      </c>
    </row>
    <row r="1869" customFormat="false" ht="15" hidden="false" customHeight="false" outlineLevel="0" collapsed="false">
      <c r="A1869" s="2" t="s">
        <v>3011</v>
      </c>
      <c r="B1869" s="2" t="s">
        <v>240</v>
      </c>
      <c r="C1869" s="2" t="s">
        <v>41</v>
      </c>
      <c r="D1869" s="3" t="n">
        <v>45777</v>
      </c>
      <c r="E1869" s="2" t="s">
        <v>1738</v>
      </c>
      <c r="F1869" s="2" t="s">
        <v>32</v>
      </c>
      <c r="G1869" s="2" t="n">
        <v>83197</v>
      </c>
      <c r="H1869" s="2" t="n">
        <v>18</v>
      </c>
      <c r="I1869" s="2" t="n">
        <v>160</v>
      </c>
      <c r="J1869" s="2" t="n">
        <v>0</v>
      </c>
      <c r="K1869" s="2" t="n">
        <v>85466</v>
      </c>
      <c r="L1869" s="2" t="n">
        <v>63213</v>
      </c>
      <c r="M1869" s="2" t="n">
        <v>4674</v>
      </c>
      <c r="N1869" s="2" t="n">
        <v>288</v>
      </c>
      <c r="O1869" s="2" t="n">
        <v>588</v>
      </c>
      <c r="P1869" s="2" t="n">
        <v>791</v>
      </c>
      <c r="Q1869" s="2" t="n">
        <v>1607</v>
      </c>
      <c r="R1869" s="2" t="n">
        <v>379</v>
      </c>
      <c r="S1869" s="2" t="n">
        <v>20</v>
      </c>
      <c r="T1869" s="2" t="s">
        <v>66</v>
      </c>
      <c r="U1869" s="4" t="n">
        <f aca="false">(M1869+N1869+O1869+P1869)/L1869</f>
        <v>0.100311644756617</v>
      </c>
      <c r="V1869" s="2" t="str">
        <f aca="false">IF(S1869&lt;=5,"Late night (0-5)",IF(S1869&lt;=11,"Morning (6-11)",IF(S1869&lt;=17,"Afternoon (12-17)","Evening (18-23)")))</f>
        <v>Evening (18-23)</v>
      </c>
    </row>
    <row r="1870" customFormat="false" ht="15" hidden="false" customHeight="false" outlineLevel="0" collapsed="false">
      <c r="A1870" s="2" t="s">
        <v>3012</v>
      </c>
      <c r="B1870" s="2" t="s">
        <v>409</v>
      </c>
      <c r="C1870" s="2" t="s">
        <v>48</v>
      </c>
      <c r="D1870" s="3" t="n">
        <v>45763</v>
      </c>
      <c r="E1870" s="2" t="s">
        <v>1441</v>
      </c>
      <c r="F1870" s="2" t="s">
        <v>26</v>
      </c>
      <c r="G1870" s="2" t="n">
        <v>31525</v>
      </c>
      <c r="H1870" s="2" t="n">
        <v>9</v>
      </c>
      <c r="I1870" s="2" t="n">
        <v>62</v>
      </c>
      <c r="J1870" s="2" t="n">
        <v>0</v>
      </c>
      <c r="K1870" s="2" t="n">
        <v>11360</v>
      </c>
      <c r="L1870" s="2" t="n">
        <v>6798</v>
      </c>
      <c r="M1870" s="2" t="n">
        <v>310</v>
      </c>
      <c r="N1870" s="2" t="n">
        <v>16</v>
      </c>
      <c r="O1870" s="2" t="n">
        <v>42</v>
      </c>
      <c r="P1870" s="2" t="n">
        <v>126</v>
      </c>
      <c r="Q1870" s="2" t="n">
        <v>117</v>
      </c>
      <c r="R1870" s="2" t="n">
        <v>32</v>
      </c>
      <c r="S1870" s="2" t="n">
        <v>1</v>
      </c>
      <c r="T1870" s="2" t="s">
        <v>66</v>
      </c>
      <c r="U1870" s="4" t="n">
        <f aca="false">(M1870+N1870+O1870+P1870)/L1870</f>
        <v>0.0726684318917329</v>
      </c>
      <c r="V1870" s="2" t="str">
        <f aca="false">IF(S1870&lt;=5,"Late night (0-5)",IF(S1870&lt;=11,"Morning (6-11)",IF(S1870&lt;=17,"Afternoon (12-17)","Evening (18-23)")))</f>
        <v>Late night (0-5)</v>
      </c>
    </row>
    <row r="1871" customFormat="false" ht="15" hidden="false" customHeight="false" outlineLevel="0" collapsed="false">
      <c r="A1871" s="2" t="s">
        <v>3013</v>
      </c>
      <c r="B1871" s="2" t="s">
        <v>132</v>
      </c>
      <c r="C1871" s="2" t="s">
        <v>36</v>
      </c>
      <c r="D1871" s="3" t="n">
        <v>45990</v>
      </c>
      <c r="E1871" s="2" t="s">
        <v>752</v>
      </c>
      <c r="F1871" s="2" t="s">
        <v>38</v>
      </c>
      <c r="G1871" s="2" t="n">
        <v>83053</v>
      </c>
      <c r="H1871" s="2" t="n">
        <v>8</v>
      </c>
      <c r="I1871" s="2" t="n">
        <v>222</v>
      </c>
      <c r="J1871" s="2" t="n">
        <v>0</v>
      </c>
      <c r="K1871" s="2" t="n">
        <v>46601</v>
      </c>
      <c r="L1871" s="2" t="n">
        <v>40962</v>
      </c>
      <c r="M1871" s="2" t="n">
        <v>1239</v>
      </c>
      <c r="N1871" s="2" t="n">
        <v>86</v>
      </c>
      <c r="O1871" s="2" t="n">
        <v>79</v>
      </c>
      <c r="P1871" s="2" t="n">
        <v>257</v>
      </c>
      <c r="Q1871" s="2" t="n">
        <v>795</v>
      </c>
      <c r="R1871" s="2" t="n">
        <v>119</v>
      </c>
      <c r="S1871" s="2" t="n">
        <v>9</v>
      </c>
      <c r="T1871" s="2" t="s">
        <v>62</v>
      </c>
      <c r="U1871" s="4" t="n">
        <f aca="false">(M1871+N1871+O1871+P1871)/L1871</f>
        <v>0.0405497778428788</v>
      </c>
      <c r="V1871" s="2" t="str">
        <f aca="false">IF(S1871&lt;=5,"Late night (0-5)",IF(S1871&lt;=11,"Morning (6-11)",IF(S1871&lt;=17,"Afternoon (12-17)","Evening (18-23)")))</f>
        <v>Morning (6-11)</v>
      </c>
    </row>
    <row r="1872" customFormat="false" ht="15" hidden="false" customHeight="false" outlineLevel="0" collapsed="false">
      <c r="A1872" s="2" t="s">
        <v>3014</v>
      </c>
      <c r="B1872" s="2" t="s">
        <v>129</v>
      </c>
      <c r="C1872" s="2" t="s">
        <v>54</v>
      </c>
      <c r="D1872" s="3" t="n">
        <v>45671</v>
      </c>
      <c r="E1872" s="2" t="s">
        <v>538</v>
      </c>
      <c r="F1872" s="2" t="s">
        <v>38</v>
      </c>
      <c r="G1872" s="2" t="n">
        <v>10312</v>
      </c>
      <c r="H1872" s="2" t="n">
        <v>14</v>
      </c>
      <c r="I1872" s="2" t="n">
        <v>251</v>
      </c>
      <c r="J1872" s="2" t="n">
        <v>1</v>
      </c>
      <c r="K1872" s="2" t="n">
        <v>6778</v>
      </c>
      <c r="L1872" s="2" t="n">
        <v>4505</v>
      </c>
      <c r="M1872" s="2" t="n">
        <v>226</v>
      </c>
      <c r="N1872" s="2" t="n">
        <v>8</v>
      </c>
      <c r="O1872" s="2" t="n">
        <v>12</v>
      </c>
      <c r="P1872" s="2" t="n">
        <v>19</v>
      </c>
      <c r="Q1872" s="2" t="n">
        <v>102</v>
      </c>
      <c r="R1872" s="2" t="n">
        <v>10</v>
      </c>
      <c r="S1872" s="2" t="n">
        <v>3</v>
      </c>
      <c r="T1872" s="2" t="s">
        <v>51</v>
      </c>
      <c r="U1872" s="4" t="n">
        <f aca="false">(M1872+N1872+O1872+P1872)/L1872</f>
        <v>0.0588235294117647</v>
      </c>
      <c r="V1872" s="2" t="str">
        <f aca="false">IF(S1872&lt;=5,"Late night (0-5)",IF(S1872&lt;=11,"Morning (6-11)",IF(S1872&lt;=17,"Afternoon (12-17)","Evening (18-23)")))</f>
        <v>Late night (0-5)</v>
      </c>
    </row>
    <row r="1873" customFormat="false" ht="15" hidden="false" customHeight="false" outlineLevel="0" collapsed="false">
      <c r="A1873" s="2" t="s">
        <v>3015</v>
      </c>
      <c r="B1873" s="2" t="s">
        <v>123</v>
      </c>
      <c r="C1873" s="2" t="s">
        <v>24</v>
      </c>
      <c r="D1873" s="3" t="n">
        <v>45794</v>
      </c>
      <c r="E1873" s="2" t="s">
        <v>1928</v>
      </c>
      <c r="F1873" s="2" t="s">
        <v>32</v>
      </c>
      <c r="G1873" s="2" t="n">
        <v>41391</v>
      </c>
      <c r="H1873" s="2" t="n">
        <v>11</v>
      </c>
      <c r="I1873" s="2" t="n">
        <v>81</v>
      </c>
      <c r="J1873" s="2" t="n">
        <v>0</v>
      </c>
      <c r="K1873" s="2" t="n">
        <v>164266</v>
      </c>
      <c r="L1873" s="2" t="n">
        <v>135245</v>
      </c>
      <c r="M1873" s="2" t="n">
        <v>12091</v>
      </c>
      <c r="N1873" s="2" t="n">
        <v>627</v>
      </c>
      <c r="O1873" s="2" t="n">
        <v>889</v>
      </c>
      <c r="P1873" s="2" t="n">
        <v>200</v>
      </c>
      <c r="Q1873" s="2" t="n">
        <v>2339</v>
      </c>
      <c r="R1873" s="2" t="n">
        <v>552</v>
      </c>
      <c r="S1873" s="2" t="n">
        <v>0</v>
      </c>
      <c r="T1873" s="2" t="s">
        <v>62</v>
      </c>
      <c r="U1873" s="4" t="n">
        <f aca="false">(M1873+N1873+O1873+P1873)/L1873</f>
        <v>0.102088801804133</v>
      </c>
      <c r="V1873" s="2" t="str">
        <f aca="false">IF(S1873&lt;=5,"Late night (0-5)",IF(S1873&lt;=11,"Morning (6-11)",IF(S1873&lt;=17,"Afternoon (12-17)","Evening (18-23)")))</f>
        <v>Late night (0-5)</v>
      </c>
    </row>
    <row r="1874" customFormat="false" ht="15" hidden="false" customHeight="false" outlineLevel="0" collapsed="false">
      <c r="A1874" s="2" t="s">
        <v>3016</v>
      </c>
      <c r="B1874" s="2" t="s">
        <v>319</v>
      </c>
      <c r="C1874" s="2" t="s">
        <v>84</v>
      </c>
      <c r="D1874" s="3" t="n">
        <v>45683</v>
      </c>
      <c r="E1874" s="2" t="s">
        <v>3017</v>
      </c>
      <c r="F1874" s="2" t="s">
        <v>32</v>
      </c>
      <c r="G1874" s="2" t="n">
        <v>49810</v>
      </c>
      <c r="H1874" s="2" t="n">
        <v>11</v>
      </c>
      <c r="I1874" s="2" t="n">
        <v>211</v>
      </c>
      <c r="J1874" s="2" t="n">
        <v>0</v>
      </c>
      <c r="K1874" s="2" t="n">
        <v>86302</v>
      </c>
      <c r="L1874" s="2" t="n">
        <v>54351</v>
      </c>
      <c r="M1874" s="2" t="n">
        <v>5202</v>
      </c>
      <c r="N1874" s="2" t="n">
        <v>154</v>
      </c>
      <c r="O1874" s="2" t="n">
        <v>893</v>
      </c>
      <c r="P1874" s="2" t="n">
        <v>1127</v>
      </c>
      <c r="Q1874" s="2" t="n">
        <v>412</v>
      </c>
      <c r="R1874" s="2" t="n">
        <v>36</v>
      </c>
      <c r="S1874" s="2" t="n">
        <v>14</v>
      </c>
      <c r="T1874" s="2" t="s">
        <v>27</v>
      </c>
      <c r="U1874" s="4" t="n">
        <f aca="false">(M1874+N1874+O1874+P1874)/L1874</f>
        <v>0.135710474508289</v>
      </c>
      <c r="V1874" s="2" t="str">
        <f aca="false">IF(S1874&lt;=5,"Late night (0-5)",IF(S1874&lt;=11,"Morning (6-11)",IF(S1874&lt;=17,"Afternoon (12-17)","Evening (18-23)")))</f>
        <v>Afternoon (12-17)</v>
      </c>
    </row>
    <row r="1875" customFormat="false" ht="15" hidden="false" customHeight="false" outlineLevel="0" collapsed="false">
      <c r="A1875" s="2" t="s">
        <v>3018</v>
      </c>
      <c r="B1875" s="2" t="s">
        <v>307</v>
      </c>
      <c r="C1875" s="2" t="s">
        <v>48</v>
      </c>
      <c r="D1875" s="3" t="n">
        <v>45956</v>
      </c>
      <c r="E1875" s="2" t="s">
        <v>3019</v>
      </c>
      <c r="F1875" s="2" t="s">
        <v>26</v>
      </c>
      <c r="G1875" s="2" t="n">
        <v>91358</v>
      </c>
      <c r="H1875" s="2" t="n">
        <v>0</v>
      </c>
      <c r="I1875" s="2" t="n">
        <v>252</v>
      </c>
      <c r="J1875" s="2" t="n">
        <v>0</v>
      </c>
      <c r="K1875" s="2" t="n">
        <v>18687</v>
      </c>
      <c r="L1875" s="2" t="n">
        <v>14883</v>
      </c>
      <c r="M1875" s="2" t="n">
        <v>1329</v>
      </c>
      <c r="N1875" s="2" t="n">
        <v>97</v>
      </c>
      <c r="O1875" s="2" t="n">
        <v>175</v>
      </c>
      <c r="P1875" s="2" t="n">
        <v>539</v>
      </c>
      <c r="Q1875" s="2" t="n">
        <v>330</v>
      </c>
      <c r="R1875" s="2" t="n">
        <v>95</v>
      </c>
      <c r="S1875" s="2" t="n">
        <v>1</v>
      </c>
      <c r="T1875" s="2" t="s">
        <v>27</v>
      </c>
      <c r="U1875" s="4" t="n">
        <f aca="false">(M1875+N1875+O1875+P1875)/L1875</f>
        <v>0.143788214741652</v>
      </c>
      <c r="V1875" s="2" t="str">
        <f aca="false">IF(S1875&lt;=5,"Late night (0-5)",IF(S1875&lt;=11,"Morning (6-11)",IF(S1875&lt;=17,"Afternoon (12-17)","Evening (18-23)")))</f>
        <v>Late night (0-5)</v>
      </c>
    </row>
    <row r="1876" customFormat="false" ht="15" hidden="false" customHeight="false" outlineLevel="0" collapsed="false">
      <c r="A1876" s="2" t="s">
        <v>3020</v>
      </c>
      <c r="B1876" s="2" t="s">
        <v>360</v>
      </c>
      <c r="C1876" s="2" t="s">
        <v>48</v>
      </c>
      <c r="D1876" s="3" t="n">
        <v>46010</v>
      </c>
      <c r="E1876" s="2" t="s">
        <v>2068</v>
      </c>
      <c r="F1876" s="2" t="s">
        <v>32</v>
      </c>
      <c r="G1876" s="2" t="n">
        <v>19542</v>
      </c>
      <c r="H1876" s="2" t="n">
        <v>15</v>
      </c>
      <c r="I1876" s="2" t="n">
        <v>459</v>
      </c>
      <c r="J1876" s="2" t="n">
        <v>1</v>
      </c>
      <c r="K1876" s="2" t="n">
        <v>40139</v>
      </c>
      <c r="L1876" s="2" t="n">
        <v>30410</v>
      </c>
      <c r="M1876" s="2" t="n">
        <v>2965</v>
      </c>
      <c r="N1876" s="2" t="n">
        <v>161</v>
      </c>
      <c r="O1876" s="2" t="n">
        <v>507</v>
      </c>
      <c r="P1876" s="2" t="n">
        <v>823</v>
      </c>
      <c r="Q1876" s="2" t="n">
        <v>789</v>
      </c>
      <c r="R1876" s="2" t="n">
        <v>199</v>
      </c>
      <c r="S1876" s="2" t="n">
        <v>22</v>
      </c>
      <c r="T1876" s="2" t="s">
        <v>96</v>
      </c>
      <c r="U1876" s="4" t="n">
        <f aca="false">(M1876+N1876+O1876+P1876)/L1876</f>
        <v>0.146530746464979</v>
      </c>
      <c r="V1876" s="2" t="str">
        <f aca="false">IF(S1876&lt;=5,"Late night (0-5)",IF(S1876&lt;=11,"Morning (6-11)",IF(S1876&lt;=17,"Afternoon (12-17)","Evening (18-23)")))</f>
        <v>Evening (18-23)</v>
      </c>
    </row>
    <row r="1877" customFormat="false" ht="15" hidden="false" customHeight="false" outlineLevel="0" collapsed="false">
      <c r="A1877" s="2" t="s">
        <v>3021</v>
      </c>
      <c r="B1877" s="2" t="s">
        <v>57</v>
      </c>
      <c r="C1877" s="2" t="s">
        <v>24</v>
      </c>
      <c r="D1877" s="3" t="n">
        <v>45724</v>
      </c>
      <c r="E1877" s="2" t="s">
        <v>3022</v>
      </c>
      <c r="F1877" s="2" t="s">
        <v>26</v>
      </c>
      <c r="G1877" s="2" t="n">
        <v>31021</v>
      </c>
      <c r="H1877" s="2" t="n">
        <v>7</v>
      </c>
      <c r="I1877" s="2" t="n">
        <v>130</v>
      </c>
      <c r="J1877" s="2" t="n">
        <v>0</v>
      </c>
      <c r="K1877" s="2" t="n">
        <v>27771</v>
      </c>
      <c r="L1877" s="2" t="n">
        <v>21418</v>
      </c>
      <c r="M1877" s="2" t="n">
        <v>1885</v>
      </c>
      <c r="N1877" s="2" t="n">
        <v>129</v>
      </c>
      <c r="O1877" s="2" t="n">
        <v>97</v>
      </c>
      <c r="P1877" s="2" t="n">
        <v>239</v>
      </c>
      <c r="Q1877" s="2" t="n">
        <v>398</v>
      </c>
      <c r="R1877" s="2" t="n">
        <v>30</v>
      </c>
      <c r="S1877" s="2" t="n">
        <v>14</v>
      </c>
      <c r="T1877" s="2" t="s">
        <v>62</v>
      </c>
      <c r="U1877" s="4" t="n">
        <f aca="false">(M1877+N1877+O1877+P1877)/L1877</f>
        <v>0.109720795592492</v>
      </c>
      <c r="V1877" s="2" t="str">
        <f aca="false">IF(S1877&lt;=5,"Late night (0-5)",IF(S1877&lt;=11,"Morning (6-11)",IF(S1877&lt;=17,"Afternoon (12-17)","Evening (18-23)")))</f>
        <v>Afternoon (12-17)</v>
      </c>
    </row>
    <row r="1878" customFormat="false" ht="15" hidden="false" customHeight="false" outlineLevel="0" collapsed="false">
      <c r="A1878" s="2" t="s">
        <v>3023</v>
      </c>
      <c r="B1878" s="2" t="s">
        <v>106</v>
      </c>
      <c r="C1878" s="2" t="s">
        <v>91</v>
      </c>
      <c r="D1878" s="3" t="n">
        <v>45847</v>
      </c>
      <c r="E1878" s="2" t="s">
        <v>1538</v>
      </c>
      <c r="F1878" s="2" t="s">
        <v>32</v>
      </c>
      <c r="G1878" s="2" t="n">
        <v>59477</v>
      </c>
      <c r="H1878" s="2" t="n">
        <v>14</v>
      </c>
      <c r="I1878" s="2" t="n">
        <v>66</v>
      </c>
      <c r="J1878" s="2" t="n">
        <v>0</v>
      </c>
      <c r="K1878" s="2" t="n">
        <v>63458</v>
      </c>
      <c r="L1878" s="2" t="n">
        <v>36603</v>
      </c>
      <c r="M1878" s="2" t="n">
        <v>3314</v>
      </c>
      <c r="N1878" s="2" t="n">
        <v>99</v>
      </c>
      <c r="O1878" s="2" t="n">
        <v>453</v>
      </c>
      <c r="P1878" s="2" t="n">
        <v>753</v>
      </c>
      <c r="Q1878" s="2" t="n">
        <v>478</v>
      </c>
      <c r="R1878" s="2" t="n">
        <v>108</v>
      </c>
      <c r="S1878" s="2" t="n">
        <v>21</v>
      </c>
      <c r="T1878" s="2" t="s">
        <v>66</v>
      </c>
      <c r="U1878" s="4" t="n">
        <f aca="false">(M1878+N1878+O1878+P1878)/L1878</f>
        <v>0.126191842198727</v>
      </c>
      <c r="V1878" s="2" t="str">
        <f aca="false">IF(S1878&lt;=5,"Late night (0-5)",IF(S1878&lt;=11,"Morning (6-11)",IF(S1878&lt;=17,"Afternoon (12-17)","Evening (18-23)")))</f>
        <v>Evening (18-23)</v>
      </c>
    </row>
    <row r="1879" customFormat="false" ht="15" hidden="false" customHeight="false" outlineLevel="0" collapsed="false">
      <c r="A1879" s="2" t="s">
        <v>3024</v>
      </c>
      <c r="B1879" s="2" t="s">
        <v>324</v>
      </c>
      <c r="C1879" s="2" t="s">
        <v>24</v>
      </c>
      <c r="D1879" s="3" t="n">
        <v>45869</v>
      </c>
      <c r="E1879" s="2" t="s">
        <v>3025</v>
      </c>
      <c r="F1879" s="2" t="s">
        <v>38</v>
      </c>
      <c r="G1879" s="2" t="n">
        <v>3823</v>
      </c>
      <c r="H1879" s="2" t="n">
        <v>7</v>
      </c>
      <c r="I1879" s="2" t="n">
        <v>214</v>
      </c>
      <c r="J1879" s="2" t="n">
        <v>0</v>
      </c>
      <c r="K1879" s="2" t="n">
        <v>3438</v>
      </c>
      <c r="L1879" s="2" t="n">
        <v>1969</v>
      </c>
      <c r="M1879" s="2" t="n">
        <v>88</v>
      </c>
      <c r="N1879" s="2" t="n">
        <v>5</v>
      </c>
      <c r="O1879" s="2" t="n">
        <v>13</v>
      </c>
      <c r="P1879" s="2" t="n">
        <v>6</v>
      </c>
      <c r="Q1879" s="2" t="n">
        <v>32</v>
      </c>
      <c r="R1879" s="2" t="n">
        <v>3</v>
      </c>
      <c r="S1879" s="2" t="n">
        <v>9</v>
      </c>
      <c r="T1879" s="2" t="s">
        <v>79</v>
      </c>
      <c r="U1879" s="4" t="n">
        <f aca="false">(M1879+N1879+O1879+P1879)/L1879</f>
        <v>0.0568816658202133</v>
      </c>
      <c r="V1879" s="2" t="str">
        <f aca="false">IF(S1879&lt;=5,"Late night (0-5)",IF(S1879&lt;=11,"Morning (6-11)",IF(S1879&lt;=17,"Afternoon (12-17)","Evening (18-23)")))</f>
        <v>Morning (6-11)</v>
      </c>
    </row>
    <row r="1880" customFormat="false" ht="15" hidden="false" customHeight="false" outlineLevel="0" collapsed="false">
      <c r="A1880" s="2" t="s">
        <v>3026</v>
      </c>
      <c r="B1880" s="2" t="s">
        <v>409</v>
      </c>
      <c r="C1880" s="2" t="s">
        <v>48</v>
      </c>
      <c r="D1880" s="3" t="n">
        <v>45659</v>
      </c>
      <c r="E1880" s="2" t="s">
        <v>3027</v>
      </c>
      <c r="F1880" s="2" t="s">
        <v>32</v>
      </c>
      <c r="G1880" s="2" t="n">
        <v>31525</v>
      </c>
      <c r="H1880" s="2" t="n">
        <v>21</v>
      </c>
      <c r="I1880" s="2" t="n">
        <v>374</v>
      </c>
      <c r="J1880" s="2" t="n">
        <v>0</v>
      </c>
      <c r="K1880" s="2" t="n">
        <v>27449</v>
      </c>
      <c r="L1880" s="2" t="n">
        <v>18389</v>
      </c>
      <c r="M1880" s="2" t="n">
        <v>1193</v>
      </c>
      <c r="N1880" s="2" t="n">
        <v>76</v>
      </c>
      <c r="O1880" s="2" t="n">
        <v>214</v>
      </c>
      <c r="P1880" s="2" t="n">
        <v>350</v>
      </c>
      <c r="Q1880" s="2" t="n">
        <v>117</v>
      </c>
      <c r="R1880" s="2" t="n">
        <v>6</v>
      </c>
      <c r="S1880" s="2" t="n">
        <v>23</v>
      </c>
      <c r="T1880" s="2" t="s">
        <v>79</v>
      </c>
      <c r="U1880" s="4" t="n">
        <f aca="false">(M1880+N1880+O1880+P1880)/L1880</f>
        <v>0.0996791560171842</v>
      </c>
      <c r="V1880" s="2" t="str">
        <f aca="false">IF(S1880&lt;=5,"Late night (0-5)",IF(S1880&lt;=11,"Morning (6-11)",IF(S1880&lt;=17,"Afternoon (12-17)","Evening (18-23)")))</f>
        <v>Evening (18-23)</v>
      </c>
    </row>
    <row r="1881" customFormat="false" ht="15" hidden="false" customHeight="false" outlineLevel="0" collapsed="false">
      <c r="A1881" s="2" t="s">
        <v>3028</v>
      </c>
      <c r="B1881" s="2" t="s">
        <v>247</v>
      </c>
      <c r="C1881" s="2" t="s">
        <v>24</v>
      </c>
      <c r="D1881" s="3" t="n">
        <v>46022</v>
      </c>
      <c r="E1881" s="2" t="s">
        <v>850</v>
      </c>
      <c r="F1881" s="2" t="s">
        <v>32</v>
      </c>
      <c r="G1881" s="2" t="n">
        <v>70847</v>
      </c>
      <c r="H1881" s="2" t="n">
        <v>13</v>
      </c>
      <c r="I1881" s="2" t="n">
        <v>58</v>
      </c>
      <c r="J1881" s="2" t="n">
        <v>0</v>
      </c>
      <c r="K1881" s="2" t="n">
        <v>79302</v>
      </c>
      <c r="L1881" s="2" t="n">
        <v>50721</v>
      </c>
      <c r="M1881" s="2" t="n">
        <v>3803</v>
      </c>
      <c r="N1881" s="2" t="n">
        <v>106</v>
      </c>
      <c r="O1881" s="2" t="n">
        <v>387</v>
      </c>
      <c r="P1881" s="2" t="n">
        <v>401</v>
      </c>
      <c r="Q1881" s="2" t="n">
        <v>1014</v>
      </c>
      <c r="R1881" s="2" t="n">
        <v>167</v>
      </c>
      <c r="S1881" s="2" t="n">
        <v>16</v>
      </c>
      <c r="T1881" s="2" t="s">
        <v>66</v>
      </c>
      <c r="U1881" s="4" t="n">
        <f aca="false">(M1881+N1881+O1881+P1881)/L1881</f>
        <v>0.0926046410756886</v>
      </c>
      <c r="V1881" s="2" t="str">
        <f aca="false">IF(S1881&lt;=5,"Late night (0-5)",IF(S1881&lt;=11,"Morning (6-11)",IF(S1881&lt;=17,"Afternoon (12-17)","Evening (18-23)")))</f>
        <v>Afternoon (12-17)</v>
      </c>
    </row>
    <row r="1882" customFormat="false" ht="15" hidden="false" customHeight="false" outlineLevel="0" collapsed="false">
      <c r="A1882" s="2" t="s">
        <v>3029</v>
      </c>
      <c r="B1882" s="2" t="s">
        <v>138</v>
      </c>
      <c r="C1882" s="2" t="s">
        <v>41</v>
      </c>
      <c r="D1882" s="3" t="n">
        <v>45722</v>
      </c>
      <c r="E1882" s="2" t="s">
        <v>3030</v>
      </c>
      <c r="F1882" s="2" t="s">
        <v>32</v>
      </c>
      <c r="G1882" s="2" t="n">
        <v>18712</v>
      </c>
      <c r="H1882" s="2" t="n">
        <v>9</v>
      </c>
      <c r="I1882" s="2" t="n">
        <v>99</v>
      </c>
      <c r="J1882" s="2" t="n">
        <v>1</v>
      </c>
      <c r="K1882" s="2" t="n">
        <v>28414</v>
      </c>
      <c r="L1882" s="2" t="n">
        <v>17745</v>
      </c>
      <c r="M1882" s="2" t="n">
        <v>833</v>
      </c>
      <c r="N1882" s="2" t="n">
        <v>59</v>
      </c>
      <c r="O1882" s="2" t="n">
        <v>134</v>
      </c>
      <c r="P1882" s="2" t="n">
        <v>163</v>
      </c>
      <c r="Q1882" s="2" t="n">
        <v>124</v>
      </c>
      <c r="R1882" s="2" t="n">
        <v>35</v>
      </c>
      <c r="S1882" s="2" t="n">
        <v>16</v>
      </c>
      <c r="T1882" s="2" t="s">
        <v>79</v>
      </c>
      <c r="U1882" s="4" t="n">
        <f aca="false">(M1882+N1882+O1882+P1882)/L1882</f>
        <v>0.0670047900817132</v>
      </c>
      <c r="V1882" s="2" t="str">
        <f aca="false">IF(S1882&lt;=5,"Late night (0-5)",IF(S1882&lt;=11,"Morning (6-11)",IF(S1882&lt;=17,"Afternoon (12-17)","Evening (18-23)")))</f>
        <v>Afternoon (12-17)</v>
      </c>
    </row>
    <row r="1883" customFormat="false" ht="15" hidden="false" customHeight="false" outlineLevel="0" collapsed="false">
      <c r="A1883" s="2" t="s">
        <v>3031</v>
      </c>
      <c r="B1883" s="2" t="s">
        <v>324</v>
      </c>
      <c r="C1883" s="2" t="s">
        <v>24</v>
      </c>
      <c r="D1883" s="3" t="n">
        <v>45923</v>
      </c>
      <c r="E1883" s="2" t="s">
        <v>2538</v>
      </c>
      <c r="F1883" s="2" t="s">
        <v>26</v>
      </c>
      <c r="G1883" s="2" t="n">
        <v>3823</v>
      </c>
      <c r="H1883" s="2" t="n">
        <v>16</v>
      </c>
      <c r="I1883" s="2" t="n">
        <v>247</v>
      </c>
      <c r="J1883" s="2" t="n">
        <v>0</v>
      </c>
      <c r="K1883" s="2" t="n">
        <v>3358</v>
      </c>
      <c r="L1883" s="2" t="n">
        <v>2227</v>
      </c>
      <c r="M1883" s="2" t="n">
        <v>139</v>
      </c>
      <c r="N1883" s="2" t="n">
        <v>8</v>
      </c>
      <c r="O1883" s="2" t="n">
        <v>10</v>
      </c>
      <c r="P1883" s="2" t="n">
        <v>49</v>
      </c>
      <c r="Q1883" s="2" t="n">
        <v>58</v>
      </c>
      <c r="R1883" s="2" t="n">
        <v>6</v>
      </c>
      <c r="S1883" s="2" t="n">
        <v>15</v>
      </c>
      <c r="T1883" s="2" t="s">
        <v>51</v>
      </c>
      <c r="U1883" s="4" t="n">
        <f aca="false">(M1883+N1883+O1883+P1883)/L1883</f>
        <v>0.0925011225864392</v>
      </c>
      <c r="V1883" s="2" t="str">
        <f aca="false">IF(S1883&lt;=5,"Late night (0-5)",IF(S1883&lt;=11,"Morning (6-11)",IF(S1883&lt;=17,"Afternoon (12-17)","Evening (18-23)")))</f>
        <v>Afternoon (12-17)</v>
      </c>
    </row>
    <row r="1884" customFormat="false" ht="15" hidden="false" customHeight="false" outlineLevel="0" collapsed="false">
      <c r="A1884" s="2" t="s">
        <v>3032</v>
      </c>
      <c r="B1884" s="2" t="s">
        <v>371</v>
      </c>
      <c r="C1884" s="2" t="s">
        <v>48</v>
      </c>
      <c r="D1884" s="3" t="n">
        <v>45796</v>
      </c>
      <c r="E1884" s="2" t="s">
        <v>638</v>
      </c>
      <c r="F1884" s="2" t="s">
        <v>32</v>
      </c>
      <c r="G1884" s="2" t="n">
        <v>42479</v>
      </c>
      <c r="H1884" s="2" t="n">
        <v>17</v>
      </c>
      <c r="I1884" s="2" t="n">
        <v>90</v>
      </c>
      <c r="J1884" s="2" t="n">
        <v>0</v>
      </c>
      <c r="K1884" s="2" t="n">
        <v>65197</v>
      </c>
      <c r="L1884" s="2" t="n">
        <v>39726</v>
      </c>
      <c r="M1884" s="2" t="n">
        <v>1518</v>
      </c>
      <c r="N1884" s="2" t="n">
        <v>105</v>
      </c>
      <c r="O1884" s="2" t="n">
        <v>348</v>
      </c>
      <c r="P1884" s="2" t="n">
        <v>416</v>
      </c>
      <c r="Q1884" s="2" t="n">
        <v>831</v>
      </c>
      <c r="R1884" s="2" t="n">
        <v>237</v>
      </c>
      <c r="S1884" s="2" t="n">
        <v>17</v>
      </c>
      <c r="T1884" s="2" t="s">
        <v>33</v>
      </c>
      <c r="U1884" s="4" t="n">
        <f aca="false">(M1884+N1884+O1884+P1884)/L1884</f>
        <v>0.0600865931631677</v>
      </c>
      <c r="V1884" s="2" t="str">
        <f aca="false">IF(S1884&lt;=5,"Late night (0-5)",IF(S1884&lt;=11,"Morning (6-11)",IF(S1884&lt;=17,"Afternoon (12-17)","Evening (18-23)")))</f>
        <v>Afternoon (12-17)</v>
      </c>
    </row>
    <row r="1885" customFormat="false" ht="15" hidden="false" customHeight="false" outlineLevel="0" collapsed="false">
      <c r="A1885" s="2" t="s">
        <v>3033</v>
      </c>
      <c r="B1885" s="2" t="s">
        <v>68</v>
      </c>
      <c r="C1885" s="2" t="s">
        <v>54</v>
      </c>
      <c r="D1885" s="3" t="n">
        <v>45888</v>
      </c>
      <c r="E1885" s="2" t="s">
        <v>3034</v>
      </c>
      <c r="F1885" s="2" t="s">
        <v>38</v>
      </c>
      <c r="G1885" s="2" t="n">
        <v>35922</v>
      </c>
      <c r="H1885" s="2" t="n">
        <v>1</v>
      </c>
      <c r="I1885" s="2" t="n">
        <v>111</v>
      </c>
      <c r="J1885" s="2" t="n">
        <v>0</v>
      </c>
      <c r="K1885" s="2" t="n">
        <v>14530</v>
      </c>
      <c r="L1885" s="2" t="n">
        <v>9516</v>
      </c>
      <c r="M1885" s="2" t="n">
        <v>762</v>
      </c>
      <c r="N1885" s="2" t="n">
        <v>39</v>
      </c>
      <c r="O1885" s="2" t="n">
        <v>51</v>
      </c>
      <c r="P1885" s="2" t="n">
        <v>87</v>
      </c>
      <c r="Q1885" s="2" t="n">
        <v>71</v>
      </c>
      <c r="R1885" s="2" t="n">
        <v>16</v>
      </c>
      <c r="S1885" s="2" t="n">
        <v>6</v>
      </c>
      <c r="T1885" s="2" t="s">
        <v>51</v>
      </c>
      <c r="U1885" s="4" t="n">
        <f aca="false">(M1885+N1885+O1885+P1885)/L1885</f>
        <v>0.0986759142496847</v>
      </c>
      <c r="V1885" s="2" t="str">
        <f aca="false">IF(S1885&lt;=5,"Late night (0-5)",IF(S1885&lt;=11,"Morning (6-11)",IF(S1885&lt;=17,"Afternoon (12-17)","Evening (18-23)")))</f>
        <v>Morning (6-11)</v>
      </c>
    </row>
    <row r="1886" customFormat="false" ht="15" hidden="false" customHeight="false" outlineLevel="0" collapsed="false">
      <c r="A1886" s="2" t="s">
        <v>3035</v>
      </c>
      <c r="B1886" s="2" t="s">
        <v>220</v>
      </c>
      <c r="C1886" s="2" t="s">
        <v>48</v>
      </c>
      <c r="D1886" s="3" t="n">
        <v>45982</v>
      </c>
      <c r="E1886" s="2" t="s">
        <v>619</v>
      </c>
      <c r="F1886" s="2" t="s">
        <v>50</v>
      </c>
      <c r="G1886" s="2" t="n">
        <v>18917</v>
      </c>
      <c r="H1886" s="2" t="n">
        <v>22</v>
      </c>
      <c r="I1886" s="2" t="n">
        <v>317</v>
      </c>
      <c r="J1886" s="2" t="n">
        <v>0</v>
      </c>
      <c r="K1886" s="2" t="n">
        <v>5203</v>
      </c>
      <c r="L1886" s="2" t="n">
        <v>4334</v>
      </c>
      <c r="M1886" s="2" t="n">
        <v>166</v>
      </c>
      <c r="N1886" s="2" t="n">
        <v>9</v>
      </c>
      <c r="O1886" s="2" t="n">
        <v>13</v>
      </c>
      <c r="P1886" s="2" t="n">
        <v>35</v>
      </c>
      <c r="Q1886" s="2" t="n">
        <v>110</v>
      </c>
      <c r="R1886" s="2" t="n">
        <v>7</v>
      </c>
      <c r="S1886" s="2" t="n">
        <v>17</v>
      </c>
      <c r="T1886" s="2" t="s">
        <v>96</v>
      </c>
      <c r="U1886" s="4" t="n">
        <f aca="false">(M1886+N1886+O1886+P1886)/L1886</f>
        <v>0.0514536225196124</v>
      </c>
      <c r="V1886" s="2" t="str">
        <f aca="false">IF(S1886&lt;=5,"Late night (0-5)",IF(S1886&lt;=11,"Morning (6-11)",IF(S1886&lt;=17,"Afternoon (12-17)","Evening (18-23)")))</f>
        <v>Afternoon (12-17)</v>
      </c>
    </row>
    <row r="1887" customFormat="false" ht="15" hidden="false" customHeight="false" outlineLevel="0" collapsed="false">
      <c r="A1887" s="2" t="s">
        <v>3036</v>
      </c>
      <c r="B1887" s="2" t="s">
        <v>90</v>
      </c>
      <c r="C1887" s="2" t="s">
        <v>91</v>
      </c>
      <c r="D1887" s="3" t="n">
        <v>45774</v>
      </c>
      <c r="E1887" s="2" t="s">
        <v>588</v>
      </c>
      <c r="F1887" s="2" t="s">
        <v>32</v>
      </c>
      <c r="G1887" s="2" t="n">
        <v>54788</v>
      </c>
      <c r="H1887" s="2" t="n">
        <v>8</v>
      </c>
      <c r="I1887" s="2" t="n">
        <v>163</v>
      </c>
      <c r="J1887" s="2" t="n">
        <v>0</v>
      </c>
      <c r="K1887" s="2" t="n">
        <v>95365</v>
      </c>
      <c r="L1887" s="2" t="n">
        <v>61256</v>
      </c>
      <c r="M1887" s="2" t="n">
        <v>4887</v>
      </c>
      <c r="N1887" s="2" t="n">
        <v>378</v>
      </c>
      <c r="O1887" s="2" t="n">
        <v>853</v>
      </c>
      <c r="P1887" s="2" t="n">
        <v>1139</v>
      </c>
      <c r="Q1887" s="2" t="n">
        <v>1386</v>
      </c>
      <c r="R1887" s="2" t="n">
        <v>151</v>
      </c>
      <c r="S1887" s="2" t="n">
        <v>22</v>
      </c>
      <c r="T1887" s="2" t="s">
        <v>27</v>
      </c>
      <c r="U1887" s="4" t="n">
        <f aca="false">(M1887+N1887+O1887+P1887)/L1887</f>
        <v>0.118470027425885</v>
      </c>
      <c r="V1887" s="2" t="str">
        <f aca="false">IF(S1887&lt;=5,"Late night (0-5)",IF(S1887&lt;=11,"Morning (6-11)",IF(S1887&lt;=17,"Afternoon (12-17)","Evening (18-23)")))</f>
        <v>Evening (18-23)</v>
      </c>
    </row>
    <row r="1888" customFormat="false" ht="15" hidden="false" customHeight="false" outlineLevel="0" collapsed="false">
      <c r="A1888" s="2" t="s">
        <v>3037</v>
      </c>
      <c r="B1888" s="2" t="s">
        <v>57</v>
      </c>
      <c r="C1888" s="2" t="s">
        <v>24</v>
      </c>
      <c r="D1888" s="3" t="n">
        <v>45775</v>
      </c>
      <c r="E1888" s="2" t="s">
        <v>536</v>
      </c>
      <c r="F1888" s="2" t="s">
        <v>38</v>
      </c>
      <c r="G1888" s="2" t="n">
        <v>31021</v>
      </c>
      <c r="H1888" s="2" t="n">
        <v>14</v>
      </c>
      <c r="I1888" s="2" t="n">
        <v>115</v>
      </c>
      <c r="J1888" s="2" t="n">
        <v>1</v>
      </c>
      <c r="K1888" s="2" t="n">
        <v>27205</v>
      </c>
      <c r="L1888" s="2" t="n">
        <v>19803</v>
      </c>
      <c r="M1888" s="2" t="n">
        <v>892</v>
      </c>
      <c r="N1888" s="2" t="n">
        <v>43</v>
      </c>
      <c r="O1888" s="2" t="n">
        <v>173</v>
      </c>
      <c r="P1888" s="2" t="n">
        <v>127</v>
      </c>
      <c r="Q1888" s="2" t="n">
        <v>574</v>
      </c>
      <c r="R1888" s="2" t="n">
        <v>65</v>
      </c>
      <c r="S1888" s="2" t="n">
        <v>8</v>
      </c>
      <c r="T1888" s="2" t="s">
        <v>33</v>
      </c>
      <c r="U1888" s="4" t="n">
        <f aca="false">(M1888+N1888+O1888+P1888)/L1888</f>
        <v>0.0623642882391557</v>
      </c>
      <c r="V1888" s="2" t="str">
        <f aca="false">IF(S1888&lt;=5,"Late night (0-5)",IF(S1888&lt;=11,"Morning (6-11)",IF(S1888&lt;=17,"Afternoon (12-17)","Evening (18-23)")))</f>
        <v>Morning (6-11)</v>
      </c>
    </row>
    <row r="1889" customFormat="false" ht="15" hidden="false" customHeight="false" outlineLevel="0" collapsed="false">
      <c r="A1889" s="2" t="s">
        <v>3038</v>
      </c>
      <c r="B1889" s="2" t="s">
        <v>71</v>
      </c>
      <c r="C1889" s="2" t="s">
        <v>48</v>
      </c>
      <c r="D1889" s="3" t="n">
        <v>45704</v>
      </c>
      <c r="E1889" s="2" t="s">
        <v>3039</v>
      </c>
      <c r="F1889" s="2" t="s">
        <v>26</v>
      </c>
      <c r="G1889" s="2" t="n">
        <v>7316</v>
      </c>
      <c r="H1889" s="2" t="n">
        <v>14</v>
      </c>
      <c r="I1889" s="2" t="n">
        <v>35</v>
      </c>
      <c r="J1889" s="2" t="n">
        <v>0</v>
      </c>
      <c r="K1889" s="2" t="n">
        <v>6777</v>
      </c>
      <c r="L1889" s="2" t="n">
        <v>3852</v>
      </c>
      <c r="M1889" s="2" t="n">
        <v>282</v>
      </c>
      <c r="N1889" s="2" t="n">
        <v>7</v>
      </c>
      <c r="O1889" s="2" t="n">
        <v>39</v>
      </c>
      <c r="P1889" s="2" t="n">
        <v>31</v>
      </c>
      <c r="Q1889" s="2" t="n">
        <v>26</v>
      </c>
      <c r="R1889" s="2" t="n">
        <v>5</v>
      </c>
      <c r="S1889" s="2" t="n">
        <v>19</v>
      </c>
      <c r="T1889" s="2" t="s">
        <v>27</v>
      </c>
      <c r="U1889" s="4" t="n">
        <f aca="false">(M1889+N1889+O1889+P1889)/L1889</f>
        <v>0.0931983385254413</v>
      </c>
      <c r="V1889" s="2" t="str">
        <f aca="false">IF(S1889&lt;=5,"Late night (0-5)",IF(S1889&lt;=11,"Morning (6-11)",IF(S1889&lt;=17,"Afternoon (12-17)","Evening (18-23)")))</f>
        <v>Evening (18-23)</v>
      </c>
    </row>
    <row r="1890" customFormat="false" ht="15" hidden="false" customHeight="false" outlineLevel="0" collapsed="false">
      <c r="A1890" s="2" t="s">
        <v>3040</v>
      </c>
      <c r="B1890" s="2" t="s">
        <v>35</v>
      </c>
      <c r="C1890" s="2" t="s">
        <v>36</v>
      </c>
      <c r="D1890" s="3" t="n">
        <v>45729</v>
      </c>
      <c r="E1890" s="2" t="s">
        <v>3041</v>
      </c>
      <c r="F1890" s="2" t="s">
        <v>32</v>
      </c>
      <c r="G1890" s="2" t="n">
        <v>33933</v>
      </c>
      <c r="H1890" s="2" t="n">
        <v>16</v>
      </c>
      <c r="I1890" s="2" t="n">
        <v>199</v>
      </c>
      <c r="J1890" s="2" t="n">
        <v>0</v>
      </c>
      <c r="K1890" s="2" t="n">
        <v>41269</v>
      </c>
      <c r="L1890" s="2" t="n">
        <v>36368</v>
      </c>
      <c r="M1890" s="2" t="n">
        <v>1795</v>
      </c>
      <c r="N1890" s="2" t="n">
        <v>70</v>
      </c>
      <c r="O1890" s="2" t="n">
        <v>227</v>
      </c>
      <c r="P1890" s="2" t="n">
        <v>519</v>
      </c>
      <c r="Q1890" s="2" t="n">
        <v>367</v>
      </c>
      <c r="R1890" s="2" t="n">
        <v>24</v>
      </c>
      <c r="S1890" s="2" t="n">
        <v>21</v>
      </c>
      <c r="T1890" s="2" t="s">
        <v>79</v>
      </c>
      <c r="U1890" s="4" t="n">
        <f aca="false">(M1890+N1890+O1890+P1890)/L1890</f>
        <v>0.0717938847338319</v>
      </c>
      <c r="V1890" s="2" t="str">
        <f aca="false">IF(S1890&lt;=5,"Late night (0-5)",IF(S1890&lt;=11,"Morning (6-11)",IF(S1890&lt;=17,"Afternoon (12-17)","Evening (18-23)")))</f>
        <v>Evening (18-23)</v>
      </c>
    </row>
    <row r="1891" customFormat="false" ht="15" hidden="false" customHeight="false" outlineLevel="0" collapsed="false">
      <c r="A1891" s="2" t="s">
        <v>3042</v>
      </c>
      <c r="B1891" s="2" t="s">
        <v>307</v>
      </c>
      <c r="C1891" s="2" t="s">
        <v>48</v>
      </c>
      <c r="D1891" s="3" t="n">
        <v>45774</v>
      </c>
      <c r="E1891" s="2" t="s">
        <v>2952</v>
      </c>
      <c r="F1891" s="2" t="s">
        <v>32</v>
      </c>
      <c r="G1891" s="2" t="n">
        <v>91358</v>
      </c>
      <c r="H1891" s="2" t="n">
        <v>12</v>
      </c>
      <c r="I1891" s="2" t="n">
        <v>251</v>
      </c>
      <c r="J1891" s="2" t="n">
        <v>0</v>
      </c>
      <c r="K1891" s="2" t="n">
        <v>94191</v>
      </c>
      <c r="L1891" s="2" t="n">
        <v>78250</v>
      </c>
      <c r="M1891" s="2" t="n">
        <v>3240</v>
      </c>
      <c r="N1891" s="2" t="n">
        <v>137</v>
      </c>
      <c r="O1891" s="2" t="n">
        <v>344</v>
      </c>
      <c r="P1891" s="2" t="n">
        <v>409</v>
      </c>
      <c r="Q1891" s="2" t="n">
        <v>1061</v>
      </c>
      <c r="R1891" s="2" t="n">
        <v>158</v>
      </c>
      <c r="S1891" s="2" t="n">
        <v>23</v>
      </c>
      <c r="T1891" s="2" t="s">
        <v>27</v>
      </c>
      <c r="U1891" s="4" t="n">
        <f aca="false">(M1891+N1891+O1891+P1891)/L1891</f>
        <v>0.052779552715655</v>
      </c>
      <c r="V1891" s="2" t="str">
        <f aca="false">IF(S1891&lt;=5,"Late night (0-5)",IF(S1891&lt;=11,"Morning (6-11)",IF(S1891&lt;=17,"Afternoon (12-17)","Evening (18-23)")))</f>
        <v>Evening (18-23)</v>
      </c>
    </row>
    <row r="1892" customFormat="false" ht="15" hidden="false" customHeight="false" outlineLevel="0" collapsed="false">
      <c r="A1892" s="2" t="s">
        <v>3043</v>
      </c>
      <c r="B1892" s="2" t="s">
        <v>138</v>
      </c>
      <c r="C1892" s="2" t="s">
        <v>41</v>
      </c>
      <c r="D1892" s="3" t="n">
        <v>45959</v>
      </c>
      <c r="E1892" s="2" t="s">
        <v>448</v>
      </c>
      <c r="F1892" s="2" t="s">
        <v>38</v>
      </c>
      <c r="G1892" s="2" t="n">
        <v>18712</v>
      </c>
      <c r="H1892" s="2" t="n">
        <v>2</v>
      </c>
      <c r="I1892" s="2" t="n">
        <v>337</v>
      </c>
      <c r="J1892" s="2" t="n">
        <v>1</v>
      </c>
      <c r="K1892" s="2" t="n">
        <v>28437</v>
      </c>
      <c r="L1892" s="2" t="n">
        <v>18563</v>
      </c>
      <c r="M1892" s="2" t="n">
        <v>1149</v>
      </c>
      <c r="N1892" s="2" t="n">
        <v>88</v>
      </c>
      <c r="O1892" s="2" t="n">
        <v>228</v>
      </c>
      <c r="P1892" s="2" t="n">
        <v>297</v>
      </c>
      <c r="Q1892" s="2" t="n">
        <v>466</v>
      </c>
      <c r="R1892" s="2" t="n">
        <v>65</v>
      </c>
      <c r="S1892" s="2" t="n">
        <v>22</v>
      </c>
      <c r="T1892" s="2" t="s">
        <v>66</v>
      </c>
      <c r="U1892" s="4" t="n">
        <f aca="false">(M1892+N1892+O1892+P1892)/L1892</f>
        <v>0.0949200021548241</v>
      </c>
      <c r="V1892" s="2" t="str">
        <f aca="false">IF(S1892&lt;=5,"Late night (0-5)",IF(S1892&lt;=11,"Morning (6-11)",IF(S1892&lt;=17,"Afternoon (12-17)","Evening (18-23)")))</f>
        <v>Evening (18-23)</v>
      </c>
    </row>
    <row r="1893" customFormat="false" ht="15" hidden="false" customHeight="false" outlineLevel="0" collapsed="false">
      <c r="A1893" s="2" t="s">
        <v>3044</v>
      </c>
      <c r="B1893" s="2" t="s">
        <v>111</v>
      </c>
      <c r="C1893" s="2" t="s">
        <v>48</v>
      </c>
      <c r="D1893" s="3" t="n">
        <v>45670</v>
      </c>
      <c r="E1893" s="2" t="s">
        <v>415</v>
      </c>
      <c r="F1893" s="2" t="s">
        <v>50</v>
      </c>
      <c r="G1893" s="2" t="n">
        <v>16824</v>
      </c>
      <c r="H1893" s="2" t="n">
        <v>10</v>
      </c>
      <c r="I1893" s="2" t="n">
        <v>246</v>
      </c>
      <c r="J1893" s="2" t="n">
        <v>1</v>
      </c>
      <c r="K1893" s="2" t="n">
        <v>42938</v>
      </c>
      <c r="L1893" s="2" t="n">
        <v>24023</v>
      </c>
      <c r="M1893" s="2" t="n">
        <v>1349</v>
      </c>
      <c r="N1893" s="2" t="n">
        <v>34</v>
      </c>
      <c r="O1893" s="2" t="n">
        <v>121</v>
      </c>
      <c r="P1893" s="2" t="n">
        <v>197</v>
      </c>
      <c r="Q1893" s="2" t="n">
        <v>718</v>
      </c>
      <c r="R1893" s="2" t="n">
        <v>159</v>
      </c>
      <c r="S1893" s="2" t="n">
        <v>20</v>
      </c>
      <c r="T1893" s="2" t="s">
        <v>33</v>
      </c>
      <c r="U1893" s="4" t="n">
        <f aca="false">(M1893+N1893+O1893+P1893)/L1893</f>
        <v>0.070807143154477</v>
      </c>
      <c r="V1893" s="2" t="str">
        <f aca="false">IF(S1893&lt;=5,"Late night (0-5)",IF(S1893&lt;=11,"Morning (6-11)",IF(S1893&lt;=17,"Afternoon (12-17)","Evening (18-23)")))</f>
        <v>Evening (18-23)</v>
      </c>
    </row>
    <row r="1894" customFormat="false" ht="15" hidden="false" customHeight="false" outlineLevel="0" collapsed="false">
      <c r="A1894" s="2" t="s">
        <v>3045</v>
      </c>
      <c r="B1894" s="2" t="s">
        <v>409</v>
      </c>
      <c r="C1894" s="2" t="s">
        <v>48</v>
      </c>
      <c r="D1894" s="3" t="n">
        <v>45959</v>
      </c>
      <c r="E1894" s="2" t="s">
        <v>1122</v>
      </c>
      <c r="F1894" s="2" t="s">
        <v>26</v>
      </c>
      <c r="G1894" s="2" t="n">
        <v>31525</v>
      </c>
      <c r="H1894" s="2" t="n">
        <v>5</v>
      </c>
      <c r="I1894" s="2" t="n">
        <v>148</v>
      </c>
      <c r="J1894" s="2" t="n">
        <v>0</v>
      </c>
      <c r="K1894" s="2" t="n">
        <v>20629</v>
      </c>
      <c r="L1894" s="2" t="n">
        <v>14788</v>
      </c>
      <c r="M1894" s="2" t="n">
        <v>1151</v>
      </c>
      <c r="N1894" s="2" t="n">
        <v>91</v>
      </c>
      <c r="O1894" s="2" t="n">
        <v>145</v>
      </c>
      <c r="P1894" s="2" t="n">
        <v>112</v>
      </c>
      <c r="Q1894" s="2" t="n">
        <v>111</v>
      </c>
      <c r="R1894" s="2" t="n">
        <v>32</v>
      </c>
      <c r="S1894" s="2" t="n">
        <v>6</v>
      </c>
      <c r="T1894" s="2" t="s">
        <v>66</v>
      </c>
      <c r="U1894" s="4" t="n">
        <f aca="false">(M1894+N1894+O1894+P1894)/L1894</f>
        <v>0.101365972410062</v>
      </c>
      <c r="V1894" s="2" t="str">
        <f aca="false">IF(S1894&lt;=5,"Late night (0-5)",IF(S1894&lt;=11,"Morning (6-11)",IF(S1894&lt;=17,"Afternoon (12-17)","Evening (18-23)")))</f>
        <v>Morning (6-11)</v>
      </c>
    </row>
    <row r="1895" customFormat="false" ht="15" hidden="false" customHeight="false" outlineLevel="0" collapsed="false">
      <c r="A1895" s="2" t="s">
        <v>3046</v>
      </c>
      <c r="B1895" s="2" t="s">
        <v>47</v>
      </c>
      <c r="C1895" s="2" t="s">
        <v>48</v>
      </c>
      <c r="D1895" s="3" t="n">
        <v>45706</v>
      </c>
      <c r="E1895" s="2" t="s">
        <v>78</v>
      </c>
      <c r="F1895" s="2" t="s">
        <v>38</v>
      </c>
      <c r="G1895" s="2" t="n">
        <v>19609</v>
      </c>
      <c r="H1895" s="2" t="n">
        <v>19</v>
      </c>
      <c r="I1895" s="2" t="n">
        <v>125</v>
      </c>
      <c r="J1895" s="2" t="n">
        <v>1</v>
      </c>
      <c r="K1895" s="2" t="n">
        <v>5114</v>
      </c>
      <c r="L1895" s="2" t="n">
        <v>4633</v>
      </c>
      <c r="M1895" s="2" t="n">
        <v>412</v>
      </c>
      <c r="N1895" s="2" t="n">
        <v>23</v>
      </c>
      <c r="O1895" s="2" t="n">
        <v>40</v>
      </c>
      <c r="P1895" s="2" t="n">
        <v>76</v>
      </c>
      <c r="Q1895" s="2" t="n">
        <v>27</v>
      </c>
      <c r="R1895" s="2" t="n">
        <v>2</v>
      </c>
      <c r="S1895" s="2" t="n">
        <v>5</v>
      </c>
      <c r="T1895" s="2" t="s">
        <v>51</v>
      </c>
      <c r="U1895" s="4" t="n">
        <f aca="false">(M1895+N1895+O1895+P1895)/L1895</f>
        <v>0.118929419382689</v>
      </c>
      <c r="V1895" s="2" t="str">
        <f aca="false">IF(S1895&lt;=5,"Late night (0-5)",IF(S1895&lt;=11,"Morning (6-11)",IF(S1895&lt;=17,"Afternoon (12-17)","Evening (18-23)")))</f>
        <v>Late night (0-5)</v>
      </c>
    </row>
    <row r="1896" customFormat="false" ht="15" hidden="false" customHeight="false" outlineLevel="0" collapsed="false">
      <c r="A1896" s="2" t="s">
        <v>3047</v>
      </c>
      <c r="B1896" s="2" t="s">
        <v>220</v>
      </c>
      <c r="C1896" s="2" t="s">
        <v>48</v>
      </c>
      <c r="D1896" s="3" t="n">
        <v>45832</v>
      </c>
      <c r="E1896" s="2" t="s">
        <v>3048</v>
      </c>
      <c r="F1896" s="2" t="s">
        <v>50</v>
      </c>
      <c r="G1896" s="2" t="n">
        <v>18917</v>
      </c>
      <c r="H1896" s="2" t="n">
        <v>11</v>
      </c>
      <c r="I1896" s="2" t="n">
        <v>168</v>
      </c>
      <c r="J1896" s="2" t="n">
        <v>0</v>
      </c>
      <c r="K1896" s="2" t="n">
        <v>16818</v>
      </c>
      <c r="L1896" s="2" t="n">
        <v>10330</v>
      </c>
      <c r="M1896" s="2" t="n">
        <v>550</v>
      </c>
      <c r="N1896" s="2" t="n">
        <v>22</v>
      </c>
      <c r="O1896" s="2" t="n">
        <v>53</v>
      </c>
      <c r="P1896" s="2" t="n">
        <v>104</v>
      </c>
      <c r="Q1896" s="2" t="n">
        <v>137</v>
      </c>
      <c r="R1896" s="2" t="n">
        <v>30</v>
      </c>
      <c r="S1896" s="2" t="n">
        <v>6</v>
      </c>
      <c r="T1896" s="2" t="s">
        <v>51</v>
      </c>
      <c r="U1896" s="4" t="n">
        <f aca="false">(M1896+N1896+O1896+P1896)/L1896</f>
        <v>0.0705711519845111</v>
      </c>
      <c r="V1896" s="2" t="str">
        <f aca="false">IF(S1896&lt;=5,"Late night (0-5)",IF(S1896&lt;=11,"Morning (6-11)",IF(S1896&lt;=17,"Afternoon (12-17)","Evening (18-23)")))</f>
        <v>Morning (6-11)</v>
      </c>
    </row>
    <row r="1897" customFormat="false" ht="15" hidden="false" customHeight="false" outlineLevel="0" collapsed="false">
      <c r="A1897" s="2" t="s">
        <v>3049</v>
      </c>
      <c r="B1897" s="2" t="s">
        <v>106</v>
      </c>
      <c r="C1897" s="2" t="s">
        <v>91</v>
      </c>
      <c r="D1897" s="3" t="n">
        <v>45888</v>
      </c>
      <c r="E1897" s="2" t="s">
        <v>3050</v>
      </c>
      <c r="F1897" s="2" t="s">
        <v>32</v>
      </c>
      <c r="G1897" s="2" t="n">
        <v>59477</v>
      </c>
      <c r="H1897" s="2" t="n">
        <v>9</v>
      </c>
      <c r="I1897" s="2" t="n">
        <v>146</v>
      </c>
      <c r="J1897" s="2" t="n">
        <v>0</v>
      </c>
      <c r="K1897" s="2" t="n">
        <v>118886</v>
      </c>
      <c r="L1897" s="2" t="n">
        <v>76130</v>
      </c>
      <c r="M1897" s="2" t="n">
        <v>6303</v>
      </c>
      <c r="N1897" s="2" t="n">
        <v>225</v>
      </c>
      <c r="O1897" s="2" t="n">
        <v>422</v>
      </c>
      <c r="P1897" s="2" t="n">
        <v>1189</v>
      </c>
      <c r="Q1897" s="2" t="n">
        <v>881</v>
      </c>
      <c r="R1897" s="2" t="n">
        <v>236</v>
      </c>
      <c r="S1897" s="2" t="n">
        <v>18</v>
      </c>
      <c r="T1897" s="2" t="s">
        <v>51</v>
      </c>
      <c r="U1897" s="4" t="n">
        <f aca="false">(M1897+N1897+O1897+P1897)/L1897</f>
        <v>0.10690923420465</v>
      </c>
      <c r="V1897" s="2" t="str">
        <f aca="false">IF(S1897&lt;=5,"Late night (0-5)",IF(S1897&lt;=11,"Morning (6-11)",IF(S1897&lt;=17,"Afternoon (12-17)","Evening (18-23)")))</f>
        <v>Evening (18-23)</v>
      </c>
    </row>
    <row r="1898" customFormat="false" ht="15" hidden="false" customHeight="false" outlineLevel="0" collapsed="false">
      <c r="A1898" s="2" t="s">
        <v>3051</v>
      </c>
      <c r="B1898" s="2" t="s">
        <v>264</v>
      </c>
      <c r="C1898" s="2" t="s">
        <v>36</v>
      </c>
      <c r="D1898" s="3" t="n">
        <v>45675</v>
      </c>
      <c r="E1898" s="2" t="s">
        <v>267</v>
      </c>
      <c r="F1898" s="2" t="s">
        <v>50</v>
      </c>
      <c r="G1898" s="2" t="n">
        <v>22362</v>
      </c>
      <c r="H1898" s="2" t="n">
        <v>15</v>
      </c>
      <c r="I1898" s="2" t="n">
        <v>233</v>
      </c>
      <c r="J1898" s="2" t="n">
        <v>0</v>
      </c>
      <c r="K1898" s="2" t="n">
        <v>18050</v>
      </c>
      <c r="L1898" s="2" t="n">
        <v>10454</v>
      </c>
      <c r="M1898" s="2" t="n">
        <v>433</v>
      </c>
      <c r="N1898" s="2" t="n">
        <v>15</v>
      </c>
      <c r="O1898" s="2" t="n">
        <v>39</v>
      </c>
      <c r="P1898" s="2" t="n">
        <v>116</v>
      </c>
      <c r="Q1898" s="2" t="n">
        <v>294</v>
      </c>
      <c r="R1898" s="2" t="n">
        <v>73</v>
      </c>
      <c r="S1898" s="2" t="n">
        <v>18</v>
      </c>
      <c r="T1898" s="2" t="s">
        <v>62</v>
      </c>
      <c r="U1898" s="4" t="n">
        <f aca="false">(M1898+N1898+O1898+P1898)/L1898</f>
        <v>0.0576812703271475</v>
      </c>
      <c r="V1898" s="2" t="str">
        <f aca="false">IF(S1898&lt;=5,"Late night (0-5)",IF(S1898&lt;=11,"Morning (6-11)",IF(S1898&lt;=17,"Afternoon (12-17)","Evening (18-23)")))</f>
        <v>Evening (18-23)</v>
      </c>
    </row>
    <row r="1899" customFormat="false" ht="15" hidden="false" customHeight="false" outlineLevel="0" collapsed="false">
      <c r="A1899" s="2" t="s">
        <v>3052</v>
      </c>
      <c r="B1899" s="2" t="s">
        <v>83</v>
      </c>
      <c r="C1899" s="2" t="s">
        <v>84</v>
      </c>
      <c r="D1899" s="3" t="n">
        <v>45870</v>
      </c>
      <c r="E1899" s="2" t="s">
        <v>1636</v>
      </c>
      <c r="F1899" s="2" t="s">
        <v>32</v>
      </c>
      <c r="G1899" s="2" t="n">
        <v>17918</v>
      </c>
      <c r="H1899" s="2" t="n">
        <v>14</v>
      </c>
      <c r="I1899" s="2" t="n">
        <v>152</v>
      </c>
      <c r="J1899" s="2" t="n">
        <v>1</v>
      </c>
      <c r="K1899" s="2" t="n">
        <v>29334</v>
      </c>
      <c r="L1899" s="2" t="n">
        <v>26430</v>
      </c>
      <c r="M1899" s="2" t="n">
        <v>2716</v>
      </c>
      <c r="N1899" s="2" t="n">
        <v>97</v>
      </c>
      <c r="O1899" s="2" t="n">
        <v>149</v>
      </c>
      <c r="P1899" s="2" t="n">
        <v>209</v>
      </c>
      <c r="Q1899" s="2" t="n">
        <v>290</v>
      </c>
      <c r="R1899" s="2" t="n">
        <v>34</v>
      </c>
      <c r="S1899" s="2" t="n">
        <v>2</v>
      </c>
      <c r="T1899" s="2" t="s">
        <v>96</v>
      </c>
      <c r="U1899" s="4" t="n">
        <f aca="false">(M1899+N1899+O1899+P1899)/L1899</f>
        <v>0.119977298524404</v>
      </c>
      <c r="V1899" s="2" t="str">
        <f aca="false">IF(S1899&lt;=5,"Late night (0-5)",IF(S1899&lt;=11,"Morning (6-11)",IF(S1899&lt;=17,"Afternoon (12-17)","Evening (18-23)")))</f>
        <v>Late night (0-5)</v>
      </c>
    </row>
    <row r="1900" customFormat="false" ht="15" hidden="false" customHeight="false" outlineLevel="0" collapsed="false">
      <c r="A1900" s="2" t="s">
        <v>3053</v>
      </c>
      <c r="B1900" s="2" t="s">
        <v>243</v>
      </c>
      <c r="C1900" s="2" t="s">
        <v>91</v>
      </c>
      <c r="D1900" s="3" t="n">
        <v>45680</v>
      </c>
      <c r="E1900" s="2" t="s">
        <v>2131</v>
      </c>
      <c r="F1900" s="2" t="s">
        <v>38</v>
      </c>
      <c r="G1900" s="2" t="n">
        <v>42046</v>
      </c>
      <c r="H1900" s="2" t="n">
        <v>17</v>
      </c>
      <c r="I1900" s="2" t="n">
        <v>170</v>
      </c>
      <c r="J1900" s="2" t="n">
        <v>0</v>
      </c>
      <c r="K1900" s="2" t="n">
        <v>63655</v>
      </c>
      <c r="L1900" s="2" t="n">
        <v>42180</v>
      </c>
      <c r="M1900" s="2" t="n">
        <v>1418</v>
      </c>
      <c r="N1900" s="2" t="n">
        <v>45</v>
      </c>
      <c r="O1900" s="2" t="n">
        <v>227</v>
      </c>
      <c r="P1900" s="2" t="n">
        <v>338</v>
      </c>
      <c r="Q1900" s="2" t="n">
        <v>1005</v>
      </c>
      <c r="R1900" s="2" t="n">
        <v>54</v>
      </c>
      <c r="S1900" s="2" t="n">
        <v>10</v>
      </c>
      <c r="T1900" s="2" t="s">
        <v>79</v>
      </c>
      <c r="U1900" s="4" t="n">
        <f aca="false">(M1900+N1900+O1900+P1900)/L1900</f>
        <v>0.0480796586059744</v>
      </c>
      <c r="V1900" s="2" t="str">
        <f aca="false">IF(S1900&lt;=5,"Late night (0-5)",IF(S1900&lt;=11,"Morning (6-11)",IF(S1900&lt;=17,"Afternoon (12-17)","Evening (18-23)")))</f>
        <v>Morning (6-11)</v>
      </c>
    </row>
    <row r="1901" customFormat="false" ht="15" hidden="false" customHeight="false" outlineLevel="0" collapsed="false">
      <c r="A1901" s="2" t="s">
        <v>3054</v>
      </c>
      <c r="B1901" s="2" t="s">
        <v>77</v>
      </c>
      <c r="C1901" s="2" t="s">
        <v>30</v>
      </c>
      <c r="D1901" s="3" t="n">
        <v>45756</v>
      </c>
      <c r="E1901" s="2" t="s">
        <v>634</v>
      </c>
      <c r="F1901" s="2" t="s">
        <v>38</v>
      </c>
      <c r="G1901" s="2" t="n">
        <v>17548</v>
      </c>
      <c r="H1901" s="2" t="n">
        <v>14</v>
      </c>
      <c r="I1901" s="2" t="n">
        <v>193</v>
      </c>
      <c r="J1901" s="2" t="n">
        <v>1</v>
      </c>
      <c r="K1901" s="2" t="n">
        <v>3970</v>
      </c>
      <c r="L1901" s="2" t="n">
        <v>3600</v>
      </c>
      <c r="M1901" s="2" t="n">
        <v>216</v>
      </c>
      <c r="N1901" s="2" t="n">
        <v>11</v>
      </c>
      <c r="O1901" s="2" t="n">
        <v>30</v>
      </c>
      <c r="P1901" s="2" t="n">
        <v>31</v>
      </c>
      <c r="Q1901" s="2" t="n">
        <v>18</v>
      </c>
      <c r="R1901" s="2" t="n">
        <v>3</v>
      </c>
      <c r="S1901" s="2" t="n">
        <v>1</v>
      </c>
      <c r="T1901" s="2" t="s">
        <v>66</v>
      </c>
      <c r="U1901" s="4" t="n">
        <f aca="false">(M1901+N1901+O1901+P1901)/L1901</f>
        <v>0.08</v>
      </c>
      <c r="V1901" s="2" t="str">
        <f aca="false">IF(S1901&lt;=5,"Late night (0-5)",IF(S1901&lt;=11,"Morning (6-11)",IF(S1901&lt;=17,"Afternoon (12-17)","Evening (18-23)")))</f>
        <v>Late night (0-5)</v>
      </c>
    </row>
    <row r="1902" customFormat="false" ht="15" hidden="false" customHeight="false" outlineLevel="0" collapsed="false">
      <c r="A1902" s="2" t="s">
        <v>3055</v>
      </c>
      <c r="B1902" s="2" t="s">
        <v>319</v>
      </c>
      <c r="C1902" s="2" t="s">
        <v>84</v>
      </c>
      <c r="D1902" s="3" t="n">
        <v>45664</v>
      </c>
      <c r="E1902" s="2" t="s">
        <v>2123</v>
      </c>
      <c r="F1902" s="2" t="s">
        <v>50</v>
      </c>
      <c r="G1902" s="2" t="n">
        <v>49810</v>
      </c>
      <c r="H1902" s="2" t="n">
        <v>18</v>
      </c>
      <c r="I1902" s="2" t="n">
        <v>210</v>
      </c>
      <c r="J1902" s="2" t="n">
        <v>0</v>
      </c>
      <c r="K1902" s="2" t="n">
        <v>20539</v>
      </c>
      <c r="L1902" s="2" t="n">
        <v>17591</v>
      </c>
      <c r="M1902" s="2" t="n">
        <v>1175</v>
      </c>
      <c r="N1902" s="2" t="n">
        <v>79</v>
      </c>
      <c r="O1902" s="2" t="n">
        <v>90</v>
      </c>
      <c r="P1902" s="2" t="n">
        <v>244</v>
      </c>
      <c r="Q1902" s="2" t="n">
        <v>457</v>
      </c>
      <c r="R1902" s="2" t="n">
        <v>82</v>
      </c>
      <c r="S1902" s="2" t="n">
        <v>22</v>
      </c>
      <c r="T1902" s="2" t="s">
        <v>51</v>
      </c>
      <c r="U1902" s="4" t="n">
        <f aca="false">(M1902+N1902+O1902+P1902)/L1902</f>
        <v>0.0902734352794042</v>
      </c>
      <c r="V1902" s="2" t="str">
        <f aca="false">IF(S1902&lt;=5,"Late night (0-5)",IF(S1902&lt;=11,"Morning (6-11)",IF(S1902&lt;=17,"Afternoon (12-17)","Evening (18-23)")))</f>
        <v>Evening (18-23)</v>
      </c>
    </row>
    <row r="1903" customFormat="false" ht="15" hidden="false" customHeight="false" outlineLevel="0" collapsed="false">
      <c r="A1903" s="2" t="s">
        <v>3056</v>
      </c>
      <c r="B1903" s="2" t="s">
        <v>327</v>
      </c>
      <c r="C1903" s="2" t="s">
        <v>91</v>
      </c>
      <c r="D1903" s="3" t="n">
        <v>45919</v>
      </c>
      <c r="E1903" s="2" t="s">
        <v>2357</v>
      </c>
      <c r="F1903" s="2" t="s">
        <v>38</v>
      </c>
      <c r="G1903" s="2" t="n">
        <v>16943</v>
      </c>
      <c r="H1903" s="2" t="n">
        <v>20</v>
      </c>
      <c r="I1903" s="2" t="n">
        <v>187</v>
      </c>
      <c r="J1903" s="2" t="n">
        <v>1</v>
      </c>
      <c r="K1903" s="2" t="n">
        <v>10689</v>
      </c>
      <c r="L1903" s="2" t="n">
        <v>6552</v>
      </c>
      <c r="M1903" s="2" t="n">
        <v>563</v>
      </c>
      <c r="N1903" s="2" t="n">
        <v>27</v>
      </c>
      <c r="O1903" s="2" t="n">
        <v>65</v>
      </c>
      <c r="P1903" s="2" t="n">
        <v>73</v>
      </c>
      <c r="Q1903" s="2" t="n">
        <v>76</v>
      </c>
      <c r="R1903" s="2" t="n">
        <v>22</v>
      </c>
      <c r="S1903" s="2" t="n">
        <v>22</v>
      </c>
      <c r="T1903" s="2" t="s">
        <v>96</v>
      </c>
      <c r="U1903" s="4" t="n">
        <f aca="false">(M1903+N1903+O1903+P1903)/L1903</f>
        <v>0.111111111111111</v>
      </c>
      <c r="V1903" s="2" t="str">
        <f aca="false">IF(S1903&lt;=5,"Late night (0-5)",IF(S1903&lt;=11,"Morning (6-11)",IF(S1903&lt;=17,"Afternoon (12-17)","Evening (18-23)")))</f>
        <v>Evening (18-23)</v>
      </c>
    </row>
    <row r="1904" customFormat="false" ht="15" hidden="false" customHeight="false" outlineLevel="0" collapsed="false">
      <c r="A1904" s="2" t="s">
        <v>3057</v>
      </c>
      <c r="B1904" s="2" t="s">
        <v>426</v>
      </c>
      <c r="C1904" s="2" t="s">
        <v>30</v>
      </c>
      <c r="D1904" s="3" t="n">
        <v>45745</v>
      </c>
      <c r="E1904" s="2" t="s">
        <v>3058</v>
      </c>
      <c r="F1904" s="2" t="s">
        <v>50</v>
      </c>
      <c r="G1904" s="2" t="n">
        <v>40649</v>
      </c>
      <c r="H1904" s="2" t="n">
        <v>16</v>
      </c>
      <c r="I1904" s="2" t="n">
        <v>173</v>
      </c>
      <c r="J1904" s="2" t="n">
        <v>0</v>
      </c>
      <c r="K1904" s="2" t="n">
        <v>12133</v>
      </c>
      <c r="L1904" s="2" t="n">
        <v>8043</v>
      </c>
      <c r="M1904" s="2" t="n">
        <v>610</v>
      </c>
      <c r="N1904" s="2" t="n">
        <v>44</v>
      </c>
      <c r="O1904" s="2" t="n">
        <v>113</v>
      </c>
      <c r="P1904" s="2" t="n">
        <v>43</v>
      </c>
      <c r="Q1904" s="2" t="n">
        <v>186</v>
      </c>
      <c r="R1904" s="2" t="n">
        <v>18</v>
      </c>
      <c r="S1904" s="2" t="n">
        <v>0</v>
      </c>
      <c r="T1904" s="2" t="s">
        <v>62</v>
      </c>
      <c r="U1904" s="4" t="n">
        <f aca="false">(M1904+N1904+O1904+P1904)/L1904</f>
        <v>0.10070869078702</v>
      </c>
      <c r="V1904" s="2" t="str">
        <f aca="false">IF(S1904&lt;=5,"Late night (0-5)",IF(S1904&lt;=11,"Morning (6-11)",IF(S1904&lt;=17,"Afternoon (12-17)","Evening (18-23)")))</f>
        <v>Late night (0-5)</v>
      </c>
    </row>
    <row r="1905" customFormat="false" ht="15" hidden="false" customHeight="false" outlineLevel="0" collapsed="false">
      <c r="A1905" s="2" t="s">
        <v>3059</v>
      </c>
      <c r="B1905" s="2" t="s">
        <v>409</v>
      </c>
      <c r="C1905" s="2" t="s">
        <v>48</v>
      </c>
      <c r="D1905" s="3" t="n">
        <v>45913</v>
      </c>
      <c r="E1905" s="2" t="s">
        <v>546</v>
      </c>
      <c r="F1905" s="2" t="s">
        <v>26</v>
      </c>
      <c r="G1905" s="2" t="n">
        <v>31525</v>
      </c>
      <c r="H1905" s="2" t="n">
        <v>17</v>
      </c>
      <c r="I1905" s="2" t="n">
        <v>38</v>
      </c>
      <c r="J1905" s="2" t="n">
        <v>0</v>
      </c>
      <c r="K1905" s="2" t="n">
        <v>17432</v>
      </c>
      <c r="L1905" s="2" t="n">
        <v>11499</v>
      </c>
      <c r="M1905" s="2" t="n">
        <v>950</v>
      </c>
      <c r="N1905" s="2" t="n">
        <v>40</v>
      </c>
      <c r="O1905" s="2" t="n">
        <v>44</v>
      </c>
      <c r="P1905" s="2" t="n">
        <v>336</v>
      </c>
      <c r="Q1905" s="2" t="n">
        <v>195</v>
      </c>
      <c r="R1905" s="2" t="n">
        <v>37</v>
      </c>
      <c r="S1905" s="2" t="n">
        <v>9</v>
      </c>
      <c r="T1905" s="2" t="s">
        <v>62</v>
      </c>
      <c r="U1905" s="4" t="n">
        <f aca="false">(M1905+N1905+O1905+P1905)/L1905</f>
        <v>0.119140794851726</v>
      </c>
      <c r="V1905" s="2" t="str">
        <f aca="false">IF(S1905&lt;=5,"Late night (0-5)",IF(S1905&lt;=11,"Morning (6-11)",IF(S1905&lt;=17,"Afternoon (12-17)","Evening (18-23)")))</f>
        <v>Morning (6-11)</v>
      </c>
    </row>
    <row r="1906" customFormat="false" ht="15" hidden="false" customHeight="false" outlineLevel="0" collapsed="false">
      <c r="A1906" s="2" t="s">
        <v>3060</v>
      </c>
      <c r="B1906" s="2" t="s">
        <v>23</v>
      </c>
      <c r="C1906" s="2" t="s">
        <v>24</v>
      </c>
      <c r="D1906" s="3" t="n">
        <v>45947</v>
      </c>
      <c r="E1906" s="2" t="s">
        <v>950</v>
      </c>
      <c r="F1906" s="2" t="s">
        <v>50</v>
      </c>
      <c r="G1906" s="2" t="n">
        <v>63447</v>
      </c>
      <c r="H1906" s="2" t="n">
        <v>16</v>
      </c>
      <c r="I1906" s="2" t="n">
        <v>229</v>
      </c>
      <c r="J1906" s="2" t="n">
        <v>1</v>
      </c>
      <c r="K1906" s="2" t="n">
        <v>48350</v>
      </c>
      <c r="L1906" s="2" t="n">
        <v>36173</v>
      </c>
      <c r="M1906" s="2" t="n">
        <v>1314</v>
      </c>
      <c r="N1906" s="2" t="n">
        <v>65</v>
      </c>
      <c r="O1906" s="2" t="n">
        <v>82</v>
      </c>
      <c r="P1906" s="2" t="n">
        <v>274</v>
      </c>
      <c r="Q1906" s="2" t="n">
        <v>352</v>
      </c>
      <c r="R1906" s="2" t="n">
        <v>28</v>
      </c>
      <c r="S1906" s="2" t="n">
        <v>8</v>
      </c>
      <c r="T1906" s="2" t="s">
        <v>96</v>
      </c>
      <c r="U1906" s="4" t="n">
        <f aca="false">(M1906+N1906+O1906+P1906)/L1906</f>
        <v>0.0479639510131866</v>
      </c>
      <c r="V1906" s="2" t="str">
        <f aca="false">IF(S1906&lt;=5,"Late night (0-5)",IF(S1906&lt;=11,"Morning (6-11)",IF(S1906&lt;=17,"Afternoon (12-17)","Evening (18-23)")))</f>
        <v>Morning (6-11)</v>
      </c>
    </row>
    <row r="1907" customFormat="false" ht="15" hidden="false" customHeight="false" outlineLevel="0" collapsed="false">
      <c r="A1907" s="2" t="s">
        <v>3061</v>
      </c>
      <c r="B1907" s="2" t="s">
        <v>141</v>
      </c>
      <c r="C1907" s="2" t="s">
        <v>48</v>
      </c>
      <c r="D1907" s="3" t="n">
        <v>46005</v>
      </c>
      <c r="E1907" s="2" t="s">
        <v>795</v>
      </c>
      <c r="F1907" s="2" t="s">
        <v>38</v>
      </c>
      <c r="G1907" s="2" t="n">
        <v>16119</v>
      </c>
      <c r="H1907" s="2" t="n">
        <v>18</v>
      </c>
      <c r="I1907" s="2" t="n">
        <v>250</v>
      </c>
      <c r="J1907" s="2" t="n">
        <v>0</v>
      </c>
      <c r="K1907" s="2" t="n">
        <v>12995</v>
      </c>
      <c r="L1907" s="2" t="n">
        <v>10621</v>
      </c>
      <c r="M1907" s="2" t="n">
        <v>639</v>
      </c>
      <c r="N1907" s="2" t="n">
        <v>37</v>
      </c>
      <c r="O1907" s="2" t="n">
        <v>109</v>
      </c>
      <c r="P1907" s="2" t="n">
        <v>161</v>
      </c>
      <c r="Q1907" s="2" t="n">
        <v>66</v>
      </c>
      <c r="R1907" s="2" t="n">
        <v>10</v>
      </c>
      <c r="S1907" s="2" t="n">
        <v>9</v>
      </c>
      <c r="T1907" s="2" t="s">
        <v>27</v>
      </c>
      <c r="U1907" s="4" t="n">
        <f aca="false">(M1907+N1907+O1907+P1907)/L1907</f>
        <v>0.0890688259109312</v>
      </c>
      <c r="V1907" s="2" t="str">
        <f aca="false">IF(S1907&lt;=5,"Late night (0-5)",IF(S1907&lt;=11,"Morning (6-11)",IF(S1907&lt;=17,"Afternoon (12-17)","Evening (18-23)")))</f>
        <v>Morning (6-11)</v>
      </c>
    </row>
    <row r="1908" customFormat="false" ht="15" hidden="false" customHeight="false" outlineLevel="0" collapsed="false">
      <c r="A1908" s="2" t="s">
        <v>3062</v>
      </c>
      <c r="B1908" s="2" t="s">
        <v>135</v>
      </c>
      <c r="C1908" s="2" t="s">
        <v>36</v>
      </c>
      <c r="D1908" s="3" t="n">
        <v>45975</v>
      </c>
      <c r="E1908" s="2" t="s">
        <v>1802</v>
      </c>
      <c r="F1908" s="2" t="s">
        <v>38</v>
      </c>
      <c r="G1908" s="2" t="n">
        <v>45812</v>
      </c>
      <c r="H1908" s="2" t="n">
        <v>18</v>
      </c>
      <c r="I1908" s="2" t="n">
        <v>147</v>
      </c>
      <c r="J1908" s="2" t="n">
        <v>0</v>
      </c>
      <c r="K1908" s="2" t="n">
        <v>16854</v>
      </c>
      <c r="L1908" s="2" t="n">
        <v>13736</v>
      </c>
      <c r="M1908" s="2" t="n">
        <v>892</v>
      </c>
      <c r="N1908" s="2" t="n">
        <v>36</v>
      </c>
      <c r="O1908" s="2" t="n">
        <v>78</v>
      </c>
      <c r="P1908" s="2" t="n">
        <v>230</v>
      </c>
      <c r="Q1908" s="2" t="n">
        <v>213</v>
      </c>
      <c r="R1908" s="2" t="n">
        <v>38</v>
      </c>
      <c r="S1908" s="2" t="n">
        <v>0</v>
      </c>
      <c r="T1908" s="2" t="s">
        <v>96</v>
      </c>
      <c r="U1908" s="4" t="n">
        <f aca="false">(M1908+N1908+O1908+P1908)/L1908</f>
        <v>0.0899825276645312</v>
      </c>
      <c r="V1908" s="2" t="str">
        <f aca="false">IF(S1908&lt;=5,"Late night (0-5)",IF(S1908&lt;=11,"Morning (6-11)",IF(S1908&lt;=17,"Afternoon (12-17)","Evening (18-23)")))</f>
        <v>Late night (0-5)</v>
      </c>
    </row>
    <row r="1909" customFormat="false" ht="15" hidden="false" customHeight="false" outlineLevel="0" collapsed="false">
      <c r="A1909" s="2" t="s">
        <v>3063</v>
      </c>
      <c r="B1909" s="2" t="s">
        <v>324</v>
      </c>
      <c r="C1909" s="2" t="s">
        <v>24</v>
      </c>
      <c r="D1909" s="3" t="n">
        <v>45991</v>
      </c>
      <c r="E1909" s="2" t="s">
        <v>146</v>
      </c>
      <c r="F1909" s="2" t="s">
        <v>32</v>
      </c>
      <c r="G1909" s="2" t="n">
        <v>3823</v>
      </c>
      <c r="H1909" s="2" t="n">
        <v>17</v>
      </c>
      <c r="I1909" s="2" t="n">
        <v>162</v>
      </c>
      <c r="J1909" s="2" t="n">
        <v>0</v>
      </c>
      <c r="K1909" s="2" t="n">
        <v>6476</v>
      </c>
      <c r="L1909" s="2" t="n">
        <v>4077</v>
      </c>
      <c r="M1909" s="2" t="n">
        <v>391</v>
      </c>
      <c r="N1909" s="2" t="n">
        <v>26</v>
      </c>
      <c r="O1909" s="2" t="n">
        <v>115</v>
      </c>
      <c r="P1909" s="2" t="n">
        <v>81</v>
      </c>
      <c r="Q1909" s="2" t="n">
        <v>53</v>
      </c>
      <c r="R1909" s="2" t="n">
        <v>9</v>
      </c>
      <c r="S1909" s="2" t="n">
        <v>12</v>
      </c>
      <c r="T1909" s="2" t="s">
        <v>27</v>
      </c>
      <c r="U1909" s="4" t="n">
        <f aca="false">(M1909+N1909+O1909+P1909)/L1909</f>
        <v>0.150355653666912</v>
      </c>
      <c r="V1909" s="2" t="str">
        <f aca="false">IF(S1909&lt;=5,"Late night (0-5)",IF(S1909&lt;=11,"Morning (6-11)",IF(S1909&lt;=17,"Afternoon (12-17)","Evening (18-23)")))</f>
        <v>Afternoon (12-17)</v>
      </c>
    </row>
    <row r="1910" customFormat="false" ht="15" hidden="false" customHeight="false" outlineLevel="0" collapsed="false">
      <c r="A1910" s="2" t="s">
        <v>3064</v>
      </c>
      <c r="B1910" s="2" t="s">
        <v>68</v>
      </c>
      <c r="C1910" s="2" t="s">
        <v>54</v>
      </c>
      <c r="D1910" s="3" t="n">
        <v>45871</v>
      </c>
      <c r="E1910" s="2" t="s">
        <v>3065</v>
      </c>
      <c r="F1910" s="2" t="s">
        <v>26</v>
      </c>
      <c r="G1910" s="2" t="n">
        <v>35922</v>
      </c>
      <c r="H1910" s="2" t="n">
        <v>8</v>
      </c>
      <c r="I1910" s="2" t="n">
        <v>301</v>
      </c>
      <c r="J1910" s="2" t="n">
        <v>1</v>
      </c>
      <c r="K1910" s="2" t="n">
        <v>15492</v>
      </c>
      <c r="L1910" s="2" t="n">
        <v>13026</v>
      </c>
      <c r="M1910" s="2" t="n">
        <v>982</v>
      </c>
      <c r="N1910" s="2" t="n">
        <v>38</v>
      </c>
      <c r="O1910" s="2" t="n">
        <v>119</v>
      </c>
      <c r="P1910" s="2" t="n">
        <v>368</v>
      </c>
      <c r="Q1910" s="2" t="n">
        <v>369</v>
      </c>
      <c r="R1910" s="2" t="n">
        <v>40</v>
      </c>
      <c r="S1910" s="2" t="n">
        <v>5</v>
      </c>
      <c r="T1910" s="2" t="s">
        <v>62</v>
      </c>
      <c r="U1910" s="4" t="n">
        <f aca="false">(M1910+N1910+O1910+P1910)/L1910</f>
        <v>0.115691693536005</v>
      </c>
      <c r="V1910" s="2" t="str">
        <f aca="false">IF(S1910&lt;=5,"Late night (0-5)",IF(S1910&lt;=11,"Morning (6-11)",IF(S1910&lt;=17,"Afternoon (12-17)","Evening (18-23)")))</f>
        <v>Late night (0-5)</v>
      </c>
    </row>
    <row r="1911" customFormat="false" ht="15" hidden="false" customHeight="false" outlineLevel="0" collapsed="false">
      <c r="A1911" s="2" t="s">
        <v>3066</v>
      </c>
      <c r="B1911" s="2" t="s">
        <v>71</v>
      </c>
      <c r="C1911" s="2" t="s">
        <v>48</v>
      </c>
      <c r="D1911" s="3" t="n">
        <v>45878</v>
      </c>
      <c r="E1911" s="2" t="s">
        <v>1631</v>
      </c>
      <c r="F1911" s="2" t="s">
        <v>32</v>
      </c>
      <c r="G1911" s="2" t="n">
        <v>7316</v>
      </c>
      <c r="H1911" s="2" t="n">
        <v>12</v>
      </c>
      <c r="I1911" s="2" t="n">
        <v>133</v>
      </c>
      <c r="J1911" s="2" t="n">
        <v>0</v>
      </c>
      <c r="K1911" s="2" t="n">
        <v>7936</v>
      </c>
      <c r="L1911" s="2" t="n">
        <v>5645</v>
      </c>
      <c r="M1911" s="2" t="n">
        <v>605</v>
      </c>
      <c r="N1911" s="2" t="n">
        <v>20</v>
      </c>
      <c r="O1911" s="2" t="n">
        <v>130</v>
      </c>
      <c r="P1911" s="2" t="n">
        <v>172</v>
      </c>
      <c r="Q1911" s="2" t="n">
        <v>137</v>
      </c>
      <c r="R1911" s="2" t="n">
        <v>27</v>
      </c>
      <c r="S1911" s="2" t="n">
        <v>7</v>
      </c>
      <c r="T1911" s="2" t="s">
        <v>62</v>
      </c>
      <c r="U1911" s="4" t="n">
        <f aca="false">(M1911+N1911+O1911+P1911)/L1911</f>
        <v>0.164216120460585</v>
      </c>
      <c r="V1911" s="2" t="str">
        <f aca="false">IF(S1911&lt;=5,"Late night (0-5)",IF(S1911&lt;=11,"Morning (6-11)",IF(S1911&lt;=17,"Afternoon (12-17)","Evening (18-23)")))</f>
        <v>Morning (6-11)</v>
      </c>
    </row>
    <row r="1912" customFormat="false" ht="15" hidden="false" customHeight="false" outlineLevel="0" collapsed="false">
      <c r="A1912" s="2" t="s">
        <v>3067</v>
      </c>
      <c r="B1912" s="2" t="s">
        <v>220</v>
      </c>
      <c r="C1912" s="2" t="s">
        <v>48</v>
      </c>
      <c r="D1912" s="3" t="n">
        <v>45821</v>
      </c>
      <c r="E1912" s="2" t="s">
        <v>2165</v>
      </c>
      <c r="F1912" s="2" t="s">
        <v>32</v>
      </c>
      <c r="G1912" s="2" t="n">
        <v>18917</v>
      </c>
      <c r="H1912" s="2" t="n">
        <v>15</v>
      </c>
      <c r="I1912" s="2" t="n">
        <v>190</v>
      </c>
      <c r="J1912" s="2" t="n">
        <v>0</v>
      </c>
      <c r="K1912" s="2" t="n">
        <v>20491</v>
      </c>
      <c r="L1912" s="2" t="n">
        <v>16760</v>
      </c>
      <c r="M1912" s="2" t="n">
        <v>1034</v>
      </c>
      <c r="N1912" s="2" t="n">
        <v>50</v>
      </c>
      <c r="O1912" s="2" t="n">
        <v>85</v>
      </c>
      <c r="P1912" s="2" t="n">
        <v>122</v>
      </c>
      <c r="Q1912" s="2" t="n">
        <v>212</v>
      </c>
      <c r="R1912" s="2" t="n">
        <v>17</v>
      </c>
      <c r="S1912" s="2" t="n">
        <v>3</v>
      </c>
      <c r="T1912" s="2" t="s">
        <v>96</v>
      </c>
      <c r="U1912" s="4" t="n">
        <f aca="false">(M1912+N1912+O1912+P1912)/L1912</f>
        <v>0.0770286396181384</v>
      </c>
      <c r="V1912" s="2" t="str">
        <f aca="false">IF(S1912&lt;=5,"Late night (0-5)",IF(S1912&lt;=11,"Morning (6-11)",IF(S1912&lt;=17,"Afternoon (12-17)","Evening (18-23)")))</f>
        <v>Late night (0-5)</v>
      </c>
    </row>
    <row r="1913" customFormat="false" ht="15" hidden="false" customHeight="false" outlineLevel="0" collapsed="false">
      <c r="A1913" s="2" t="s">
        <v>3068</v>
      </c>
      <c r="B1913" s="2" t="s">
        <v>90</v>
      </c>
      <c r="C1913" s="2" t="s">
        <v>91</v>
      </c>
      <c r="D1913" s="3" t="n">
        <v>45970</v>
      </c>
      <c r="E1913" s="2" t="s">
        <v>3069</v>
      </c>
      <c r="F1913" s="2" t="s">
        <v>32</v>
      </c>
      <c r="G1913" s="2" t="n">
        <v>54788</v>
      </c>
      <c r="H1913" s="2" t="n">
        <v>9</v>
      </c>
      <c r="I1913" s="2" t="n">
        <v>10</v>
      </c>
      <c r="J1913" s="2" t="n">
        <v>0</v>
      </c>
      <c r="K1913" s="2" t="n">
        <v>232602</v>
      </c>
      <c r="L1913" s="2" t="n">
        <v>209099</v>
      </c>
      <c r="M1913" s="2" t="n">
        <v>20465</v>
      </c>
      <c r="N1913" s="2" t="n">
        <v>1332</v>
      </c>
      <c r="O1913" s="2" t="n">
        <v>5861</v>
      </c>
      <c r="P1913" s="2" t="n">
        <v>2218</v>
      </c>
      <c r="Q1913" s="2" t="n">
        <v>2730</v>
      </c>
      <c r="R1913" s="2" t="n">
        <v>587</v>
      </c>
      <c r="S1913" s="2" t="n">
        <v>7</v>
      </c>
      <c r="T1913" s="2" t="s">
        <v>27</v>
      </c>
      <c r="U1913" s="4" t="n">
        <f aca="false">(M1913+N1913+O1913+P1913)/L1913</f>
        <v>0.142879688568573</v>
      </c>
      <c r="V1913" s="2" t="str">
        <f aca="false">IF(S1913&lt;=5,"Late night (0-5)",IF(S1913&lt;=11,"Morning (6-11)",IF(S1913&lt;=17,"Afternoon (12-17)","Evening (18-23)")))</f>
        <v>Morning (6-11)</v>
      </c>
    </row>
    <row r="1914" customFormat="false" ht="15" hidden="false" customHeight="false" outlineLevel="0" collapsed="false">
      <c r="A1914" s="2" t="s">
        <v>3070</v>
      </c>
      <c r="B1914" s="2" t="s">
        <v>264</v>
      </c>
      <c r="C1914" s="2" t="s">
        <v>36</v>
      </c>
      <c r="D1914" s="3" t="n">
        <v>45862</v>
      </c>
      <c r="E1914" s="2" t="s">
        <v>3071</v>
      </c>
      <c r="F1914" s="2" t="s">
        <v>26</v>
      </c>
      <c r="G1914" s="2" t="n">
        <v>22362</v>
      </c>
      <c r="H1914" s="2" t="n">
        <v>7</v>
      </c>
      <c r="I1914" s="2" t="n">
        <v>98</v>
      </c>
      <c r="J1914" s="2" t="n">
        <v>0</v>
      </c>
      <c r="K1914" s="2" t="n">
        <v>14897</v>
      </c>
      <c r="L1914" s="2" t="n">
        <v>11866</v>
      </c>
      <c r="M1914" s="2" t="n">
        <v>985</v>
      </c>
      <c r="N1914" s="2" t="n">
        <v>69</v>
      </c>
      <c r="O1914" s="2" t="n">
        <v>173</v>
      </c>
      <c r="P1914" s="2" t="n">
        <v>324</v>
      </c>
      <c r="Q1914" s="2" t="n">
        <v>138</v>
      </c>
      <c r="R1914" s="2" t="n">
        <v>37</v>
      </c>
      <c r="S1914" s="2" t="n">
        <v>2</v>
      </c>
      <c r="T1914" s="2" t="s">
        <v>79</v>
      </c>
      <c r="U1914" s="4" t="n">
        <f aca="false">(M1914+N1914+O1914+P1914)/L1914</f>
        <v>0.130709590426428</v>
      </c>
      <c r="V1914" s="2" t="str">
        <f aca="false">IF(S1914&lt;=5,"Late night (0-5)",IF(S1914&lt;=11,"Morning (6-11)",IF(S1914&lt;=17,"Afternoon (12-17)","Evening (18-23)")))</f>
        <v>Late night (0-5)</v>
      </c>
    </row>
    <row r="1915" customFormat="false" ht="15" hidden="false" customHeight="false" outlineLevel="0" collapsed="false">
      <c r="A1915" s="2" t="s">
        <v>3072</v>
      </c>
      <c r="B1915" s="2" t="s">
        <v>87</v>
      </c>
      <c r="C1915" s="2" t="s">
        <v>36</v>
      </c>
      <c r="D1915" s="3" t="n">
        <v>46014</v>
      </c>
      <c r="E1915" s="2" t="s">
        <v>2643</v>
      </c>
      <c r="F1915" s="2" t="s">
        <v>38</v>
      </c>
      <c r="G1915" s="2" t="n">
        <v>25592</v>
      </c>
      <c r="H1915" s="2" t="n">
        <v>0</v>
      </c>
      <c r="I1915" s="2" t="n">
        <v>87</v>
      </c>
      <c r="J1915" s="2" t="n">
        <v>0</v>
      </c>
      <c r="K1915" s="2" t="n">
        <v>9179</v>
      </c>
      <c r="L1915" s="2" t="n">
        <v>6167</v>
      </c>
      <c r="M1915" s="2" t="n">
        <v>387</v>
      </c>
      <c r="N1915" s="2" t="n">
        <v>26</v>
      </c>
      <c r="O1915" s="2" t="n">
        <v>23</v>
      </c>
      <c r="P1915" s="2" t="n">
        <v>58</v>
      </c>
      <c r="Q1915" s="2" t="n">
        <v>129</v>
      </c>
      <c r="R1915" s="2" t="n">
        <v>38</v>
      </c>
      <c r="S1915" s="2" t="n">
        <v>2</v>
      </c>
      <c r="T1915" s="2" t="s">
        <v>51</v>
      </c>
      <c r="U1915" s="4" t="n">
        <f aca="false">(M1915+N1915+O1915+P1915)/L1915</f>
        <v>0.0801037781741528</v>
      </c>
      <c r="V1915" s="2" t="str">
        <f aca="false">IF(S1915&lt;=5,"Late night (0-5)",IF(S1915&lt;=11,"Morning (6-11)",IF(S1915&lt;=17,"Afternoon (12-17)","Evening (18-23)")))</f>
        <v>Late night (0-5)</v>
      </c>
    </row>
    <row r="1916" customFormat="false" ht="15" hidden="false" customHeight="false" outlineLevel="0" collapsed="false">
      <c r="A1916" s="2" t="s">
        <v>3073</v>
      </c>
      <c r="B1916" s="2" t="s">
        <v>126</v>
      </c>
      <c r="C1916" s="2" t="s">
        <v>36</v>
      </c>
      <c r="D1916" s="3" t="n">
        <v>45895</v>
      </c>
      <c r="E1916" s="2" t="s">
        <v>305</v>
      </c>
      <c r="F1916" s="2" t="s">
        <v>32</v>
      </c>
      <c r="G1916" s="2" t="n">
        <v>28784</v>
      </c>
      <c r="H1916" s="2" t="n">
        <v>10</v>
      </c>
      <c r="I1916" s="2" t="n">
        <v>315</v>
      </c>
      <c r="J1916" s="2" t="n">
        <v>0</v>
      </c>
      <c r="K1916" s="2" t="n">
        <v>41649</v>
      </c>
      <c r="L1916" s="2" t="n">
        <v>27803</v>
      </c>
      <c r="M1916" s="2" t="n">
        <v>2934</v>
      </c>
      <c r="N1916" s="2" t="n">
        <v>141</v>
      </c>
      <c r="O1916" s="2" t="n">
        <v>775</v>
      </c>
      <c r="P1916" s="2" t="n">
        <v>620</v>
      </c>
      <c r="Q1916" s="2" t="n">
        <v>197</v>
      </c>
      <c r="R1916" s="2" t="n">
        <v>49</v>
      </c>
      <c r="S1916" s="2" t="n">
        <v>14</v>
      </c>
      <c r="T1916" s="2" t="s">
        <v>51</v>
      </c>
      <c r="U1916" s="4" t="n">
        <f aca="false">(M1916+N1916+O1916+P1916)/L1916</f>
        <v>0.160774017192389</v>
      </c>
      <c r="V1916" s="2" t="str">
        <f aca="false">IF(S1916&lt;=5,"Late night (0-5)",IF(S1916&lt;=11,"Morning (6-11)",IF(S1916&lt;=17,"Afternoon (12-17)","Evening (18-23)")))</f>
        <v>Afternoon (12-17)</v>
      </c>
    </row>
    <row r="1917" customFormat="false" ht="15" hidden="false" customHeight="false" outlineLevel="0" collapsed="false">
      <c r="A1917" s="2" t="s">
        <v>3074</v>
      </c>
      <c r="B1917" s="2" t="s">
        <v>106</v>
      </c>
      <c r="C1917" s="2" t="s">
        <v>91</v>
      </c>
      <c r="D1917" s="3" t="n">
        <v>46016</v>
      </c>
      <c r="E1917" s="2" t="s">
        <v>189</v>
      </c>
      <c r="F1917" s="2" t="s">
        <v>38</v>
      </c>
      <c r="G1917" s="2" t="n">
        <v>59477</v>
      </c>
      <c r="H1917" s="2" t="n">
        <v>17</v>
      </c>
      <c r="I1917" s="2" t="n">
        <v>37</v>
      </c>
      <c r="J1917" s="2" t="n">
        <v>0</v>
      </c>
      <c r="K1917" s="2" t="n">
        <v>78975</v>
      </c>
      <c r="L1917" s="2" t="n">
        <v>43956</v>
      </c>
      <c r="M1917" s="2" t="n">
        <v>3594</v>
      </c>
      <c r="N1917" s="2" t="n">
        <v>185</v>
      </c>
      <c r="O1917" s="2" t="n">
        <v>601</v>
      </c>
      <c r="P1917" s="2" t="n">
        <v>327</v>
      </c>
      <c r="Q1917" s="2" t="n">
        <v>331</v>
      </c>
      <c r="R1917" s="2" t="n">
        <v>68</v>
      </c>
      <c r="S1917" s="2" t="n">
        <v>23</v>
      </c>
      <c r="T1917" s="2" t="s">
        <v>79</v>
      </c>
      <c r="U1917" s="4" t="n">
        <f aca="false">(M1917+N1917+O1917+P1917)/L1917</f>
        <v>0.107084357084357</v>
      </c>
      <c r="V1917" s="2" t="str">
        <f aca="false">IF(S1917&lt;=5,"Late night (0-5)",IF(S1917&lt;=11,"Morning (6-11)",IF(S1917&lt;=17,"Afternoon (12-17)","Evening (18-23)")))</f>
        <v>Evening (18-23)</v>
      </c>
    </row>
    <row r="1918" customFormat="false" ht="15" hidden="false" customHeight="false" outlineLevel="0" collapsed="false">
      <c r="A1918" s="2" t="s">
        <v>3075</v>
      </c>
      <c r="B1918" s="2" t="s">
        <v>40</v>
      </c>
      <c r="C1918" s="2" t="s">
        <v>41</v>
      </c>
      <c r="D1918" s="3" t="n">
        <v>46018</v>
      </c>
      <c r="E1918" s="2" t="s">
        <v>2538</v>
      </c>
      <c r="F1918" s="2" t="s">
        <v>26</v>
      </c>
      <c r="G1918" s="2" t="n">
        <v>23051</v>
      </c>
      <c r="H1918" s="2" t="n">
        <v>9</v>
      </c>
      <c r="I1918" s="2" t="n">
        <v>271</v>
      </c>
      <c r="J1918" s="2" t="n">
        <v>0</v>
      </c>
      <c r="K1918" s="2" t="n">
        <v>48831</v>
      </c>
      <c r="L1918" s="2" t="n">
        <v>39860</v>
      </c>
      <c r="M1918" s="2" t="n">
        <v>1549</v>
      </c>
      <c r="N1918" s="2" t="n">
        <v>44</v>
      </c>
      <c r="O1918" s="2" t="n">
        <v>309</v>
      </c>
      <c r="P1918" s="2" t="n">
        <v>195</v>
      </c>
      <c r="Q1918" s="2" t="n">
        <v>388</v>
      </c>
      <c r="R1918" s="2" t="n">
        <v>86</v>
      </c>
      <c r="S1918" s="2" t="n">
        <v>15</v>
      </c>
      <c r="T1918" s="2" t="s">
        <v>62</v>
      </c>
      <c r="U1918" s="4" t="n">
        <f aca="false">(M1918+N1918+O1918+P1918)/L1918</f>
        <v>0.0526091319618665</v>
      </c>
      <c r="V1918" s="2" t="str">
        <f aca="false">IF(S1918&lt;=5,"Late night (0-5)",IF(S1918&lt;=11,"Morning (6-11)",IF(S1918&lt;=17,"Afternoon (12-17)","Evening (18-23)")))</f>
        <v>Afternoon (12-17)</v>
      </c>
    </row>
    <row r="1919" customFormat="false" ht="15" hidden="false" customHeight="false" outlineLevel="0" collapsed="false">
      <c r="A1919" s="2" t="s">
        <v>3076</v>
      </c>
      <c r="B1919" s="2" t="s">
        <v>188</v>
      </c>
      <c r="C1919" s="2" t="s">
        <v>30</v>
      </c>
      <c r="D1919" s="3" t="n">
        <v>45872</v>
      </c>
      <c r="E1919" s="2" t="s">
        <v>3077</v>
      </c>
      <c r="F1919" s="2" t="s">
        <v>32</v>
      </c>
      <c r="G1919" s="2" t="n">
        <v>38900</v>
      </c>
      <c r="H1919" s="2" t="n">
        <v>16</v>
      </c>
      <c r="I1919" s="2" t="n">
        <v>105</v>
      </c>
      <c r="J1919" s="2" t="n">
        <v>0</v>
      </c>
      <c r="K1919" s="2" t="n">
        <v>95428</v>
      </c>
      <c r="L1919" s="2" t="n">
        <v>55528</v>
      </c>
      <c r="M1919" s="2" t="n">
        <v>4908</v>
      </c>
      <c r="N1919" s="2" t="n">
        <v>330</v>
      </c>
      <c r="O1919" s="2" t="n">
        <v>310</v>
      </c>
      <c r="P1919" s="2" t="n">
        <v>1114</v>
      </c>
      <c r="Q1919" s="2" t="n">
        <v>1394</v>
      </c>
      <c r="R1919" s="2" t="n">
        <v>403</v>
      </c>
      <c r="S1919" s="2" t="n">
        <v>7</v>
      </c>
      <c r="T1919" s="2" t="s">
        <v>27</v>
      </c>
      <c r="U1919" s="4" t="n">
        <f aca="false">(M1919+N1919+O1919+P1919)/L1919</f>
        <v>0.119975507851895</v>
      </c>
      <c r="V1919" s="2" t="str">
        <f aca="false">IF(S1919&lt;=5,"Late night (0-5)",IF(S1919&lt;=11,"Morning (6-11)",IF(S1919&lt;=17,"Afternoon (12-17)","Evening (18-23)")))</f>
        <v>Morning (6-11)</v>
      </c>
    </row>
    <row r="1920" customFormat="false" ht="15" hidden="false" customHeight="false" outlineLevel="0" collapsed="false">
      <c r="A1920" s="2" t="s">
        <v>3078</v>
      </c>
      <c r="B1920" s="2" t="s">
        <v>40</v>
      </c>
      <c r="C1920" s="2" t="s">
        <v>41</v>
      </c>
      <c r="D1920" s="3" t="n">
        <v>45877</v>
      </c>
      <c r="E1920" s="2" t="s">
        <v>667</v>
      </c>
      <c r="F1920" s="2" t="s">
        <v>50</v>
      </c>
      <c r="G1920" s="2" t="n">
        <v>23051</v>
      </c>
      <c r="H1920" s="2" t="n">
        <v>5</v>
      </c>
      <c r="I1920" s="2" t="n">
        <v>208</v>
      </c>
      <c r="J1920" s="2" t="n">
        <v>0</v>
      </c>
      <c r="K1920" s="2" t="n">
        <v>14182</v>
      </c>
      <c r="L1920" s="2" t="n">
        <v>10016</v>
      </c>
      <c r="M1920" s="2" t="n">
        <v>505</v>
      </c>
      <c r="N1920" s="2" t="n">
        <v>36</v>
      </c>
      <c r="O1920" s="2" t="n">
        <v>59</v>
      </c>
      <c r="P1920" s="2" t="n">
        <v>61</v>
      </c>
      <c r="Q1920" s="2" t="n">
        <v>181</v>
      </c>
      <c r="R1920" s="2" t="n">
        <v>14</v>
      </c>
      <c r="S1920" s="2" t="n">
        <v>15</v>
      </c>
      <c r="T1920" s="2" t="s">
        <v>96</v>
      </c>
      <c r="U1920" s="4" t="n">
        <f aca="false">(M1920+N1920+O1920+P1920)/L1920</f>
        <v>0.0659944089456869</v>
      </c>
      <c r="V1920" s="2" t="str">
        <f aca="false">IF(S1920&lt;=5,"Late night (0-5)",IF(S1920&lt;=11,"Morning (6-11)",IF(S1920&lt;=17,"Afternoon (12-17)","Evening (18-23)")))</f>
        <v>Afternoon (12-17)</v>
      </c>
    </row>
    <row r="1921" customFormat="false" ht="15" hidden="false" customHeight="false" outlineLevel="0" collapsed="false">
      <c r="A1921" s="2" t="s">
        <v>3079</v>
      </c>
      <c r="B1921" s="2" t="s">
        <v>371</v>
      </c>
      <c r="C1921" s="2" t="s">
        <v>48</v>
      </c>
      <c r="D1921" s="3" t="n">
        <v>45758</v>
      </c>
      <c r="E1921" s="2" t="s">
        <v>685</v>
      </c>
      <c r="F1921" s="2" t="s">
        <v>38</v>
      </c>
      <c r="G1921" s="2" t="n">
        <v>42479</v>
      </c>
      <c r="H1921" s="2" t="n">
        <v>5</v>
      </c>
      <c r="I1921" s="2" t="n">
        <v>172</v>
      </c>
      <c r="J1921" s="2" t="n">
        <v>0</v>
      </c>
      <c r="K1921" s="2" t="n">
        <v>6987</v>
      </c>
      <c r="L1921" s="2" t="n">
        <v>4972</v>
      </c>
      <c r="M1921" s="2" t="n">
        <v>246</v>
      </c>
      <c r="N1921" s="2" t="n">
        <v>12</v>
      </c>
      <c r="O1921" s="2" t="n">
        <v>25</v>
      </c>
      <c r="P1921" s="2" t="n">
        <v>49</v>
      </c>
      <c r="Q1921" s="2" t="n">
        <v>136</v>
      </c>
      <c r="R1921" s="2" t="n">
        <v>40</v>
      </c>
      <c r="S1921" s="2" t="n">
        <v>16</v>
      </c>
      <c r="T1921" s="2" t="s">
        <v>96</v>
      </c>
      <c r="U1921" s="4" t="n">
        <f aca="false">(M1921+N1921+O1921+P1921)/L1921</f>
        <v>0.0667739340305712</v>
      </c>
      <c r="V1921" s="2" t="str">
        <f aca="false">IF(S1921&lt;=5,"Late night (0-5)",IF(S1921&lt;=11,"Morning (6-11)",IF(S1921&lt;=17,"Afternoon (12-17)","Evening (18-23)")))</f>
        <v>Afternoon (12-17)</v>
      </c>
    </row>
    <row r="1922" customFormat="false" ht="15" hidden="false" customHeight="false" outlineLevel="0" collapsed="false">
      <c r="A1922" s="2" t="s">
        <v>3080</v>
      </c>
      <c r="B1922" s="2" t="s">
        <v>111</v>
      </c>
      <c r="C1922" s="2" t="s">
        <v>48</v>
      </c>
      <c r="D1922" s="3" t="n">
        <v>45971</v>
      </c>
      <c r="E1922" s="2" t="s">
        <v>2931</v>
      </c>
      <c r="F1922" s="2" t="s">
        <v>38</v>
      </c>
      <c r="G1922" s="2" t="n">
        <v>16824</v>
      </c>
      <c r="H1922" s="2" t="n">
        <v>14</v>
      </c>
      <c r="I1922" s="2" t="n">
        <v>168</v>
      </c>
      <c r="J1922" s="2" t="n">
        <v>0</v>
      </c>
      <c r="K1922" s="2" t="n">
        <v>7488</v>
      </c>
      <c r="L1922" s="2" t="n">
        <v>4694</v>
      </c>
      <c r="M1922" s="2" t="n">
        <v>212</v>
      </c>
      <c r="N1922" s="2" t="n">
        <v>10</v>
      </c>
      <c r="O1922" s="2" t="n">
        <v>30</v>
      </c>
      <c r="P1922" s="2" t="n">
        <v>41</v>
      </c>
      <c r="Q1922" s="2" t="n">
        <v>127</v>
      </c>
      <c r="R1922" s="2" t="n">
        <v>21</v>
      </c>
      <c r="S1922" s="2" t="n">
        <v>5</v>
      </c>
      <c r="T1922" s="2" t="s">
        <v>33</v>
      </c>
      <c r="U1922" s="4" t="n">
        <f aca="false">(M1922+N1922+O1922+P1922)/L1922</f>
        <v>0.0624201107797188</v>
      </c>
      <c r="V1922" s="2" t="str">
        <f aca="false">IF(S1922&lt;=5,"Late night (0-5)",IF(S1922&lt;=11,"Morning (6-11)",IF(S1922&lt;=17,"Afternoon (12-17)","Evening (18-23)")))</f>
        <v>Late night (0-5)</v>
      </c>
    </row>
    <row r="1923" customFormat="false" ht="15" hidden="false" customHeight="false" outlineLevel="0" collapsed="false">
      <c r="A1923" s="2" t="s">
        <v>3081</v>
      </c>
      <c r="B1923" s="2" t="s">
        <v>310</v>
      </c>
      <c r="C1923" s="2" t="s">
        <v>91</v>
      </c>
      <c r="D1923" s="3" t="n">
        <v>45926</v>
      </c>
      <c r="E1923" s="2" t="s">
        <v>287</v>
      </c>
      <c r="F1923" s="2" t="s">
        <v>26</v>
      </c>
      <c r="G1923" s="2" t="n">
        <v>56571</v>
      </c>
      <c r="H1923" s="2" t="n">
        <v>2</v>
      </c>
      <c r="I1923" s="2" t="n">
        <v>238</v>
      </c>
      <c r="J1923" s="2" t="n">
        <v>1</v>
      </c>
      <c r="K1923" s="2" t="n">
        <v>55876</v>
      </c>
      <c r="L1923" s="2" t="n">
        <v>42396</v>
      </c>
      <c r="M1923" s="2" t="n">
        <v>2875</v>
      </c>
      <c r="N1923" s="2" t="n">
        <v>165</v>
      </c>
      <c r="O1923" s="2" t="n">
        <v>496</v>
      </c>
      <c r="P1923" s="2" t="n">
        <v>945</v>
      </c>
      <c r="Q1923" s="2" t="n">
        <v>1102</v>
      </c>
      <c r="R1923" s="2" t="n">
        <v>227</v>
      </c>
      <c r="S1923" s="2" t="n">
        <v>23</v>
      </c>
      <c r="T1923" s="2" t="s">
        <v>96</v>
      </c>
      <c r="U1923" s="4" t="n">
        <f aca="false">(M1923+N1923+O1923+P1923)/L1923</f>
        <v>0.105693933389942</v>
      </c>
      <c r="V1923" s="2" t="str">
        <f aca="false">IF(S1923&lt;=5,"Late night (0-5)",IF(S1923&lt;=11,"Morning (6-11)",IF(S1923&lt;=17,"Afternoon (12-17)","Evening (18-23)")))</f>
        <v>Evening (18-23)</v>
      </c>
    </row>
    <row r="1924" customFormat="false" ht="15" hidden="false" customHeight="false" outlineLevel="0" collapsed="false">
      <c r="A1924" s="2" t="s">
        <v>3082</v>
      </c>
      <c r="B1924" s="2" t="s">
        <v>426</v>
      </c>
      <c r="C1924" s="2" t="s">
        <v>30</v>
      </c>
      <c r="D1924" s="3" t="n">
        <v>45684</v>
      </c>
      <c r="E1924" s="2" t="s">
        <v>1608</v>
      </c>
      <c r="F1924" s="2" t="s">
        <v>32</v>
      </c>
      <c r="G1924" s="2" t="n">
        <v>40649</v>
      </c>
      <c r="H1924" s="2" t="n">
        <v>12</v>
      </c>
      <c r="I1924" s="2" t="n">
        <v>168</v>
      </c>
      <c r="J1924" s="2" t="n">
        <v>1</v>
      </c>
      <c r="K1924" s="2" t="n">
        <v>69891</v>
      </c>
      <c r="L1924" s="2" t="n">
        <v>41923</v>
      </c>
      <c r="M1924" s="2" t="n">
        <v>3681</v>
      </c>
      <c r="N1924" s="2" t="n">
        <v>282</v>
      </c>
      <c r="O1924" s="2" t="n">
        <v>566</v>
      </c>
      <c r="P1924" s="2" t="n">
        <v>835</v>
      </c>
      <c r="Q1924" s="2" t="n">
        <v>906</v>
      </c>
      <c r="R1924" s="2" t="n">
        <v>94</v>
      </c>
      <c r="S1924" s="2" t="n">
        <v>10</v>
      </c>
      <c r="T1924" s="2" t="s">
        <v>33</v>
      </c>
      <c r="U1924" s="4" t="n">
        <f aca="false">(M1924+N1924+O1924+P1924)/L1924</f>
        <v>0.127948858621759</v>
      </c>
      <c r="V1924" s="2" t="str">
        <f aca="false">IF(S1924&lt;=5,"Late night (0-5)",IF(S1924&lt;=11,"Morning (6-11)",IF(S1924&lt;=17,"Afternoon (12-17)","Evening (18-23)")))</f>
        <v>Morning (6-11)</v>
      </c>
    </row>
    <row r="1925" customFormat="false" ht="15" hidden="false" customHeight="false" outlineLevel="0" collapsed="false">
      <c r="A1925" s="2" t="s">
        <v>3083</v>
      </c>
      <c r="B1925" s="2" t="s">
        <v>71</v>
      </c>
      <c r="C1925" s="2" t="s">
        <v>48</v>
      </c>
      <c r="D1925" s="3" t="n">
        <v>45906</v>
      </c>
      <c r="E1925" s="2" t="s">
        <v>2036</v>
      </c>
      <c r="F1925" s="2" t="s">
        <v>32</v>
      </c>
      <c r="G1925" s="2" t="n">
        <v>7316</v>
      </c>
      <c r="H1925" s="2" t="n">
        <v>20</v>
      </c>
      <c r="I1925" s="2" t="n">
        <v>288</v>
      </c>
      <c r="J1925" s="2" t="n">
        <v>1</v>
      </c>
      <c r="K1925" s="2" t="n">
        <v>10499</v>
      </c>
      <c r="L1925" s="2" t="n">
        <v>8479</v>
      </c>
      <c r="M1925" s="2" t="n">
        <v>669</v>
      </c>
      <c r="N1925" s="2" t="n">
        <v>22</v>
      </c>
      <c r="O1925" s="2" t="n">
        <v>98</v>
      </c>
      <c r="P1925" s="2" t="n">
        <v>137</v>
      </c>
      <c r="Q1925" s="2" t="n">
        <v>181</v>
      </c>
      <c r="R1925" s="2" t="n">
        <v>10</v>
      </c>
      <c r="S1925" s="2" t="n">
        <v>21</v>
      </c>
      <c r="T1925" s="2" t="s">
        <v>62</v>
      </c>
      <c r="U1925" s="4" t="n">
        <f aca="false">(M1925+N1925+O1925+P1925)/L1925</f>
        <v>0.109210991862248</v>
      </c>
      <c r="V1925" s="2" t="str">
        <f aca="false">IF(S1925&lt;=5,"Late night (0-5)",IF(S1925&lt;=11,"Morning (6-11)",IF(S1925&lt;=17,"Afternoon (12-17)","Evening (18-23)")))</f>
        <v>Evening (18-23)</v>
      </c>
    </row>
    <row r="1926" customFormat="false" ht="15" hidden="false" customHeight="false" outlineLevel="0" collapsed="false">
      <c r="A1926" s="2" t="s">
        <v>3084</v>
      </c>
      <c r="B1926" s="2" t="s">
        <v>360</v>
      </c>
      <c r="C1926" s="2" t="s">
        <v>48</v>
      </c>
      <c r="D1926" s="3" t="n">
        <v>45951</v>
      </c>
      <c r="E1926" s="2" t="s">
        <v>107</v>
      </c>
      <c r="F1926" s="2" t="s">
        <v>38</v>
      </c>
      <c r="G1926" s="2" t="n">
        <v>19542</v>
      </c>
      <c r="H1926" s="2" t="n">
        <v>20</v>
      </c>
      <c r="I1926" s="2" t="n">
        <v>70</v>
      </c>
      <c r="J1926" s="2" t="n">
        <v>0</v>
      </c>
      <c r="K1926" s="2" t="n">
        <v>8179</v>
      </c>
      <c r="L1926" s="2" t="n">
        <v>5884</v>
      </c>
      <c r="M1926" s="2" t="n">
        <v>495</v>
      </c>
      <c r="N1926" s="2" t="n">
        <v>34</v>
      </c>
      <c r="O1926" s="2" t="n">
        <v>19</v>
      </c>
      <c r="P1926" s="2" t="n">
        <v>100</v>
      </c>
      <c r="Q1926" s="2" t="n">
        <v>143</v>
      </c>
      <c r="R1926" s="2" t="n">
        <v>26</v>
      </c>
      <c r="S1926" s="2" t="n">
        <v>3</v>
      </c>
      <c r="T1926" s="2" t="s">
        <v>51</v>
      </c>
      <c r="U1926" s="4" t="n">
        <f aca="false">(M1926+N1926+O1926+P1926)/L1926</f>
        <v>0.110129163834126</v>
      </c>
      <c r="V1926" s="2" t="str">
        <f aca="false">IF(S1926&lt;=5,"Late night (0-5)",IF(S1926&lt;=11,"Morning (6-11)",IF(S1926&lt;=17,"Afternoon (12-17)","Evening (18-23)")))</f>
        <v>Late night (0-5)</v>
      </c>
    </row>
    <row r="1927" customFormat="false" ht="15" hidden="false" customHeight="false" outlineLevel="0" collapsed="false">
      <c r="A1927" s="2" t="s">
        <v>3085</v>
      </c>
      <c r="B1927" s="2" t="s">
        <v>90</v>
      </c>
      <c r="C1927" s="2" t="s">
        <v>91</v>
      </c>
      <c r="D1927" s="3" t="n">
        <v>45691</v>
      </c>
      <c r="E1927" s="2" t="s">
        <v>3086</v>
      </c>
      <c r="F1927" s="2" t="s">
        <v>32</v>
      </c>
      <c r="G1927" s="2" t="n">
        <v>54788</v>
      </c>
      <c r="H1927" s="2" t="n">
        <v>14</v>
      </c>
      <c r="I1927" s="2" t="n">
        <v>87</v>
      </c>
      <c r="J1927" s="2" t="n">
        <v>0</v>
      </c>
      <c r="K1927" s="2" t="n">
        <v>70748</v>
      </c>
      <c r="L1927" s="2" t="n">
        <v>47815</v>
      </c>
      <c r="M1927" s="2" t="n">
        <v>3800</v>
      </c>
      <c r="N1927" s="2" t="n">
        <v>112</v>
      </c>
      <c r="O1927" s="2" t="n">
        <v>512</v>
      </c>
      <c r="P1927" s="2" t="n">
        <v>780</v>
      </c>
      <c r="Q1927" s="2" t="n">
        <v>271</v>
      </c>
      <c r="R1927" s="2" t="n">
        <v>26</v>
      </c>
      <c r="S1927" s="2" t="n">
        <v>11</v>
      </c>
      <c r="T1927" s="2" t="s">
        <v>33</v>
      </c>
      <c r="U1927" s="4" t="n">
        <f aca="false">(M1927+N1927+O1927+P1927)/L1927</f>
        <v>0.108836139286835</v>
      </c>
      <c r="V1927" s="2" t="str">
        <f aca="false">IF(S1927&lt;=5,"Late night (0-5)",IF(S1927&lt;=11,"Morning (6-11)",IF(S1927&lt;=17,"Afternoon (12-17)","Evening (18-23)")))</f>
        <v>Morning (6-11)</v>
      </c>
    </row>
    <row r="1928" customFormat="false" ht="15" hidden="false" customHeight="false" outlineLevel="0" collapsed="false">
      <c r="A1928" s="2" t="s">
        <v>3087</v>
      </c>
      <c r="B1928" s="2" t="s">
        <v>90</v>
      </c>
      <c r="C1928" s="2" t="s">
        <v>91</v>
      </c>
      <c r="D1928" s="3" t="n">
        <v>45747</v>
      </c>
      <c r="E1928" s="2" t="s">
        <v>3088</v>
      </c>
      <c r="F1928" s="2" t="s">
        <v>50</v>
      </c>
      <c r="G1928" s="2" t="n">
        <v>54788</v>
      </c>
      <c r="H1928" s="2" t="n">
        <v>4</v>
      </c>
      <c r="I1928" s="2" t="n">
        <v>190</v>
      </c>
      <c r="J1928" s="2" t="n">
        <v>1</v>
      </c>
      <c r="K1928" s="2" t="n">
        <v>32030</v>
      </c>
      <c r="L1928" s="2" t="n">
        <v>24787</v>
      </c>
      <c r="M1928" s="2" t="n">
        <v>1527</v>
      </c>
      <c r="N1928" s="2" t="n">
        <v>74</v>
      </c>
      <c r="O1928" s="2" t="n">
        <v>285</v>
      </c>
      <c r="P1928" s="2" t="n">
        <v>368</v>
      </c>
      <c r="Q1928" s="2" t="n">
        <v>696</v>
      </c>
      <c r="R1928" s="2" t="n">
        <v>123</v>
      </c>
      <c r="S1928" s="2" t="n">
        <v>8</v>
      </c>
      <c r="T1928" s="2" t="s">
        <v>33</v>
      </c>
      <c r="U1928" s="4" t="n">
        <f aca="false">(M1928+N1928+O1928+P1928)/L1928</f>
        <v>0.0909347641909065</v>
      </c>
      <c r="V1928" s="2" t="str">
        <f aca="false">IF(S1928&lt;=5,"Late night (0-5)",IF(S1928&lt;=11,"Morning (6-11)",IF(S1928&lt;=17,"Afternoon (12-17)","Evening (18-23)")))</f>
        <v>Morning (6-11)</v>
      </c>
    </row>
    <row r="1929" customFormat="false" ht="15" hidden="false" customHeight="false" outlineLevel="0" collapsed="false">
      <c r="A1929" s="2" t="s">
        <v>3089</v>
      </c>
      <c r="B1929" s="2" t="s">
        <v>77</v>
      </c>
      <c r="C1929" s="2" t="s">
        <v>30</v>
      </c>
      <c r="D1929" s="3" t="n">
        <v>45759</v>
      </c>
      <c r="E1929" s="2" t="s">
        <v>1434</v>
      </c>
      <c r="F1929" s="2" t="s">
        <v>38</v>
      </c>
      <c r="G1929" s="2" t="n">
        <v>17548</v>
      </c>
      <c r="H1929" s="2" t="n">
        <v>12</v>
      </c>
      <c r="I1929" s="2" t="n">
        <v>184</v>
      </c>
      <c r="J1929" s="2" t="n">
        <v>0</v>
      </c>
      <c r="K1929" s="2" t="n">
        <v>45155</v>
      </c>
      <c r="L1929" s="2" t="n">
        <v>25297</v>
      </c>
      <c r="M1929" s="2" t="n">
        <v>2198</v>
      </c>
      <c r="N1929" s="2" t="n">
        <v>160</v>
      </c>
      <c r="O1929" s="2" t="n">
        <v>396</v>
      </c>
      <c r="P1929" s="2" t="n">
        <v>390</v>
      </c>
      <c r="Q1929" s="2" t="n">
        <v>441</v>
      </c>
      <c r="R1929" s="2" t="n">
        <v>112</v>
      </c>
      <c r="S1929" s="2" t="n">
        <v>12</v>
      </c>
      <c r="T1929" s="2" t="s">
        <v>62</v>
      </c>
      <c r="U1929" s="4" t="n">
        <f aca="false">(M1929+N1929+O1929+P1929)/L1929</f>
        <v>0.124283511878879</v>
      </c>
      <c r="V1929" s="2" t="str">
        <f aca="false">IF(S1929&lt;=5,"Late night (0-5)",IF(S1929&lt;=11,"Morning (6-11)",IF(S1929&lt;=17,"Afternoon (12-17)","Evening (18-23)")))</f>
        <v>Afternoon (12-17)</v>
      </c>
    </row>
    <row r="1930" customFormat="false" ht="15" hidden="false" customHeight="false" outlineLevel="0" collapsed="false">
      <c r="A1930" s="2" t="s">
        <v>3090</v>
      </c>
      <c r="B1930" s="2" t="s">
        <v>87</v>
      </c>
      <c r="C1930" s="2" t="s">
        <v>36</v>
      </c>
      <c r="D1930" s="3" t="n">
        <v>45730</v>
      </c>
      <c r="E1930" s="2" t="s">
        <v>1508</v>
      </c>
      <c r="F1930" s="2" t="s">
        <v>26</v>
      </c>
      <c r="G1930" s="2" t="n">
        <v>25592</v>
      </c>
      <c r="H1930" s="2" t="n">
        <v>4</v>
      </c>
      <c r="I1930" s="2" t="n">
        <v>17</v>
      </c>
      <c r="J1930" s="2" t="n">
        <v>1</v>
      </c>
      <c r="K1930" s="2" t="n">
        <v>19190</v>
      </c>
      <c r="L1930" s="2" t="n">
        <v>11344</v>
      </c>
      <c r="M1930" s="2" t="n">
        <v>1016</v>
      </c>
      <c r="N1930" s="2" t="n">
        <v>46</v>
      </c>
      <c r="O1930" s="2" t="n">
        <v>108</v>
      </c>
      <c r="P1930" s="2" t="n">
        <v>343</v>
      </c>
      <c r="Q1930" s="2" t="n">
        <v>147</v>
      </c>
      <c r="R1930" s="2" t="n">
        <v>27</v>
      </c>
      <c r="S1930" s="2" t="n">
        <v>4</v>
      </c>
      <c r="T1930" s="2" t="s">
        <v>96</v>
      </c>
      <c r="U1930" s="4" t="n">
        <f aca="false">(M1930+N1930+O1930+P1930)/L1930</f>
        <v>0.133374471086037</v>
      </c>
      <c r="V1930" s="2" t="str">
        <f aca="false">IF(S1930&lt;=5,"Late night (0-5)",IF(S1930&lt;=11,"Morning (6-11)",IF(S1930&lt;=17,"Afternoon (12-17)","Evening (18-23)")))</f>
        <v>Late night (0-5)</v>
      </c>
    </row>
    <row r="1931" customFormat="false" ht="15" hidden="false" customHeight="false" outlineLevel="0" collapsed="false">
      <c r="A1931" s="2" t="s">
        <v>3091</v>
      </c>
      <c r="B1931" s="2" t="s">
        <v>154</v>
      </c>
      <c r="C1931" s="2" t="s">
        <v>41</v>
      </c>
      <c r="D1931" s="3" t="n">
        <v>45856</v>
      </c>
      <c r="E1931" s="2" t="s">
        <v>1758</v>
      </c>
      <c r="F1931" s="2" t="s">
        <v>32</v>
      </c>
      <c r="G1931" s="2" t="n">
        <v>33644</v>
      </c>
      <c r="H1931" s="2" t="n">
        <v>13</v>
      </c>
      <c r="I1931" s="2" t="n">
        <v>10</v>
      </c>
      <c r="J1931" s="2" t="n">
        <v>0</v>
      </c>
      <c r="K1931" s="2" t="n">
        <v>40941</v>
      </c>
      <c r="L1931" s="2" t="n">
        <v>30260</v>
      </c>
      <c r="M1931" s="2" t="n">
        <v>2187</v>
      </c>
      <c r="N1931" s="2" t="n">
        <v>95</v>
      </c>
      <c r="O1931" s="2" t="n">
        <v>525</v>
      </c>
      <c r="P1931" s="2" t="n">
        <v>544</v>
      </c>
      <c r="Q1931" s="2" t="n">
        <v>372</v>
      </c>
      <c r="R1931" s="2" t="n">
        <v>42</v>
      </c>
      <c r="S1931" s="2" t="n">
        <v>17</v>
      </c>
      <c r="T1931" s="2" t="s">
        <v>96</v>
      </c>
      <c r="U1931" s="4" t="n">
        <f aca="false">(M1931+N1931+O1931+P1931)/L1931</f>
        <v>0.110740251156642</v>
      </c>
      <c r="V1931" s="2" t="str">
        <f aca="false">IF(S1931&lt;=5,"Late night (0-5)",IF(S1931&lt;=11,"Morning (6-11)",IF(S1931&lt;=17,"Afternoon (12-17)","Evening (18-23)")))</f>
        <v>Afternoon (12-17)</v>
      </c>
    </row>
    <row r="1932" customFormat="false" ht="15" hidden="false" customHeight="false" outlineLevel="0" collapsed="false">
      <c r="A1932" s="2" t="s">
        <v>3092</v>
      </c>
      <c r="B1932" s="2" t="s">
        <v>206</v>
      </c>
      <c r="C1932" s="2" t="s">
        <v>48</v>
      </c>
      <c r="D1932" s="3" t="n">
        <v>45705</v>
      </c>
      <c r="E1932" s="2" t="s">
        <v>1857</v>
      </c>
      <c r="F1932" s="2" t="s">
        <v>32</v>
      </c>
      <c r="G1932" s="2" t="n">
        <v>42937</v>
      </c>
      <c r="H1932" s="2" t="n">
        <v>2</v>
      </c>
      <c r="I1932" s="2" t="n">
        <v>25</v>
      </c>
      <c r="J1932" s="2" t="n">
        <v>0</v>
      </c>
      <c r="K1932" s="2" t="n">
        <v>9845</v>
      </c>
      <c r="L1932" s="2" t="n">
        <v>6409</v>
      </c>
      <c r="M1932" s="2" t="n">
        <v>366</v>
      </c>
      <c r="N1932" s="2" t="n">
        <v>7</v>
      </c>
      <c r="O1932" s="2" t="n">
        <v>33</v>
      </c>
      <c r="P1932" s="2" t="n">
        <v>27</v>
      </c>
      <c r="Q1932" s="2" t="n">
        <v>63</v>
      </c>
      <c r="R1932" s="2" t="n">
        <v>15</v>
      </c>
      <c r="S1932" s="2" t="n">
        <v>4</v>
      </c>
      <c r="T1932" s="2" t="s">
        <v>33</v>
      </c>
      <c r="U1932" s="4" t="n">
        <f aca="false">(M1932+N1932+O1932+P1932)/L1932</f>
        <v>0.0675612420034327</v>
      </c>
      <c r="V1932" s="2" t="str">
        <f aca="false">IF(S1932&lt;=5,"Late night (0-5)",IF(S1932&lt;=11,"Morning (6-11)",IF(S1932&lt;=17,"Afternoon (12-17)","Evening (18-23)")))</f>
        <v>Late night (0-5)</v>
      </c>
    </row>
    <row r="1933" customFormat="false" ht="15" hidden="false" customHeight="false" outlineLevel="0" collapsed="false">
      <c r="A1933" s="2" t="s">
        <v>3093</v>
      </c>
      <c r="B1933" s="2" t="s">
        <v>74</v>
      </c>
      <c r="C1933" s="2" t="s">
        <v>30</v>
      </c>
      <c r="D1933" s="3" t="n">
        <v>45993</v>
      </c>
      <c r="E1933" s="2" t="s">
        <v>3094</v>
      </c>
      <c r="F1933" s="2" t="s">
        <v>32</v>
      </c>
      <c r="G1933" s="2" t="n">
        <v>20432</v>
      </c>
      <c r="H1933" s="2" t="n">
        <v>14</v>
      </c>
      <c r="I1933" s="2" t="n">
        <v>149</v>
      </c>
      <c r="J1933" s="2" t="n">
        <v>1</v>
      </c>
      <c r="K1933" s="2" t="n">
        <v>29223</v>
      </c>
      <c r="L1933" s="2" t="n">
        <v>24926</v>
      </c>
      <c r="M1933" s="2" t="n">
        <v>2091</v>
      </c>
      <c r="N1933" s="2" t="n">
        <v>75</v>
      </c>
      <c r="O1933" s="2" t="n">
        <v>345</v>
      </c>
      <c r="P1933" s="2" t="n">
        <v>209</v>
      </c>
      <c r="Q1933" s="2" t="n">
        <v>579</v>
      </c>
      <c r="R1933" s="2" t="n">
        <v>166</v>
      </c>
      <c r="S1933" s="2" t="n">
        <v>9</v>
      </c>
      <c r="T1933" s="2" t="s">
        <v>51</v>
      </c>
      <c r="U1933" s="4" t="n">
        <f aca="false">(M1933+N1933+O1933+P1933)/L1933</f>
        <v>0.109123004092113</v>
      </c>
      <c r="V1933" s="2" t="str">
        <f aca="false">IF(S1933&lt;=5,"Late night (0-5)",IF(S1933&lt;=11,"Morning (6-11)",IF(S1933&lt;=17,"Afternoon (12-17)","Evening (18-23)")))</f>
        <v>Morning (6-11)</v>
      </c>
    </row>
    <row r="1934" customFormat="false" ht="15" hidden="false" customHeight="false" outlineLevel="0" collapsed="false">
      <c r="A1934" s="2" t="s">
        <v>3095</v>
      </c>
      <c r="B1934" s="2" t="s">
        <v>64</v>
      </c>
      <c r="C1934" s="2" t="s">
        <v>36</v>
      </c>
      <c r="D1934" s="3" t="n">
        <v>45703</v>
      </c>
      <c r="E1934" s="2" t="s">
        <v>627</v>
      </c>
      <c r="F1934" s="2" t="s">
        <v>26</v>
      </c>
      <c r="G1934" s="2" t="n">
        <v>43781</v>
      </c>
      <c r="H1934" s="2" t="n">
        <v>25</v>
      </c>
      <c r="I1934" s="2" t="n">
        <v>239</v>
      </c>
      <c r="J1934" s="2" t="n">
        <v>1</v>
      </c>
      <c r="K1934" s="2" t="n">
        <v>111823</v>
      </c>
      <c r="L1934" s="2" t="n">
        <v>65755</v>
      </c>
      <c r="M1934" s="2" t="n">
        <v>3805</v>
      </c>
      <c r="N1934" s="2" t="n">
        <v>227</v>
      </c>
      <c r="O1934" s="2" t="n">
        <v>447</v>
      </c>
      <c r="P1934" s="2" t="n">
        <v>1377</v>
      </c>
      <c r="Q1934" s="2" t="n">
        <v>1164</v>
      </c>
      <c r="R1934" s="2" t="n">
        <v>85</v>
      </c>
      <c r="S1934" s="2" t="n">
        <v>23</v>
      </c>
      <c r="T1934" s="2" t="s">
        <v>62</v>
      </c>
      <c r="U1934" s="4" t="n">
        <f aca="false">(M1934+N1934+O1934+P1934)/L1934</f>
        <v>0.0890578663219527</v>
      </c>
      <c r="V1934" s="2" t="str">
        <f aca="false">IF(S1934&lt;=5,"Late night (0-5)",IF(S1934&lt;=11,"Morning (6-11)",IF(S1934&lt;=17,"Afternoon (12-17)","Evening (18-23)")))</f>
        <v>Evening (18-23)</v>
      </c>
    </row>
    <row r="1935" customFormat="false" ht="15" hidden="false" customHeight="false" outlineLevel="0" collapsed="false">
      <c r="A1935" s="2" t="s">
        <v>3096</v>
      </c>
      <c r="B1935" s="2" t="s">
        <v>53</v>
      </c>
      <c r="C1935" s="2" t="s">
        <v>54</v>
      </c>
      <c r="D1935" s="3" t="n">
        <v>45831</v>
      </c>
      <c r="E1935" s="2" t="s">
        <v>2145</v>
      </c>
      <c r="F1935" s="2" t="s">
        <v>38</v>
      </c>
      <c r="G1935" s="2" t="n">
        <v>11318</v>
      </c>
      <c r="H1935" s="2" t="n">
        <v>10</v>
      </c>
      <c r="I1935" s="2" t="n">
        <v>50</v>
      </c>
      <c r="J1935" s="2" t="n">
        <v>0</v>
      </c>
      <c r="K1935" s="2" t="n">
        <v>4742</v>
      </c>
      <c r="L1935" s="2" t="n">
        <v>2837</v>
      </c>
      <c r="M1935" s="2" t="n">
        <v>109</v>
      </c>
      <c r="N1935" s="2" t="n">
        <v>4</v>
      </c>
      <c r="O1935" s="2" t="n">
        <v>8</v>
      </c>
      <c r="P1935" s="2" t="n">
        <v>24</v>
      </c>
      <c r="Q1935" s="2" t="n">
        <v>68</v>
      </c>
      <c r="R1935" s="2" t="n">
        <v>11</v>
      </c>
      <c r="S1935" s="2" t="n">
        <v>1</v>
      </c>
      <c r="T1935" s="2" t="s">
        <v>33</v>
      </c>
      <c r="U1935" s="4" t="n">
        <f aca="false">(M1935+N1935+O1935+P1935)/L1935</f>
        <v>0.051110327811068</v>
      </c>
      <c r="V1935" s="2" t="str">
        <f aca="false">IF(S1935&lt;=5,"Late night (0-5)",IF(S1935&lt;=11,"Morning (6-11)",IF(S1935&lt;=17,"Afternoon (12-17)","Evening (18-23)")))</f>
        <v>Late night (0-5)</v>
      </c>
    </row>
    <row r="1936" customFormat="false" ht="15" hidden="false" customHeight="false" outlineLevel="0" collapsed="false">
      <c r="A1936" s="2" t="s">
        <v>3097</v>
      </c>
      <c r="B1936" s="2" t="s">
        <v>345</v>
      </c>
      <c r="C1936" s="2" t="s">
        <v>30</v>
      </c>
      <c r="D1936" s="3" t="n">
        <v>45995</v>
      </c>
      <c r="E1936" s="2" t="s">
        <v>3098</v>
      </c>
      <c r="F1936" s="2" t="s">
        <v>32</v>
      </c>
      <c r="G1936" s="2" t="n">
        <v>8662</v>
      </c>
      <c r="H1936" s="2" t="n">
        <v>17</v>
      </c>
      <c r="I1936" s="2" t="n">
        <v>158</v>
      </c>
      <c r="J1936" s="2" t="n">
        <v>1</v>
      </c>
      <c r="K1936" s="2" t="n">
        <v>39852</v>
      </c>
      <c r="L1936" s="2" t="n">
        <v>33571</v>
      </c>
      <c r="M1936" s="2" t="n">
        <v>1258</v>
      </c>
      <c r="N1936" s="2" t="n">
        <v>100</v>
      </c>
      <c r="O1936" s="2" t="n">
        <v>337</v>
      </c>
      <c r="P1936" s="2" t="n">
        <v>349</v>
      </c>
      <c r="Q1936" s="2" t="n">
        <v>406</v>
      </c>
      <c r="R1936" s="2" t="n">
        <v>42</v>
      </c>
      <c r="S1936" s="2" t="n">
        <v>22</v>
      </c>
      <c r="T1936" s="2" t="s">
        <v>79</v>
      </c>
      <c r="U1936" s="4" t="n">
        <f aca="false">(M1936+N1936+O1936+P1936)/L1936</f>
        <v>0.0608858836495785</v>
      </c>
      <c r="V1936" s="2" t="str">
        <f aca="false">IF(S1936&lt;=5,"Late night (0-5)",IF(S1936&lt;=11,"Morning (6-11)",IF(S1936&lt;=17,"Afternoon (12-17)","Evening (18-23)")))</f>
        <v>Evening (18-23)</v>
      </c>
    </row>
    <row r="1937" customFormat="false" ht="15" hidden="false" customHeight="false" outlineLevel="0" collapsed="false">
      <c r="A1937" s="2" t="s">
        <v>3099</v>
      </c>
      <c r="B1937" s="2" t="s">
        <v>452</v>
      </c>
      <c r="C1937" s="2" t="s">
        <v>91</v>
      </c>
      <c r="D1937" s="3" t="n">
        <v>45666</v>
      </c>
      <c r="E1937" s="2" t="s">
        <v>1991</v>
      </c>
      <c r="F1937" s="2" t="s">
        <v>38</v>
      </c>
      <c r="G1937" s="2" t="n">
        <v>14201</v>
      </c>
      <c r="H1937" s="2" t="n">
        <v>13</v>
      </c>
      <c r="I1937" s="2" t="n">
        <v>186</v>
      </c>
      <c r="J1937" s="2" t="n">
        <v>0</v>
      </c>
      <c r="K1937" s="2" t="n">
        <v>8061</v>
      </c>
      <c r="L1937" s="2" t="n">
        <v>4926</v>
      </c>
      <c r="M1937" s="2" t="n">
        <v>190</v>
      </c>
      <c r="N1937" s="2" t="n">
        <v>12</v>
      </c>
      <c r="O1937" s="2" t="n">
        <v>27</v>
      </c>
      <c r="P1937" s="2" t="n">
        <v>49</v>
      </c>
      <c r="Q1937" s="2" t="n">
        <v>146</v>
      </c>
      <c r="R1937" s="2" t="n">
        <v>24</v>
      </c>
      <c r="S1937" s="2" t="n">
        <v>11</v>
      </c>
      <c r="T1937" s="2" t="s">
        <v>79</v>
      </c>
      <c r="U1937" s="4" t="n">
        <f aca="false">(M1937+N1937+O1937+P1937)/L1937</f>
        <v>0.0564352415753147</v>
      </c>
      <c r="V1937" s="2" t="str">
        <f aca="false">IF(S1937&lt;=5,"Late night (0-5)",IF(S1937&lt;=11,"Morning (6-11)",IF(S1937&lt;=17,"Afternoon (12-17)","Evening (18-23)")))</f>
        <v>Morning (6-11)</v>
      </c>
    </row>
    <row r="1938" customFormat="false" ht="15" hidden="false" customHeight="false" outlineLevel="0" collapsed="false">
      <c r="A1938" s="2" t="s">
        <v>3100</v>
      </c>
      <c r="B1938" s="2" t="s">
        <v>206</v>
      </c>
      <c r="C1938" s="2" t="s">
        <v>48</v>
      </c>
      <c r="D1938" s="3" t="n">
        <v>45827</v>
      </c>
      <c r="E1938" s="2" t="s">
        <v>1187</v>
      </c>
      <c r="F1938" s="2" t="s">
        <v>32</v>
      </c>
      <c r="G1938" s="2" t="n">
        <v>42937</v>
      </c>
      <c r="H1938" s="2" t="n">
        <v>17</v>
      </c>
      <c r="I1938" s="2" t="n">
        <v>67</v>
      </c>
      <c r="J1938" s="2" t="n">
        <v>1</v>
      </c>
      <c r="K1938" s="2" t="n">
        <v>49942</v>
      </c>
      <c r="L1938" s="2" t="n">
        <v>41879</v>
      </c>
      <c r="M1938" s="2" t="n">
        <v>4404</v>
      </c>
      <c r="N1938" s="2" t="n">
        <v>106</v>
      </c>
      <c r="O1938" s="2" t="n">
        <v>465</v>
      </c>
      <c r="P1938" s="2" t="n">
        <v>980</v>
      </c>
      <c r="Q1938" s="2" t="n">
        <v>353</v>
      </c>
      <c r="R1938" s="2" t="n">
        <v>33</v>
      </c>
      <c r="S1938" s="2" t="n">
        <v>17</v>
      </c>
      <c r="T1938" s="2" t="s">
        <v>79</v>
      </c>
      <c r="U1938" s="4" t="n">
        <f aca="false">(M1938+N1938+O1938+P1938)/L1938</f>
        <v>0.14219537238234</v>
      </c>
      <c r="V1938" s="2" t="str">
        <f aca="false">IF(S1938&lt;=5,"Late night (0-5)",IF(S1938&lt;=11,"Morning (6-11)",IF(S1938&lt;=17,"Afternoon (12-17)","Evening (18-23)")))</f>
        <v>Afternoon (12-17)</v>
      </c>
    </row>
    <row r="1939" customFormat="false" ht="15" hidden="false" customHeight="false" outlineLevel="0" collapsed="false">
      <c r="A1939" s="2" t="s">
        <v>3101</v>
      </c>
      <c r="B1939" s="2" t="s">
        <v>35</v>
      </c>
      <c r="C1939" s="2" t="s">
        <v>36</v>
      </c>
      <c r="D1939" s="3" t="n">
        <v>45810</v>
      </c>
      <c r="E1939" s="2" t="s">
        <v>3102</v>
      </c>
      <c r="F1939" s="2" t="s">
        <v>38</v>
      </c>
      <c r="G1939" s="2" t="n">
        <v>33933</v>
      </c>
      <c r="H1939" s="2" t="n">
        <v>10</v>
      </c>
      <c r="I1939" s="2" t="n">
        <v>209</v>
      </c>
      <c r="J1939" s="2" t="n">
        <v>0</v>
      </c>
      <c r="K1939" s="2" t="n">
        <v>15426</v>
      </c>
      <c r="L1939" s="2" t="n">
        <v>10139</v>
      </c>
      <c r="M1939" s="2" t="n">
        <v>898</v>
      </c>
      <c r="N1939" s="2" t="n">
        <v>47</v>
      </c>
      <c r="O1939" s="2" t="n">
        <v>80</v>
      </c>
      <c r="P1939" s="2" t="n">
        <v>171</v>
      </c>
      <c r="Q1939" s="2" t="n">
        <v>57</v>
      </c>
      <c r="R1939" s="2" t="n">
        <v>11</v>
      </c>
      <c r="S1939" s="2" t="n">
        <v>1</v>
      </c>
      <c r="T1939" s="2" t="s">
        <v>33</v>
      </c>
      <c r="U1939" s="4" t="n">
        <f aca="false">(M1939+N1939+O1939+P1939)/L1939</f>
        <v>0.11796035111944</v>
      </c>
      <c r="V1939" s="2" t="str">
        <f aca="false">IF(S1939&lt;=5,"Late night (0-5)",IF(S1939&lt;=11,"Morning (6-11)",IF(S1939&lt;=17,"Afternoon (12-17)","Evening (18-23)")))</f>
        <v>Late night (0-5)</v>
      </c>
    </row>
    <row r="1940" customFormat="false" ht="15" hidden="false" customHeight="false" outlineLevel="0" collapsed="false">
      <c r="A1940" s="2" t="s">
        <v>3103</v>
      </c>
      <c r="B1940" s="2" t="s">
        <v>188</v>
      </c>
      <c r="C1940" s="2" t="s">
        <v>30</v>
      </c>
      <c r="D1940" s="3" t="n">
        <v>46021</v>
      </c>
      <c r="E1940" s="2" t="s">
        <v>3104</v>
      </c>
      <c r="F1940" s="2" t="s">
        <v>32</v>
      </c>
      <c r="G1940" s="2" t="n">
        <v>38900</v>
      </c>
      <c r="H1940" s="2" t="n">
        <v>9</v>
      </c>
      <c r="I1940" s="2" t="n">
        <v>292</v>
      </c>
      <c r="J1940" s="2" t="n">
        <v>1</v>
      </c>
      <c r="K1940" s="2" t="n">
        <v>32752</v>
      </c>
      <c r="L1940" s="2" t="n">
        <v>26712</v>
      </c>
      <c r="M1940" s="2" t="n">
        <v>2464</v>
      </c>
      <c r="N1940" s="2" t="n">
        <v>137</v>
      </c>
      <c r="O1940" s="2" t="n">
        <v>222</v>
      </c>
      <c r="P1940" s="2" t="n">
        <v>624</v>
      </c>
      <c r="Q1940" s="2" t="n">
        <v>369</v>
      </c>
      <c r="R1940" s="2" t="n">
        <v>60</v>
      </c>
      <c r="S1940" s="2" t="n">
        <v>18</v>
      </c>
      <c r="T1940" s="2" t="s">
        <v>51</v>
      </c>
      <c r="U1940" s="4" t="n">
        <f aca="false">(M1940+N1940+O1940+P1940)/L1940</f>
        <v>0.129043126684636</v>
      </c>
      <c r="V1940" s="2" t="str">
        <f aca="false">IF(S1940&lt;=5,"Late night (0-5)",IF(S1940&lt;=11,"Morning (6-11)",IF(S1940&lt;=17,"Afternoon (12-17)","Evening (18-23)")))</f>
        <v>Evening (18-23)</v>
      </c>
    </row>
    <row r="1941" customFormat="false" ht="15" hidden="false" customHeight="false" outlineLevel="0" collapsed="false">
      <c r="A1941" s="2" t="s">
        <v>3105</v>
      </c>
      <c r="B1941" s="2" t="s">
        <v>94</v>
      </c>
      <c r="C1941" s="2" t="s">
        <v>30</v>
      </c>
      <c r="D1941" s="3" t="n">
        <v>45723</v>
      </c>
      <c r="E1941" s="2" t="s">
        <v>1343</v>
      </c>
      <c r="F1941" s="2" t="s">
        <v>26</v>
      </c>
      <c r="G1941" s="2" t="n">
        <v>58559</v>
      </c>
      <c r="H1941" s="2" t="n">
        <v>6</v>
      </c>
      <c r="I1941" s="2" t="n">
        <v>137</v>
      </c>
      <c r="J1941" s="2" t="n">
        <v>0</v>
      </c>
      <c r="K1941" s="2" t="n">
        <v>18612</v>
      </c>
      <c r="L1941" s="2" t="n">
        <v>12579</v>
      </c>
      <c r="M1941" s="2" t="n">
        <v>1066</v>
      </c>
      <c r="N1941" s="2" t="n">
        <v>64</v>
      </c>
      <c r="O1941" s="2" t="n">
        <v>177</v>
      </c>
      <c r="P1941" s="2" t="n">
        <v>187</v>
      </c>
      <c r="Q1941" s="2" t="n">
        <v>296</v>
      </c>
      <c r="R1941" s="2" t="n">
        <v>25</v>
      </c>
      <c r="S1941" s="2" t="n">
        <v>3</v>
      </c>
      <c r="T1941" s="2" t="s">
        <v>96</v>
      </c>
      <c r="U1941" s="4" t="n">
        <f aca="false">(M1941+N1941+O1941+P1941)/L1941</f>
        <v>0.118769377533985</v>
      </c>
      <c r="V1941" s="2" t="str">
        <f aca="false">IF(S1941&lt;=5,"Late night (0-5)",IF(S1941&lt;=11,"Morning (6-11)",IF(S1941&lt;=17,"Afternoon (12-17)","Evening (18-23)")))</f>
        <v>Late night (0-5)</v>
      </c>
    </row>
    <row r="1942" customFormat="false" ht="15" hidden="false" customHeight="false" outlineLevel="0" collapsed="false">
      <c r="A1942" s="2" t="s">
        <v>3106</v>
      </c>
      <c r="B1942" s="2" t="s">
        <v>310</v>
      </c>
      <c r="C1942" s="2" t="s">
        <v>91</v>
      </c>
      <c r="D1942" s="3" t="n">
        <v>45680</v>
      </c>
      <c r="E1942" s="2" t="s">
        <v>3107</v>
      </c>
      <c r="F1942" s="2" t="s">
        <v>32</v>
      </c>
      <c r="G1942" s="2" t="n">
        <v>56571</v>
      </c>
      <c r="H1942" s="2" t="n">
        <v>11</v>
      </c>
      <c r="I1942" s="2" t="n">
        <v>352</v>
      </c>
      <c r="J1942" s="2" t="n">
        <v>0</v>
      </c>
      <c r="K1942" s="2" t="n">
        <v>119748</v>
      </c>
      <c r="L1942" s="2" t="n">
        <v>101251</v>
      </c>
      <c r="M1942" s="2" t="n">
        <v>10529</v>
      </c>
      <c r="N1942" s="2" t="n">
        <v>487</v>
      </c>
      <c r="O1942" s="2" t="n">
        <v>2327</v>
      </c>
      <c r="P1942" s="2" t="n">
        <v>2040</v>
      </c>
      <c r="Q1942" s="2" t="n">
        <v>1776</v>
      </c>
      <c r="R1942" s="2" t="n">
        <v>362</v>
      </c>
      <c r="S1942" s="2" t="n">
        <v>7</v>
      </c>
      <c r="T1942" s="2" t="s">
        <v>79</v>
      </c>
      <c r="U1942" s="4" t="n">
        <f aca="false">(M1942+N1942+O1942+P1942)/L1942</f>
        <v>0.151929363660606</v>
      </c>
      <c r="V1942" s="2" t="str">
        <f aca="false">IF(S1942&lt;=5,"Late night (0-5)",IF(S1942&lt;=11,"Morning (6-11)",IF(S1942&lt;=17,"Afternoon (12-17)","Evening (18-23)")))</f>
        <v>Morning (6-11)</v>
      </c>
    </row>
    <row r="1943" customFormat="false" ht="15" hidden="false" customHeight="false" outlineLevel="0" collapsed="false">
      <c r="A1943" s="2" t="s">
        <v>3108</v>
      </c>
      <c r="B1943" s="2" t="s">
        <v>64</v>
      </c>
      <c r="C1943" s="2" t="s">
        <v>36</v>
      </c>
      <c r="D1943" s="3" t="n">
        <v>45823</v>
      </c>
      <c r="E1943" s="2" t="s">
        <v>1027</v>
      </c>
      <c r="F1943" s="2" t="s">
        <v>38</v>
      </c>
      <c r="G1943" s="2" t="n">
        <v>43781</v>
      </c>
      <c r="H1943" s="2" t="n">
        <v>3</v>
      </c>
      <c r="I1943" s="2" t="n">
        <v>303</v>
      </c>
      <c r="J1943" s="2" t="n">
        <v>1</v>
      </c>
      <c r="K1943" s="2" t="n">
        <v>21936</v>
      </c>
      <c r="L1943" s="2" t="n">
        <v>13339</v>
      </c>
      <c r="M1943" s="2" t="n">
        <v>1060</v>
      </c>
      <c r="N1943" s="2" t="n">
        <v>34</v>
      </c>
      <c r="O1943" s="2" t="n">
        <v>128</v>
      </c>
      <c r="P1943" s="2" t="n">
        <v>291</v>
      </c>
      <c r="Q1943" s="2" t="n">
        <v>197</v>
      </c>
      <c r="R1943" s="2" t="n">
        <v>31</v>
      </c>
      <c r="S1943" s="2" t="n">
        <v>10</v>
      </c>
      <c r="T1943" s="2" t="s">
        <v>27</v>
      </c>
      <c r="U1943" s="4" t="n">
        <f aca="false">(M1943+N1943+O1943+P1943)/L1943</f>
        <v>0.113426793612715</v>
      </c>
      <c r="V1943" s="2" t="str">
        <f aca="false">IF(S1943&lt;=5,"Late night (0-5)",IF(S1943&lt;=11,"Morning (6-11)",IF(S1943&lt;=17,"Afternoon (12-17)","Evening (18-23)")))</f>
        <v>Morning (6-11)</v>
      </c>
    </row>
    <row r="1944" customFormat="false" ht="15" hidden="false" customHeight="false" outlineLevel="0" collapsed="false">
      <c r="A1944" s="2" t="s">
        <v>3109</v>
      </c>
      <c r="B1944" s="2" t="s">
        <v>60</v>
      </c>
      <c r="C1944" s="2" t="s">
        <v>41</v>
      </c>
      <c r="D1944" s="3" t="n">
        <v>45969</v>
      </c>
      <c r="E1944" s="2" t="s">
        <v>2190</v>
      </c>
      <c r="F1944" s="2" t="s">
        <v>32</v>
      </c>
      <c r="G1944" s="2" t="n">
        <v>7512</v>
      </c>
      <c r="H1944" s="2" t="n">
        <v>7</v>
      </c>
      <c r="I1944" s="2" t="n">
        <v>191</v>
      </c>
      <c r="J1944" s="2" t="n">
        <v>1</v>
      </c>
      <c r="K1944" s="2" t="n">
        <v>11976</v>
      </c>
      <c r="L1944" s="2" t="n">
        <v>8124</v>
      </c>
      <c r="M1944" s="2" t="n">
        <v>828</v>
      </c>
      <c r="N1944" s="2" t="n">
        <v>31</v>
      </c>
      <c r="O1944" s="2" t="n">
        <v>93</v>
      </c>
      <c r="P1944" s="2" t="n">
        <v>125</v>
      </c>
      <c r="Q1944" s="2" t="n">
        <v>237</v>
      </c>
      <c r="R1944" s="2" t="n">
        <v>61</v>
      </c>
      <c r="S1944" s="2" t="n">
        <v>18</v>
      </c>
      <c r="T1944" s="2" t="s">
        <v>62</v>
      </c>
      <c r="U1944" s="4" t="n">
        <f aca="false">(M1944+N1944+O1944+P1944)/L1944</f>
        <v>0.132570162481536</v>
      </c>
      <c r="V1944" s="2" t="str">
        <f aca="false">IF(S1944&lt;=5,"Late night (0-5)",IF(S1944&lt;=11,"Morning (6-11)",IF(S1944&lt;=17,"Afternoon (12-17)","Evening (18-23)")))</f>
        <v>Evening (18-23)</v>
      </c>
    </row>
    <row r="1945" customFormat="false" ht="15" hidden="false" customHeight="false" outlineLevel="0" collapsed="false">
      <c r="A1945" s="2" t="s">
        <v>3110</v>
      </c>
      <c r="B1945" s="2" t="s">
        <v>141</v>
      </c>
      <c r="C1945" s="2" t="s">
        <v>48</v>
      </c>
      <c r="D1945" s="3" t="n">
        <v>45774</v>
      </c>
      <c r="E1945" s="2" t="s">
        <v>1681</v>
      </c>
      <c r="F1945" s="2" t="s">
        <v>32</v>
      </c>
      <c r="G1945" s="2" t="n">
        <v>16119</v>
      </c>
      <c r="H1945" s="2" t="n">
        <v>19</v>
      </c>
      <c r="I1945" s="2" t="n">
        <v>241</v>
      </c>
      <c r="J1945" s="2" t="n">
        <v>0</v>
      </c>
      <c r="K1945" s="2" t="n">
        <v>55811</v>
      </c>
      <c r="L1945" s="2" t="n">
        <v>42930</v>
      </c>
      <c r="M1945" s="2" t="n">
        <v>2182</v>
      </c>
      <c r="N1945" s="2" t="n">
        <v>64</v>
      </c>
      <c r="O1945" s="2" t="n">
        <v>221</v>
      </c>
      <c r="P1945" s="2" t="n">
        <v>220</v>
      </c>
      <c r="Q1945" s="2" t="n">
        <v>1167</v>
      </c>
      <c r="R1945" s="2" t="n">
        <v>64</v>
      </c>
      <c r="S1945" s="2" t="n">
        <v>11</v>
      </c>
      <c r="T1945" s="2" t="s">
        <v>27</v>
      </c>
      <c r="U1945" s="4" t="n">
        <f aca="false">(M1945+N1945+O1945+P1945)/L1945</f>
        <v>0.062590263219194</v>
      </c>
      <c r="V1945" s="2" t="str">
        <f aca="false">IF(S1945&lt;=5,"Late night (0-5)",IF(S1945&lt;=11,"Morning (6-11)",IF(S1945&lt;=17,"Afternoon (12-17)","Evening (18-23)")))</f>
        <v>Morning (6-11)</v>
      </c>
    </row>
    <row r="1946" customFormat="false" ht="15" hidden="false" customHeight="false" outlineLevel="0" collapsed="false">
      <c r="A1946" s="2" t="s">
        <v>3111</v>
      </c>
      <c r="B1946" s="2" t="s">
        <v>371</v>
      </c>
      <c r="C1946" s="2" t="s">
        <v>48</v>
      </c>
      <c r="D1946" s="3" t="n">
        <v>45729</v>
      </c>
      <c r="E1946" s="2" t="s">
        <v>1341</v>
      </c>
      <c r="F1946" s="2" t="s">
        <v>26</v>
      </c>
      <c r="G1946" s="2" t="n">
        <v>42479</v>
      </c>
      <c r="H1946" s="2" t="n">
        <v>13</v>
      </c>
      <c r="I1946" s="2" t="n">
        <v>10</v>
      </c>
      <c r="J1946" s="2" t="n">
        <v>0</v>
      </c>
      <c r="K1946" s="2" t="n">
        <v>33421</v>
      </c>
      <c r="L1946" s="2" t="n">
        <v>29144</v>
      </c>
      <c r="M1946" s="2" t="n">
        <v>2237</v>
      </c>
      <c r="N1946" s="2" t="n">
        <v>131</v>
      </c>
      <c r="O1946" s="2" t="n">
        <v>101</v>
      </c>
      <c r="P1946" s="2" t="n">
        <v>630</v>
      </c>
      <c r="Q1946" s="2" t="n">
        <v>692</v>
      </c>
      <c r="R1946" s="2" t="n">
        <v>68</v>
      </c>
      <c r="S1946" s="2" t="n">
        <v>19</v>
      </c>
      <c r="T1946" s="2" t="s">
        <v>79</v>
      </c>
      <c r="U1946" s="4" t="n">
        <f aca="false">(M1946+N1946+O1946+P1946)/L1946</f>
        <v>0.106334065330771</v>
      </c>
      <c r="V1946" s="2" t="str">
        <f aca="false">IF(S1946&lt;=5,"Late night (0-5)",IF(S1946&lt;=11,"Morning (6-11)",IF(S1946&lt;=17,"Afternoon (12-17)","Evening (18-23)")))</f>
        <v>Evening (18-23)</v>
      </c>
    </row>
    <row r="1947" customFormat="false" ht="15" hidden="false" customHeight="false" outlineLevel="0" collapsed="false">
      <c r="A1947" s="2" t="s">
        <v>3112</v>
      </c>
      <c r="B1947" s="2" t="s">
        <v>114</v>
      </c>
      <c r="C1947" s="2" t="s">
        <v>84</v>
      </c>
      <c r="D1947" s="3" t="n">
        <v>45944</v>
      </c>
      <c r="E1947" s="2" t="s">
        <v>1486</v>
      </c>
      <c r="F1947" s="2" t="s">
        <v>38</v>
      </c>
      <c r="G1947" s="2" t="n">
        <v>64307</v>
      </c>
      <c r="H1947" s="2" t="n">
        <v>20</v>
      </c>
      <c r="I1947" s="2" t="n">
        <v>165</v>
      </c>
      <c r="J1947" s="2" t="n">
        <v>0</v>
      </c>
      <c r="K1947" s="2" t="n">
        <v>11420</v>
      </c>
      <c r="L1947" s="2" t="n">
        <v>10185</v>
      </c>
      <c r="M1947" s="2" t="n">
        <v>748</v>
      </c>
      <c r="N1947" s="2" t="n">
        <v>59</v>
      </c>
      <c r="O1947" s="2" t="n">
        <v>123</v>
      </c>
      <c r="P1947" s="2" t="n">
        <v>131</v>
      </c>
      <c r="Q1947" s="2" t="n">
        <v>276</v>
      </c>
      <c r="R1947" s="2" t="n">
        <v>62</v>
      </c>
      <c r="S1947" s="2" t="n">
        <v>2</v>
      </c>
      <c r="T1947" s="2" t="s">
        <v>51</v>
      </c>
      <c r="U1947" s="4" t="n">
        <f aca="false">(M1947+N1947+O1947+P1947)/L1947</f>
        <v>0.104172803141875</v>
      </c>
      <c r="V1947" s="2" t="str">
        <f aca="false">IF(S1947&lt;=5,"Late night (0-5)",IF(S1947&lt;=11,"Morning (6-11)",IF(S1947&lt;=17,"Afternoon (12-17)","Evening (18-23)")))</f>
        <v>Late night (0-5)</v>
      </c>
    </row>
    <row r="1948" customFormat="false" ht="15" hidden="false" customHeight="false" outlineLevel="0" collapsed="false">
      <c r="A1948" s="2" t="s">
        <v>3113</v>
      </c>
      <c r="B1948" s="2" t="s">
        <v>40</v>
      </c>
      <c r="C1948" s="2" t="s">
        <v>41</v>
      </c>
      <c r="D1948" s="3" t="n">
        <v>45708</v>
      </c>
      <c r="E1948" s="2" t="s">
        <v>334</v>
      </c>
      <c r="F1948" s="2" t="s">
        <v>32</v>
      </c>
      <c r="G1948" s="2" t="n">
        <v>23051</v>
      </c>
      <c r="H1948" s="2" t="n">
        <v>10</v>
      </c>
      <c r="I1948" s="2" t="n">
        <v>223</v>
      </c>
      <c r="J1948" s="2" t="n">
        <v>0</v>
      </c>
      <c r="K1948" s="2" t="n">
        <v>90873</v>
      </c>
      <c r="L1948" s="2" t="n">
        <v>82489</v>
      </c>
      <c r="M1948" s="2" t="n">
        <v>4204</v>
      </c>
      <c r="N1948" s="2" t="n">
        <v>253</v>
      </c>
      <c r="O1948" s="2" t="n">
        <v>493</v>
      </c>
      <c r="P1948" s="2" t="n">
        <v>359</v>
      </c>
      <c r="Q1948" s="2" t="n">
        <v>581</v>
      </c>
      <c r="R1948" s="2" t="n">
        <v>121</v>
      </c>
      <c r="S1948" s="2" t="n">
        <v>10</v>
      </c>
      <c r="T1948" s="2" t="s">
        <v>79</v>
      </c>
      <c r="U1948" s="4" t="n">
        <f aca="false">(M1948+N1948+O1948+P1948)/L1948</f>
        <v>0.0643600964977149</v>
      </c>
      <c r="V1948" s="2" t="str">
        <f aca="false">IF(S1948&lt;=5,"Late night (0-5)",IF(S1948&lt;=11,"Morning (6-11)",IF(S1948&lt;=17,"Afternoon (12-17)","Evening (18-23)")))</f>
        <v>Morning (6-11)</v>
      </c>
    </row>
    <row r="1949" customFormat="false" ht="15" hidden="false" customHeight="false" outlineLevel="0" collapsed="false">
      <c r="A1949" s="2" t="s">
        <v>3114</v>
      </c>
      <c r="B1949" s="2" t="s">
        <v>327</v>
      </c>
      <c r="C1949" s="2" t="s">
        <v>91</v>
      </c>
      <c r="D1949" s="3" t="n">
        <v>45913</v>
      </c>
      <c r="E1949" s="2" t="s">
        <v>2131</v>
      </c>
      <c r="F1949" s="2" t="s">
        <v>50</v>
      </c>
      <c r="G1949" s="2" t="n">
        <v>16943</v>
      </c>
      <c r="H1949" s="2" t="n">
        <v>11</v>
      </c>
      <c r="I1949" s="2" t="n">
        <v>277</v>
      </c>
      <c r="J1949" s="2" t="n">
        <v>0</v>
      </c>
      <c r="K1949" s="2" t="n">
        <v>6389</v>
      </c>
      <c r="L1949" s="2" t="n">
        <v>5203</v>
      </c>
      <c r="M1949" s="2" t="n">
        <v>353</v>
      </c>
      <c r="N1949" s="2" t="n">
        <v>9</v>
      </c>
      <c r="O1949" s="2" t="n">
        <v>58</v>
      </c>
      <c r="P1949" s="2" t="n">
        <v>38</v>
      </c>
      <c r="Q1949" s="2" t="n">
        <v>81</v>
      </c>
      <c r="R1949" s="2" t="n">
        <v>17</v>
      </c>
      <c r="S1949" s="2" t="n">
        <v>10</v>
      </c>
      <c r="T1949" s="2" t="s">
        <v>62</v>
      </c>
      <c r="U1949" s="4" t="n">
        <f aca="false">(M1949+N1949+O1949+P1949)/L1949</f>
        <v>0.0880261387660965</v>
      </c>
      <c r="V1949" s="2" t="str">
        <f aca="false">IF(S1949&lt;=5,"Late night (0-5)",IF(S1949&lt;=11,"Morning (6-11)",IF(S1949&lt;=17,"Afternoon (12-17)","Evening (18-23)")))</f>
        <v>Morning (6-11)</v>
      </c>
    </row>
    <row r="1950" customFormat="false" ht="15" hidden="false" customHeight="false" outlineLevel="0" collapsed="false">
      <c r="A1950" s="2" t="s">
        <v>3115</v>
      </c>
      <c r="B1950" s="2" t="s">
        <v>44</v>
      </c>
      <c r="C1950" s="2" t="s">
        <v>36</v>
      </c>
      <c r="D1950" s="3" t="n">
        <v>45924</v>
      </c>
      <c r="E1950" s="2" t="s">
        <v>1196</v>
      </c>
      <c r="F1950" s="2" t="s">
        <v>38</v>
      </c>
      <c r="G1950" s="2" t="n">
        <v>6265</v>
      </c>
      <c r="H1950" s="2" t="n">
        <v>20</v>
      </c>
      <c r="I1950" s="2" t="n">
        <v>265</v>
      </c>
      <c r="J1950" s="2" t="n">
        <v>0</v>
      </c>
      <c r="K1950" s="2" t="n">
        <v>5369</v>
      </c>
      <c r="L1950" s="2" t="n">
        <v>3449</v>
      </c>
      <c r="M1950" s="2" t="n">
        <v>293</v>
      </c>
      <c r="N1950" s="2" t="n">
        <v>7</v>
      </c>
      <c r="O1950" s="2" t="n">
        <v>24</v>
      </c>
      <c r="P1950" s="2" t="n">
        <v>19</v>
      </c>
      <c r="Q1950" s="2" t="n">
        <v>98</v>
      </c>
      <c r="R1950" s="2" t="n">
        <v>15</v>
      </c>
      <c r="S1950" s="2" t="n">
        <v>13</v>
      </c>
      <c r="T1950" s="2" t="s">
        <v>66</v>
      </c>
      <c r="U1950" s="4" t="n">
        <f aca="false">(M1950+N1950+O1950+P1950)/L1950</f>
        <v>0.099449115685706</v>
      </c>
      <c r="V1950" s="2" t="str">
        <f aca="false">IF(S1950&lt;=5,"Late night (0-5)",IF(S1950&lt;=11,"Morning (6-11)",IF(S1950&lt;=17,"Afternoon (12-17)","Evening (18-23)")))</f>
        <v>Afternoon (12-17)</v>
      </c>
    </row>
    <row r="1951" customFormat="false" ht="15" hidden="false" customHeight="false" outlineLevel="0" collapsed="false">
      <c r="A1951" s="2" t="s">
        <v>3116</v>
      </c>
      <c r="B1951" s="2" t="s">
        <v>345</v>
      </c>
      <c r="C1951" s="2" t="s">
        <v>30</v>
      </c>
      <c r="D1951" s="3" t="n">
        <v>45855</v>
      </c>
      <c r="E1951" s="2" t="s">
        <v>2282</v>
      </c>
      <c r="F1951" s="2" t="s">
        <v>26</v>
      </c>
      <c r="G1951" s="2" t="n">
        <v>8662</v>
      </c>
      <c r="H1951" s="2" t="n">
        <v>21</v>
      </c>
      <c r="I1951" s="2" t="n">
        <v>105</v>
      </c>
      <c r="J1951" s="2" t="n">
        <v>1</v>
      </c>
      <c r="K1951" s="2" t="n">
        <v>14227</v>
      </c>
      <c r="L1951" s="2" t="n">
        <v>10620</v>
      </c>
      <c r="M1951" s="2" t="n">
        <v>502</v>
      </c>
      <c r="N1951" s="2" t="n">
        <v>34</v>
      </c>
      <c r="O1951" s="2" t="n">
        <v>18</v>
      </c>
      <c r="P1951" s="2" t="n">
        <v>98</v>
      </c>
      <c r="Q1951" s="2" t="n">
        <v>242</v>
      </c>
      <c r="R1951" s="2" t="n">
        <v>36</v>
      </c>
      <c r="S1951" s="2" t="n">
        <v>6</v>
      </c>
      <c r="T1951" s="2" t="s">
        <v>79</v>
      </c>
      <c r="U1951" s="4" t="n">
        <f aca="false">(M1951+N1951+O1951+P1951)/L1951</f>
        <v>0.0613935969868173</v>
      </c>
      <c r="V1951" s="2" t="str">
        <f aca="false">IF(S1951&lt;=5,"Late night (0-5)",IF(S1951&lt;=11,"Morning (6-11)",IF(S1951&lt;=17,"Afternoon (12-17)","Evening (18-23)")))</f>
        <v>Morning (6-11)</v>
      </c>
    </row>
    <row r="1952" customFormat="false" ht="15" hidden="false" customHeight="false" outlineLevel="0" collapsed="false">
      <c r="A1952" s="2" t="s">
        <v>3117</v>
      </c>
      <c r="B1952" s="2" t="s">
        <v>431</v>
      </c>
      <c r="C1952" s="2" t="s">
        <v>36</v>
      </c>
      <c r="D1952" s="3" t="n">
        <v>45701</v>
      </c>
      <c r="E1952" s="2" t="s">
        <v>3118</v>
      </c>
      <c r="F1952" s="2" t="s">
        <v>32</v>
      </c>
      <c r="G1952" s="2" t="n">
        <v>64821</v>
      </c>
      <c r="H1952" s="2" t="n">
        <v>7</v>
      </c>
      <c r="I1952" s="2" t="n">
        <v>187</v>
      </c>
      <c r="J1952" s="2" t="n">
        <v>1</v>
      </c>
      <c r="K1952" s="2" t="n">
        <v>79586</v>
      </c>
      <c r="L1952" s="2" t="n">
        <v>56070</v>
      </c>
      <c r="M1952" s="2" t="n">
        <v>3305</v>
      </c>
      <c r="N1952" s="2" t="n">
        <v>162</v>
      </c>
      <c r="O1952" s="2" t="n">
        <v>469</v>
      </c>
      <c r="P1952" s="2" t="n">
        <v>258</v>
      </c>
      <c r="Q1952" s="2" t="n">
        <v>1495</v>
      </c>
      <c r="R1952" s="2" t="n">
        <v>336</v>
      </c>
      <c r="S1952" s="2" t="n">
        <v>20</v>
      </c>
      <c r="T1952" s="2" t="s">
        <v>79</v>
      </c>
      <c r="U1952" s="4" t="n">
        <f aca="false">(M1952+N1952+O1952+P1952)/L1952</f>
        <v>0.0747993579454254</v>
      </c>
      <c r="V1952" s="2" t="str">
        <f aca="false">IF(S1952&lt;=5,"Late night (0-5)",IF(S1952&lt;=11,"Morning (6-11)",IF(S1952&lt;=17,"Afternoon (12-17)","Evening (18-23)")))</f>
        <v>Evening (18-23)</v>
      </c>
    </row>
    <row r="1953" customFormat="false" ht="15" hidden="false" customHeight="false" outlineLevel="0" collapsed="false">
      <c r="A1953" s="2" t="s">
        <v>3119</v>
      </c>
      <c r="B1953" s="2" t="s">
        <v>111</v>
      </c>
      <c r="C1953" s="2" t="s">
        <v>48</v>
      </c>
      <c r="D1953" s="3" t="n">
        <v>46000</v>
      </c>
      <c r="E1953" s="2" t="s">
        <v>3120</v>
      </c>
      <c r="F1953" s="2" t="s">
        <v>50</v>
      </c>
      <c r="G1953" s="2" t="n">
        <v>16824</v>
      </c>
      <c r="H1953" s="2" t="n">
        <v>13</v>
      </c>
      <c r="I1953" s="2" t="n">
        <v>136</v>
      </c>
      <c r="J1953" s="2" t="n">
        <v>0</v>
      </c>
      <c r="K1953" s="2" t="n">
        <v>8121</v>
      </c>
      <c r="L1953" s="2" t="n">
        <v>7195</v>
      </c>
      <c r="M1953" s="2" t="n">
        <v>539</v>
      </c>
      <c r="N1953" s="2" t="n">
        <v>40</v>
      </c>
      <c r="O1953" s="2" t="n">
        <v>103</v>
      </c>
      <c r="P1953" s="2" t="n">
        <v>138</v>
      </c>
      <c r="Q1953" s="2" t="n">
        <v>72</v>
      </c>
      <c r="R1953" s="2" t="n">
        <v>6</v>
      </c>
      <c r="S1953" s="2" t="n">
        <v>9</v>
      </c>
      <c r="T1953" s="2" t="s">
        <v>51</v>
      </c>
      <c r="U1953" s="4" t="n">
        <f aca="false">(M1953+N1953+O1953+P1953)/L1953</f>
        <v>0.113968033356498</v>
      </c>
      <c r="V1953" s="2" t="str">
        <f aca="false">IF(S1953&lt;=5,"Late night (0-5)",IF(S1953&lt;=11,"Morning (6-11)",IF(S1953&lt;=17,"Afternoon (12-17)","Evening (18-23)")))</f>
        <v>Morning (6-11)</v>
      </c>
    </row>
    <row r="1954" customFormat="false" ht="15" hidden="false" customHeight="false" outlineLevel="0" collapsed="false">
      <c r="A1954" s="2" t="s">
        <v>3121</v>
      </c>
      <c r="B1954" s="2" t="s">
        <v>371</v>
      </c>
      <c r="C1954" s="2" t="s">
        <v>48</v>
      </c>
      <c r="D1954" s="3" t="n">
        <v>45790</v>
      </c>
      <c r="E1954" s="2" t="s">
        <v>2272</v>
      </c>
      <c r="F1954" s="2" t="s">
        <v>38</v>
      </c>
      <c r="G1954" s="2" t="n">
        <v>42479</v>
      </c>
      <c r="H1954" s="2" t="n">
        <v>11</v>
      </c>
      <c r="I1954" s="2" t="n">
        <v>159</v>
      </c>
      <c r="J1954" s="2" t="n">
        <v>1</v>
      </c>
      <c r="K1954" s="2" t="n">
        <v>36817</v>
      </c>
      <c r="L1954" s="2" t="n">
        <v>21363</v>
      </c>
      <c r="M1954" s="2" t="n">
        <v>722</v>
      </c>
      <c r="N1954" s="2" t="n">
        <v>51</v>
      </c>
      <c r="O1954" s="2" t="n">
        <v>122</v>
      </c>
      <c r="P1954" s="2" t="n">
        <v>49</v>
      </c>
      <c r="Q1954" s="2" t="n">
        <v>183</v>
      </c>
      <c r="R1954" s="2" t="n">
        <v>25</v>
      </c>
      <c r="S1954" s="2" t="n">
        <v>9</v>
      </c>
      <c r="T1954" s="2" t="s">
        <v>51</v>
      </c>
      <c r="U1954" s="4" t="n">
        <f aca="false">(M1954+N1954+O1954+P1954)/L1954</f>
        <v>0.0441885502972429</v>
      </c>
      <c r="V1954" s="2" t="str">
        <f aca="false">IF(S1954&lt;=5,"Late night (0-5)",IF(S1954&lt;=11,"Morning (6-11)",IF(S1954&lt;=17,"Afternoon (12-17)","Evening (18-23)")))</f>
        <v>Morning (6-11)</v>
      </c>
    </row>
    <row r="1955" customFormat="false" ht="15" hidden="false" customHeight="false" outlineLevel="0" collapsed="false">
      <c r="A1955" s="2" t="s">
        <v>3122</v>
      </c>
      <c r="B1955" s="2" t="s">
        <v>206</v>
      </c>
      <c r="C1955" s="2" t="s">
        <v>48</v>
      </c>
      <c r="D1955" s="3" t="n">
        <v>45678</v>
      </c>
      <c r="E1955" s="2" t="s">
        <v>750</v>
      </c>
      <c r="F1955" s="2" t="s">
        <v>26</v>
      </c>
      <c r="G1955" s="2" t="n">
        <v>42937</v>
      </c>
      <c r="H1955" s="2" t="n">
        <v>9</v>
      </c>
      <c r="I1955" s="2" t="n">
        <v>237</v>
      </c>
      <c r="J1955" s="2" t="n">
        <v>0</v>
      </c>
      <c r="K1955" s="2" t="n">
        <v>93081</v>
      </c>
      <c r="L1955" s="2" t="n">
        <v>51954</v>
      </c>
      <c r="M1955" s="2" t="n">
        <v>3388</v>
      </c>
      <c r="N1955" s="2" t="n">
        <v>112</v>
      </c>
      <c r="O1955" s="2" t="n">
        <v>547</v>
      </c>
      <c r="P1955" s="2" t="n">
        <v>619</v>
      </c>
      <c r="Q1955" s="2" t="n">
        <v>1009</v>
      </c>
      <c r="R1955" s="2" t="n">
        <v>72</v>
      </c>
      <c r="S1955" s="2" t="n">
        <v>19</v>
      </c>
      <c r="T1955" s="2" t="s">
        <v>51</v>
      </c>
      <c r="U1955" s="4" t="n">
        <f aca="false">(M1955+N1955+O1955+P1955)/L1955</f>
        <v>0.0898102167301844</v>
      </c>
      <c r="V1955" s="2" t="str">
        <f aca="false">IF(S1955&lt;=5,"Late night (0-5)",IF(S1955&lt;=11,"Morning (6-11)",IF(S1955&lt;=17,"Afternoon (12-17)","Evening (18-23)")))</f>
        <v>Evening (18-23)</v>
      </c>
    </row>
    <row r="1956" customFormat="false" ht="15" hidden="false" customHeight="false" outlineLevel="0" collapsed="false">
      <c r="A1956" s="2" t="s">
        <v>3123</v>
      </c>
      <c r="B1956" s="2" t="s">
        <v>141</v>
      </c>
      <c r="C1956" s="2" t="s">
        <v>48</v>
      </c>
      <c r="D1956" s="3" t="n">
        <v>45724</v>
      </c>
      <c r="E1956" s="2" t="s">
        <v>3124</v>
      </c>
      <c r="F1956" s="2" t="s">
        <v>38</v>
      </c>
      <c r="G1956" s="2" t="n">
        <v>16119</v>
      </c>
      <c r="H1956" s="2" t="n">
        <v>14</v>
      </c>
      <c r="I1956" s="2" t="n">
        <v>334</v>
      </c>
      <c r="J1956" s="2" t="n">
        <v>1</v>
      </c>
      <c r="K1956" s="2" t="n">
        <v>41783</v>
      </c>
      <c r="L1956" s="2" t="n">
        <v>24056</v>
      </c>
      <c r="M1956" s="2" t="n">
        <v>1700</v>
      </c>
      <c r="N1956" s="2" t="n">
        <v>66</v>
      </c>
      <c r="O1956" s="2" t="n">
        <v>236</v>
      </c>
      <c r="P1956" s="2" t="n">
        <v>438</v>
      </c>
      <c r="Q1956" s="2" t="n">
        <v>406</v>
      </c>
      <c r="R1956" s="2" t="n">
        <v>103</v>
      </c>
      <c r="S1956" s="2" t="n">
        <v>18</v>
      </c>
      <c r="T1956" s="2" t="s">
        <v>62</v>
      </c>
      <c r="U1956" s="4" t="n">
        <f aca="false">(M1956+N1956+O1956+P1956)/L1956</f>
        <v>0.101429996674426</v>
      </c>
      <c r="V1956" s="2" t="str">
        <f aca="false">IF(S1956&lt;=5,"Late night (0-5)",IF(S1956&lt;=11,"Morning (6-11)",IF(S1956&lt;=17,"Afternoon (12-17)","Evening (18-23)")))</f>
        <v>Evening (18-23)</v>
      </c>
    </row>
    <row r="1957" customFormat="false" ht="15" hidden="false" customHeight="false" outlineLevel="0" collapsed="false">
      <c r="A1957" s="2" t="s">
        <v>3125</v>
      </c>
      <c r="B1957" s="2" t="s">
        <v>188</v>
      </c>
      <c r="C1957" s="2" t="s">
        <v>30</v>
      </c>
      <c r="D1957" s="3" t="n">
        <v>45757</v>
      </c>
      <c r="E1957" s="2" t="s">
        <v>3126</v>
      </c>
      <c r="F1957" s="2" t="s">
        <v>26</v>
      </c>
      <c r="G1957" s="2" t="n">
        <v>38900</v>
      </c>
      <c r="H1957" s="2" t="n">
        <v>20</v>
      </c>
      <c r="I1957" s="2" t="n">
        <v>167</v>
      </c>
      <c r="J1957" s="2" t="n">
        <v>1</v>
      </c>
      <c r="K1957" s="2" t="n">
        <v>144564</v>
      </c>
      <c r="L1957" s="2" t="n">
        <v>101214</v>
      </c>
      <c r="M1957" s="2" t="n">
        <v>8482</v>
      </c>
      <c r="N1957" s="2" t="n">
        <v>411</v>
      </c>
      <c r="O1957" s="2" t="n">
        <v>341</v>
      </c>
      <c r="P1957" s="2" t="n">
        <v>3034</v>
      </c>
      <c r="Q1957" s="2" t="n">
        <v>2146</v>
      </c>
      <c r="R1957" s="2" t="n">
        <v>526</v>
      </c>
      <c r="S1957" s="2" t="n">
        <v>8</v>
      </c>
      <c r="T1957" s="2" t="s">
        <v>79</v>
      </c>
      <c r="U1957" s="4" t="n">
        <f aca="false">(M1957+N1957+O1957+P1957)/L1957</f>
        <v>0.121208528464442</v>
      </c>
      <c r="V1957" s="2" t="str">
        <f aca="false">IF(S1957&lt;=5,"Late night (0-5)",IF(S1957&lt;=11,"Morning (6-11)",IF(S1957&lt;=17,"Afternoon (12-17)","Evening (18-23)")))</f>
        <v>Morning (6-11)</v>
      </c>
    </row>
    <row r="1958" customFormat="false" ht="15" hidden="false" customHeight="false" outlineLevel="0" collapsed="false">
      <c r="A1958" s="2" t="s">
        <v>3127</v>
      </c>
      <c r="B1958" s="2" t="s">
        <v>148</v>
      </c>
      <c r="C1958" s="2" t="s">
        <v>48</v>
      </c>
      <c r="D1958" s="3" t="n">
        <v>45709</v>
      </c>
      <c r="E1958" s="2" t="s">
        <v>1503</v>
      </c>
      <c r="F1958" s="2" t="s">
        <v>26</v>
      </c>
      <c r="G1958" s="2" t="n">
        <v>46311</v>
      </c>
      <c r="H1958" s="2" t="n">
        <v>17</v>
      </c>
      <c r="I1958" s="2" t="n">
        <v>309</v>
      </c>
      <c r="J1958" s="2" t="n">
        <v>0</v>
      </c>
      <c r="K1958" s="2" t="n">
        <v>33712</v>
      </c>
      <c r="L1958" s="2" t="n">
        <v>19666</v>
      </c>
      <c r="M1958" s="2" t="n">
        <v>1722</v>
      </c>
      <c r="N1958" s="2" t="n">
        <v>58</v>
      </c>
      <c r="O1958" s="2" t="n">
        <v>324</v>
      </c>
      <c r="P1958" s="2" t="n">
        <v>464</v>
      </c>
      <c r="Q1958" s="2" t="n">
        <v>306</v>
      </c>
      <c r="R1958" s="2" t="n">
        <v>58</v>
      </c>
      <c r="S1958" s="2" t="n">
        <v>4</v>
      </c>
      <c r="T1958" s="2" t="s">
        <v>96</v>
      </c>
      <c r="U1958" s="4" t="n">
        <f aca="false">(M1958+N1958+O1958+P1958)/L1958</f>
        <v>0.130580697650768</v>
      </c>
      <c r="V1958" s="2" t="str">
        <f aca="false">IF(S1958&lt;=5,"Late night (0-5)",IF(S1958&lt;=11,"Morning (6-11)",IF(S1958&lt;=17,"Afternoon (12-17)","Evening (18-23)")))</f>
        <v>Late night (0-5)</v>
      </c>
    </row>
    <row r="1959" customFormat="false" ht="15" hidden="false" customHeight="false" outlineLevel="0" collapsed="false">
      <c r="A1959" s="2" t="s">
        <v>3128</v>
      </c>
      <c r="B1959" s="2" t="s">
        <v>459</v>
      </c>
      <c r="C1959" s="2" t="s">
        <v>84</v>
      </c>
      <c r="D1959" s="3" t="n">
        <v>45831</v>
      </c>
      <c r="E1959" s="2" t="s">
        <v>3129</v>
      </c>
      <c r="F1959" s="2" t="s">
        <v>32</v>
      </c>
      <c r="G1959" s="2" t="n">
        <v>19744</v>
      </c>
      <c r="H1959" s="2" t="n">
        <v>9</v>
      </c>
      <c r="I1959" s="2" t="n">
        <v>155</v>
      </c>
      <c r="J1959" s="2" t="n">
        <v>1</v>
      </c>
      <c r="K1959" s="2" t="n">
        <v>90637</v>
      </c>
      <c r="L1959" s="2" t="n">
        <v>65670</v>
      </c>
      <c r="M1959" s="2" t="n">
        <v>7001</v>
      </c>
      <c r="N1959" s="2" t="n">
        <v>479</v>
      </c>
      <c r="O1959" s="2" t="n">
        <v>577</v>
      </c>
      <c r="P1959" s="2" t="n">
        <v>1079</v>
      </c>
      <c r="Q1959" s="2" t="n">
        <v>1035</v>
      </c>
      <c r="R1959" s="2" t="n">
        <v>145</v>
      </c>
      <c r="S1959" s="2" t="n">
        <v>20</v>
      </c>
      <c r="T1959" s="2" t="s">
        <v>33</v>
      </c>
      <c r="U1959" s="4" t="n">
        <f aca="false">(M1959+N1959+O1959+P1959)/L1959</f>
        <v>0.139119841632404</v>
      </c>
      <c r="V1959" s="2" t="str">
        <f aca="false">IF(S1959&lt;=5,"Late night (0-5)",IF(S1959&lt;=11,"Morning (6-11)",IF(S1959&lt;=17,"Afternoon (12-17)","Evening (18-23)")))</f>
        <v>Evening (18-23)</v>
      </c>
    </row>
    <row r="1960" customFormat="false" ht="15" hidden="false" customHeight="false" outlineLevel="0" collapsed="false">
      <c r="A1960" s="2" t="s">
        <v>3130</v>
      </c>
      <c r="B1960" s="2" t="s">
        <v>111</v>
      </c>
      <c r="C1960" s="2" t="s">
        <v>48</v>
      </c>
      <c r="D1960" s="3" t="n">
        <v>45970</v>
      </c>
      <c r="E1960" s="2" t="s">
        <v>3001</v>
      </c>
      <c r="F1960" s="2" t="s">
        <v>32</v>
      </c>
      <c r="G1960" s="2" t="n">
        <v>16824</v>
      </c>
      <c r="H1960" s="2" t="n">
        <v>7</v>
      </c>
      <c r="I1960" s="2" t="n">
        <v>100</v>
      </c>
      <c r="J1960" s="2" t="n">
        <v>0</v>
      </c>
      <c r="K1960" s="2" t="n">
        <v>8820</v>
      </c>
      <c r="L1960" s="2" t="n">
        <v>7546</v>
      </c>
      <c r="M1960" s="2" t="n">
        <v>398</v>
      </c>
      <c r="N1960" s="2" t="n">
        <v>13</v>
      </c>
      <c r="O1960" s="2" t="n">
        <v>111</v>
      </c>
      <c r="P1960" s="2" t="n">
        <v>54</v>
      </c>
      <c r="Q1960" s="2" t="n">
        <v>195</v>
      </c>
      <c r="R1960" s="2" t="n">
        <v>33</v>
      </c>
      <c r="S1960" s="2" t="n">
        <v>6</v>
      </c>
      <c r="T1960" s="2" t="s">
        <v>27</v>
      </c>
      <c r="U1960" s="4" t="n">
        <f aca="false">(M1960+N1960+O1960+P1960)/L1960</f>
        <v>0.0763318314338723</v>
      </c>
      <c r="V1960" s="2" t="str">
        <f aca="false">IF(S1960&lt;=5,"Late night (0-5)",IF(S1960&lt;=11,"Morning (6-11)",IF(S1960&lt;=17,"Afternoon (12-17)","Evening (18-23)")))</f>
        <v>Morning (6-11)</v>
      </c>
    </row>
    <row r="1961" customFormat="false" ht="15" hidden="false" customHeight="false" outlineLevel="0" collapsed="false">
      <c r="A1961" s="2" t="s">
        <v>3131</v>
      </c>
      <c r="B1961" s="2" t="s">
        <v>206</v>
      </c>
      <c r="C1961" s="2" t="s">
        <v>48</v>
      </c>
      <c r="D1961" s="3" t="n">
        <v>45725</v>
      </c>
      <c r="E1961" s="2" t="s">
        <v>1564</v>
      </c>
      <c r="F1961" s="2" t="s">
        <v>32</v>
      </c>
      <c r="G1961" s="2" t="n">
        <v>42937</v>
      </c>
      <c r="H1961" s="2" t="n">
        <v>12</v>
      </c>
      <c r="I1961" s="2" t="n">
        <v>80</v>
      </c>
      <c r="J1961" s="2" t="n">
        <v>1</v>
      </c>
      <c r="K1961" s="2" t="n">
        <v>41997</v>
      </c>
      <c r="L1961" s="2" t="n">
        <v>36616</v>
      </c>
      <c r="M1961" s="2" t="n">
        <v>2571</v>
      </c>
      <c r="N1961" s="2" t="n">
        <v>116</v>
      </c>
      <c r="O1961" s="2" t="n">
        <v>202</v>
      </c>
      <c r="P1961" s="2" t="n">
        <v>414</v>
      </c>
      <c r="Q1961" s="2" t="n">
        <v>768</v>
      </c>
      <c r="R1961" s="2" t="n">
        <v>216</v>
      </c>
      <c r="S1961" s="2" t="n">
        <v>14</v>
      </c>
      <c r="T1961" s="2" t="s">
        <v>27</v>
      </c>
      <c r="U1961" s="4" t="n">
        <f aca="false">(M1961+N1961+O1961+P1961)/L1961</f>
        <v>0.0902064671181997</v>
      </c>
      <c r="V1961" s="2" t="str">
        <f aca="false">IF(S1961&lt;=5,"Late night (0-5)",IF(S1961&lt;=11,"Morning (6-11)",IF(S1961&lt;=17,"Afternoon (12-17)","Evening (18-23)")))</f>
        <v>Afternoon (12-17)</v>
      </c>
    </row>
    <row r="1962" customFormat="false" ht="15" hidden="false" customHeight="false" outlineLevel="0" collapsed="false">
      <c r="A1962" s="2" t="s">
        <v>3132</v>
      </c>
      <c r="B1962" s="2" t="s">
        <v>126</v>
      </c>
      <c r="C1962" s="2" t="s">
        <v>36</v>
      </c>
      <c r="D1962" s="3" t="n">
        <v>45779</v>
      </c>
      <c r="E1962" s="2" t="s">
        <v>1328</v>
      </c>
      <c r="F1962" s="2" t="s">
        <v>32</v>
      </c>
      <c r="G1962" s="2" t="n">
        <v>28784</v>
      </c>
      <c r="H1962" s="2" t="n">
        <v>16</v>
      </c>
      <c r="I1962" s="2" t="n">
        <v>190</v>
      </c>
      <c r="J1962" s="2" t="n">
        <v>0</v>
      </c>
      <c r="K1962" s="2" t="n">
        <v>21218</v>
      </c>
      <c r="L1962" s="2" t="n">
        <v>18496</v>
      </c>
      <c r="M1962" s="2" t="n">
        <v>1091</v>
      </c>
      <c r="N1962" s="2" t="n">
        <v>35</v>
      </c>
      <c r="O1962" s="2" t="n">
        <v>297</v>
      </c>
      <c r="P1962" s="2" t="n">
        <v>127</v>
      </c>
      <c r="Q1962" s="2" t="n">
        <v>543</v>
      </c>
      <c r="R1962" s="2" t="n">
        <v>93</v>
      </c>
      <c r="S1962" s="2" t="n">
        <v>16</v>
      </c>
      <c r="T1962" s="2" t="s">
        <v>96</v>
      </c>
      <c r="U1962" s="4" t="n">
        <f aca="false">(M1962+N1962+O1962+P1962)/L1962</f>
        <v>0.0838019031141869</v>
      </c>
      <c r="V1962" s="2" t="str">
        <f aca="false">IF(S1962&lt;=5,"Late night (0-5)",IF(S1962&lt;=11,"Morning (6-11)",IF(S1962&lt;=17,"Afternoon (12-17)","Evening (18-23)")))</f>
        <v>Afternoon (12-17)</v>
      </c>
    </row>
    <row r="1963" customFormat="false" ht="15" hidden="false" customHeight="false" outlineLevel="0" collapsed="false">
      <c r="A1963" s="2" t="s">
        <v>3133</v>
      </c>
      <c r="B1963" s="2" t="s">
        <v>68</v>
      </c>
      <c r="C1963" s="2" t="s">
        <v>54</v>
      </c>
      <c r="D1963" s="3" t="n">
        <v>45761</v>
      </c>
      <c r="E1963" s="2" t="s">
        <v>136</v>
      </c>
      <c r="F1963" s="2" t="s">
        <v>32</v>
      </c>
      <c r="G1963" s="2" t="n">
        <v>35922</v>
      </c>
      <c r="H1963" s="2" t="n">
        <v>17</v>
      </c>
      <c r="I1963" s="2" t="n">
        <v>35</v>
      </c>
      <c r="J1963" s="2" t="n">
        <v>1</v>
      </c>
      <c r="K1963" s="2" t="n">
        <v>29876</v>
      </c>
      <c r="L1963" s="2" t="n">
        <v>21339</v>
      </c>
      <c r="M1963" s="2" t="n">
        <v>1475</v>
      </c>
      <c r="N1963" s="2" t="n">
        <v>113</v>
      </c>
      <c r="O1963" s="2" t="n">
        <v>202</v>
      </c>
      <c r="P1963" s="2" t="n">
        <v>161</v>
      </c>
      <c r="Q1963" s="2" t="n">
        <v>148</v>
      </c>
      <c r="R1963" s="2" t="n">
        <v>26</v>
      </c>
      <c r="S1963" s="2" t="n">
        <v>0</v>
      </c>
      <c r="T1963" s="2" t="s">
        <v>33</v>
      </c>
      <c r="U1963" s="4" t="n">
        <f aca="false">(M1963+N1963+O1963+P1963)/L1963</f>
        <v>0.0914288392145836</v>
      </c>
      <c r="V1963" s="2" t="str">
        <f aca="false">IF(S1963&lt;=5,"Late night (0-5)",IF(S1963&lt;=11,"Morning (6-11)",IF(S1963&lt;=17,"Afternoon (12-17)","Evening (18-23)")))</f>
        <v>Late night (0-5)</v>
      </c>
    </row>
    <row r="1964" customFormat="false" ht="15" hidden="false" customHeight="false" outlineLevel="0" collapsed="false">
      <c r="A1964" s="2" t="s">
        <v>3134</v>
      </c>
      <c r="B1964" s="2" t="s">
        <v>462</v>
      </c>
      <c r="C1964" s="2" t="s">
        <v>84</v>
      </c>
      <c r="D1964" s="3" t="n">
        <v>45753</v>
      </c>
      <c r="E1964" s="2" t="s">
        <v>1789</v>
      </c>
      <c r="F1964" s="2" t="s">
        <v>38</v>
      </c>
      <c r="G1964" s="2" t="n">
        <v>43510</v>
      </c>
      <c r="H1964" s="2" t="n">
        <v>17</v>
      </c>
      <c r="I1964" s="2" t="n">
        <v>257</v>
      </c>
      <c r="J1964" s="2" t="n">
        <v>1</v>
      </c>
      <c r="K1964" s="2" t="n">
        <v>36279</v>
      </c>
      <c r="L1964" s="2" t="n">
        <v>29533</v>
      </c>
      <c r="M1964" s="2" t="n">
        <v>1821</v>
      </c>
      <c r="N1964" s="2" t="n">
        <v>71</v>
      </c>
      <c r="O1964" s="2" t="n">
        <v>251</v>
      </c>
      <c r="P1964" s="2" t="n">
        <v>187</v>
      </c>
      <c r="Q1964" s="2" t="n">
        <v>734</v>
      </c>
      <c r="R1964" s="2" t="n">
        <v>141</v>
      </c>
      <c r="S1964" s="2" t="n">
        <v>23</v>
      </c>
      <c r="T1964" s="2" t="s">
        <v>27</v>
      </c>
      <c r="U1964" s="4" t="n">
        <f aca="false">(M1964+N1964+O1964+P1964)/L1964</f>
        <v>0.0788947956523211</v>
      </c>
      <c r="V1964" s="2" t="str">
        <f aca="false">IF(S1964&lt;=5,"Late night (0-5)",IF(S1964&lt;=11,"Morning (6-11)",IF(S1964&lt;=17,"Afternoon (12-17)","Evening (18-23)")))</f>
        <v>Evening (18-23)</v>
      </c>
    </row>
    <row r="1965" customFormat="false" ht="15" hidden="false" customHeight="false" outlineLevel="0" collapsed="false">
      <c r="A1965" s="2" t="s">
        <v>3135</v>
      </c>
      <c r="B1965" s="2" t="s">
        <v>126</v>
      </c>
      <c r="C1965" s="2" t="s">
        <v>36</v>
      </c>
      <c r="D1965" s="3" t="n">
        <v>45726</v>
      </c>
      <c r="E1965" s="2" t="s">
        <v>500</v>
      </c>
      <c r="F1965" s="2" t="s">
        <v>38</v>
      </c>
      <c r="G1965" s="2" t="n">
        <v>28784</v>
      </c>
      <c r="H1965" s="2" t="n">
        <v>11</v>
      </c>
      <c r="I1965" s="2" t="n">
        <v>52</v>
      </c>
      <c r="J1965" s="2" t="n">
        <v>1</v>
      </c>
      <c r="K1965" s="2" t="n">
        <v>43923</v>
      </c>
      <c r="L1965" s="2" t="n">
        <v>27301</v>
      </c>
      <c r="M1965" s="2" t="n">
        <v>1109</v>
      </c>
      <c r="N1965" s="2" t="n">
        <v>56</v>
      </c>
      <c r="O1965" s="2" t="n">
        <v>207</v>
      </c>
      <c r="P1965" s="2" t="n">
        <v>128</v>
      </c>
      <c r="Q1965" s="2" t="n">
        <v>624</v>
      </c>
      <c r="R1965" s="2" t="n">
        <v>180</v>
      </c>
      <c r="S1965" s="2" t="n">
        <v>17</v>
      </c>
      <c r="T1965" s="2" t="s">
        <v>33</v>
      </c>
      <c r="U1965" s="4" t="n">
        <f aca="false">(M1965+N1965+O1965+P1965)/L1965</f>
        <v>0.0549430423794</v>
      </c>
      <c r="V1965" s="2" t="str">
        <f aca="false">IF(S1965&lt;=5,"Late night (0-5)",IF(S1965&lt;=11,"Morning (6-11)",IF(S1965&lt;=17,"Afternoon (12-17)","Evening (18-23)")))</f>
        <v>Afternoon (12-17)</v>
      </c>
    </row>
    <row r="1966" customFormat="false" ht="15" hidden="false" customHeight="false" outlineLevel="0" collapsed="false">
      <c r="A1966" s="2" t="s">
        <v>3136</v>
      </c>
      <c r="B1966" s="2" t="s">
        <v>129</v>
      </c>
      <c r="C1966" s="2" t="s">
        <v>54</v>
      </c>
      <c r="D1966" s="3" t="n">
        <v>45661</v>
      </c>
      <c r="E1966" s="2" t="s">
        <v>315</v>
      </c>
      <c r="F1966" s="2" t="s">
        <v>32</v>
      </c>
      <c r="G1966" s="2" t="n">
        <v>10312</v>
      </c>
      <c r="H1966" s="2" t="n">
        <v>15</v>
      </c>
      <c r="I1966" s="2" t="n">
        <v>183</v>
      </c>
      <c r="J1966" s="2" t="n">
        <v>0</v>
      </c>
      <c r="K1966" s="2" t="n">
        <v>14371</v>
      </c>
      <c r="L1966" s="2" t="n">
        <v>12327</v>
      </c>
      <c r="M1966" s="2" t="n">
        <v>1266</v>
      </c>
      <c r="N1966" s="2" t="n">
        <v>68</v>
      </c>
      <c r="O1966" s="2" t="n">
        <v>144</v>
      </c>
      <c r="P1966" s="2" t="n">
        <v>347</v>
      </c>
      <c r="Q1966" s="2" t="n">
        <v>98</v>
      </c>
      <c r="R1966" s="2" t="n">
        <v>7</v>
      </c>
      <c r="S1966" s="2" t="n">
        <v>9</v>
      </c>
      <c r="T1966" s="2" t="s">
        <v>62</v>
      </c>
      <c r="U1966" s="4" t="n">
        <f aca="false">(M1966+N1966+O1966+P1966)/L1966</f>
        <v>0.148048998134177</v>
      </c>
      <c r="V1966" s="2" t="str">
        <f aca="false">IF(S1966&lt;=5,"Late night (0-5)",IF(S1966&lt;=11,"Morning (6-11)",IF(S1966&lt;=17,"Afternoon (12-17)","Evening (18-23)")))</f>
        <v>Morning (6-11)</v>
      </c>
    </row>
    <row r="1967" customFormat="false" ht="15" hidden="false" customHeight="false" outlineLevel="0" collapsed="false">
      <c r="A1967" s="2" t="s">
        <v>3137</v>
      </c>
      <c r="B1967" s="2" t="s">
        <v>87</v>
      </c>
      <c r="C1967" s="2" t="s">
        <v>36</v>
      </c>
      <c r="D1967" s="3" t="n">
        <v>45803</v>
      </c>
      <c r="E1967" s="2" t="s">
        <v>2219</v>
      </c>
      <c r="F1967" s="2" t="s">
        <v>26</v>
      </c>
      <c r="G1967" s="2" t="n">
        <v>25592</v>
      </c>
      <c r="H1967" s="2" t="n">
        <v>15</v>
      </c>
      <c r="I1967" s="2" t="n">
        <v>370</v>
      </c>
      <c r="J1967" s="2" t="n">
        <v>1</v>
      </c>
      <c r="K1967" s="2" t="n">
        <v>9391</v>
      </c>
      <c r="L1967" s="2" t="n">
        <v>7906</v>
      </c>
      <c r="M1967" s="2" t="n">
        <v>499</v>
      </c>
      <c r="N1967" s="2" t="n">
        <v>20</v>
      </c>
      <c r="O1967" s="2" t="n">
        <v>94</v>
      </c>
      <c r="P1967" s="2" t="n">
        <v>144</v>
      </c>
      <c r="Q1967" s="2" t="n">
        <v>142</v>
      </c>
      <c r="R1967" s="2" t="n">
        <v>35</v>
      </c>
      <c r="S1967" s="2" t="n">
        <v>2</v>
      </c>
      <c r="T1967" s="2" t="s">
        <v>33</v>
      </c>
      <c r="U1967" s="4" t="n">
        <f aca="false">(M1967+N1967+O1967+P1967)/L1967</f>
        <v>0.0957500632431065</v>
      </c>
      <c r="V1967" s="2" t="str">
        <f aca="false">IF(S1967&lt;=5,"Late night (0-5)",IF(S1967&lt;=11,"Morning (6-11)",IF(S1967&lt;=17,"Afternoon (12-17)","Evening (18-23)")))</f>
        <v>Late night (0-5)</v>
      </c>
    </row>
    <row r="1968" customFormat="false" ht="15" hidden="false" customHeight="false" outlineLevel="0" collapsed="false">
      <c r="A1968" s="2" t="s">
        <v>3138</v>
      </c>
      <c r="B1968" s="2" t="s">
        <v>114</v>
      </c>
      <c r="C1968" s="2" t="s">
        <v>84</v>
      </c>
      <c r="D1968" s="3" t="n">
        <v>45917</v>
      </c>
      <c r="E1968" s="2" t="s">
        <v>3139</v>
      </c>
      <c r="F1968" s="2" t="s">
        <v>26</v>
      </c>
      <c r="G1968" s="2" t="n">
        <v>64307</v>
      </c>
      <c r="H1968" s="2" t="n">
        <v>19</v>
      </c>
      <c r="I1968" s="2" t="n">
        <v>10</v>
      </c>
      <c r="J1968" s="2" t="n">
        <v>1</v>
      </c>
      <c r="K1968" s="2" t="n">
        <v>66798</v>
      </c>
      <c r="L1968" s="2" t="n">
        <v>44194</v>
      </c>
      <c r="M1968" s="2" t="n">
        <v>1707</v>
      </c>
      <c r="N1968" s="2" t="n">
        <v>57</v>
      </c>
      <c r="O1968" s="2" t="n">
        <v>214</v>
      </c>
      <c r="P1968" s="2" t="n">
        <v>280</v>
      </c>
      <c r="Q1968" s="2" t="n">
        <v>927</v>
      </c>
      <c r="R1968" s="2" t="n">
        <v>206</v>
      </c>
      <c r="S1968" s="2" t="n">
        <v>16</v>
      </c>
      <c r="T1968" s="2" t="s">
        <v>66</v>
      </c>
      <c r="U1968" s="4" t="n">
        <f aca="false">(M1968+N1968+O1968+P1968)/L1968</f>
        <v>0.0510929085396208</v>
      </c>
      <c r="V1968" s="2" t="str">
        <f aca="false">IF(S1968&lt;=5,"Late night (0-5)",IF(S1968&lt;=11,"Morning (6-11)",IF(S1968&lt;=17,"Afternoon (12-17)","Evening (18-23)")))</f>
        <v>Afternoon (12-17)</v>
      </c>
    </row>
    <row r="1969" customFormat="false" ht="15" hidden="false" customHeight="false" outlineLevel="0" collapsed="false">
      <c r="A1969" s="2" t="s">
        <v>3140</v>
      </c>
      <c r="B1969" s="2" t="s">
        <v>29</v>
      </c>
      <c r="C1969" s="2" t="s">
        <v>30</v>
      </c>
      <c r="D1969" s="3" t="n">
        <v>45770</v>
      </c>
      <c r="E1969" s="2" t="s">
        <v>37</v>
      </c>
      <c r="F1969" s="2" t="s">
        <v>26</v>
      </c>
      <c r="G1969" s="2" t="n">
        <v>11612</v>
      </c>
      <c r="H1969" s="2" t="n">
        <v>8</v>
      </c>
      <c r="I1969" s="2" t="n">
        <v>139</v>
      </c>
      <c r="J1969" s="2" t="n">
        <v>0</v>
      </c>
      <c r="K1969" s="2" t="n">
        <v>11617</v>
      </c>
      <c r="L1969" s="2" t="n">
        <v>9991</v>
      </c>
      <c r="M1969" s="2" t="n">
        <v>349</v>
      </c>
      <c r="N1969" s="2" t="n">
        <v>14</v>
      </c>
      <c r="O1969" s="2" t="n">
        <v>46</v>
      </c>
      <c r="P1969" s="2" t="n">
        <v>25</v>
      </c>
      <c r="Q1969" s="2" t="n">
        <v>178</v>
      </c>
      <c r="R1969" s="2" t="n">
        <v>52</v>
      </c>
      <c r="S1969" s="2" t="n">
        <v>8</v>
      </c>
      <c r="T1969" s="2" t="s">
        <v>66</v>
      </c>
      <c r="U1969" s="4" t="n">
        <f aca="false">(M1969+N1969+O1969+P1969)/L1969</f>
        <v>0.0434390951856671</v>
      </c>
      <c r="V1969" s="2" t="str">
        <f aca="false">IF(S1969&lt;=5,"Late night (0-5)",IF(S1969&lt;=11,"Morning (6-11)",IF(S1969&lt;=17,"Afternoon (12-17)","Evening (18-23)")))</f>
        <v>Morning (6-11)</v>
      </c>
    </row>
    <row r="1970" customFormat="false" ht="15" hidden="false" customHeight="false" outlineLevel="0" collapsed="false">
      <c r="A1970" s="2" t="s">
        <v>3141</v>
      </c>
      <c r="B1970" s="2" t="s">
        <v>138</v>
      </c>
      <c r="C1970" s="2" t="s">
        <v>41</v>
      </c>
      <c r="D1970" s="3" t="n">
        <v>45802</v>
      </c>
      <c r="E1970" s="2" t="s">
        <v>3142</v>
      </c>
      <c r="F1970" s="2" t="s">
        <v>26</v>
      </c>
      <c r="G1970" s="2" t="n">
        <v>18712</v>
      </c>
      <c r="H1970" s="2" t="n">
        <v>12</v>
      </c>
      <c r="I1970" s="2" t="n">
        <v>129</v>
      </c>
      <c r="J1970" s="2" t="n">
        <v>0</v>
      </c>
      <c r="K1970" s="2" t="n">
        <v>72323</v>
      </c>
      <c r="L1970" s="2" t="n">
        <v>41341</v>
      </c>
      <c r="M1970" s="2" t="n">
        <v>2157</v>
      </c>
      <c r="N1970" s="2" t="n">
        <v>57</v>
      </c>
      <c r="O1970" s="2" t="n">
        <v>125</v>
      </c>
      <c r="P1970" s="2" t="n">
        <v>524</v>
      </c>
      <c r="Q1970" s="2" t="n">
        <v>289</v>
      </c>
      <c r="R1970" s="2" t="n">
        <v>66</v>
      </c>
      <c r="S1970" s="2" t="n">
        <v>0</v>
      </c>
      <c r="T1970" s="2" t="s">
        <v>27</v>
      </c>
      <c r="U1970" s="4" t="n">
        <f aca="false">(M1970+N1970+O1970+P1970)/L1970</f>
        <v>0.0692532836651266</v>
      </c>
      <c r="V1970" s="2" t="str">
        <f aca="false">IF(S1970&lt;=5,"Late night (0-5)",IF(S1970&lt;=11,"Morning (6-11)",IF(S1970&lt;=17,"Afternoon (12-17)","Evening (18-23)")))</f>
        <v>Late night (0-5)</v>
      </c>
    </row>
    <row r="1971" customFormat="false" ht="15" hidden="false" customHeight="false" outlineLevel="0" collapsed="false">
      <c r="A1971" s="2" t="s">
        <v>3143</v>
      </c>
      <c r="B1971" s="2" t="s">
        <v>40</v>
      </c>
      <c r="C1971" s="2" t="s">
        <v>41</v>
      </c>
      <c r="D1971" s="3" t="n">
        <v>45866</v>
      </c>
      <c r="E1971" s="2" t="s">
        <v>2745</v>
      </c>
      <c r="F1971" s="2" t="s">
        <v>26</v>
      </c>
      <c r="G1971" s="2" t="n">
        <v>23051</v>
      </c>
      <c r="H1971" s="2" t="n">
        <v>23</v>
      </c>
      <c r="I1971" s="2" t="n">
        <v>246</v>
      </c>
      <c r="J1971" s="2" t="n">
        <v>0</v>
      </c>
      <c r="K1971" s="2" t="n">
        <v>71909</v>
      </c>
      <c r="L1971" s="2" t="n">
        <v>46904</v>
      </c>
      <c r="M1971" s="2" t="n">
        <v>2781</v>
      </c>
      <c r="N1971" s="2" t="n">
        <v>158</v>
      </c>
      <c r="O1971" s="2" t="n">
        <v>379</v>
      </c>
      <c r="P1971" s="2" t="n">
        <v>209</v>
      </c>
      <c r="Q1971" s="2" t="n">
        <v>859</v>
      </c>
      <c r="R1971" s="2" t="n">
        <v>150</v>
      </c>
      <c r="S1971" s="2" t="n">
        <v>13</v>
      </c>
      <c r="T1971" s="2" t="s">
        <v>33</v>
      </c>
      <c r="U1971" s="4" t="n">
        <f aca="false">(M1971+N1971+O1971+P1971)/L1971</f>
        <v>0.0751961453180965</v>
      </c>
      <c r="V1971" s="2" t="str">
        <f aca="false">IF(S1971&lt;=5,"Late night (0-5)",IF(S1971&lt;=11,"Morning (6-11)",IF(S1971&lt;=17,"Afternoon (12-17)","Evening (18-23)")))</f>
        <v>Afternoon (12-17)</v>
      </c>
    </row>
    <row r="1972" customFormat="false" ht="15" hidden="false" customHeight="false" outlineLevel="0" collapsed="false">
      <c r="A1972" s="2" t="s">
        <v>3144</v>
      </c>
      <c r="B1972" s="2" t="s">
        <v>35</v>
      </c>
      <c r="C1972" s="2" t="s">
        <v>36</v>
      </c>
      <c r="D1972" s="3" t="n">
        <v>45721</v>
      </c>
      <c r="E1972" s="2" t="s">
        <v>1557</v>
      </c>
      <c r="F1972" s="2" t="s">
        <v>32</v>
      </c>
      <c r="G1972" s="2" t="n">
        <v>33933</v>
      </c>
      <c r="H1972" s="2" t="n">
        <v>8</v>
      </c>
      <c r="I1972" s="2" t="n">
        <v>181</v>
      </c>
      <c r="J1972" s="2" t="n">
        <v>1</v>
      </c>
      <c r="K1972" s="2" t="n">
        <v>75706</v>
      </c>
      <c r="L1972" s="2" t="n">
        <v>44931</v>
      </c>
      <c r="M1972" s="2" t="n">
        <v>3576</v>
      </c>
      <c r="N1972" s="2" t="n">
        <v>86</v>
      </c>
      <c r="O1972" s="2" t="n">
        <v>564</v>
      </c>
      <c r="P1972" s="2" t="n">
        <v>457</v>
      </c>
      <c r="Q1972" s="2" t="n">
        <v>945</v>
      </c>
      <c r="R1972" s="2" t="n">
        <v>192</v>
      </c>
      <c r="S1972" s="2" t="n">
        <v>17</v>
      </c>
      <c r="T1972" s="2" t="s">
        <v>66</v>
      </c>
      <c r="U1972" s="4" t="n">
        <f aca="false">(M1972+N1972+O1972+P1972)/L1972</f>
        <v>0.104226480603592</v>
      </c>
      <c r="V1972" s="2" t="str">
        <f aca="false">IF(S1972&lt;=5,"Late night (0-5)",IF(S1972&lt;=11,"Morning (6-11)",IF(S1972&lt;=17,"Afternoon (12-17)","Evening (18-23)")))</f>
        <v>Afternoon (12-17)</v>
      </c>
    </row>
    <row r="1973" customFormat="false" ht="15" hidden="false" customHeight="false" outlineLevel="0" collapsed="false">
      <c r="A1973" s="2" t="s">
        <v>3145</v>
      </c>
      <c r="B1973" s="2" t="s">
        <v>57</v>
      </c>
      <c r="C1973" s="2" t="s">
        <v>24</v>
      </c>
      <c r="D1973" s="3" t="n">
        <v>45920</v>
      </c>
      <c r="E1973" s="2" t="s">
        <v>2802</v>
      </c>
      <c r="F1973" s="2" t="s">
        <v>38</v>
      </c>
      <c r="G1973" s="2" t="n">
        <v>31021</v>
      </c>
      <c r="H1973" s="2" t="n">
        <v>11</v>
      </c>
      <c r="I1973" s="2" t="n">
        <v>55</v>
      </c>
      <c r="J1973" s="2" t="n">
        <v>0</v>
      </c>
      <c r="K1973" s="2" t="n">
        <v>21923</v>
      </c>
      <c r="L1973" s="2" t="n">
        <v>17523</v>
      </c>
      <c r="M1973" s="2" t="n">
        <v>1084</v>
      </c>
      <c r="N1973" s="2" t="n">
        <v>72</v>
      </c>
      <c r="O1973" s="2" t="n">
        <v>77</v>
      </c>
      <c r="P1973" s="2" t="n">
        <v>116</v>
      </c>
      <c r="Q1973" s="2" t="n">
        <v>99</v>
      </c>
      <c r="R1973" s="2" t="n">
        <v>28</v>
      </c>
      <c r="S1973" s="2" t="n">
        <v>14</v>
      </c>
      <c r="T1973" s="2" t="s">
        <v>62</v>
      </c>
      <c r="U1973" s="4" t="n">
        <f aca="false">(M1973+N1973+O1973+P1973)/L1973</f>
        <v>0.0769845346116533</v>
      </c>
      <c r="V1973" s="2" t="str">
        <f aca="false">IF(S1973&lt;=5,"Late night (0-5)",IF(S1973&lt;=11,"Morning (6-11)",IF(S1973&lt;=17,"Afternoon (12-17)","Evening (18-23)")))</f>
        <v>Afternoon (12-17)</v>
      </c>
    </row>
    <row r="1974" customFormat="false" ht="15" hidden="false" customHeight="false" outlineLevel="0" collapsed="false">
      <c r="A1974" s="2" t="s">
        <v>3146</v>
      </c>
      <c r="B1974" s="2" t="s">
        <v>240</v>
      </c>
      <c r="C1974" s="2" t="s">
        <v>41</v>
      </c>
      <c r="D1974" s="3" t="n">
        <v>45771</v>
      </c>
      <c r="E1974" s="2" t="s">
        <v>522</v>
      </c>
      <c r="F1974" s="2" t="s">
        <v>38</v>
      </c>
      <c r="G1974" s="2" t="n">
        <v>83197</v>
      </c>
      <c r="H1974" s="2" t="n">
        <v>19</v>
      </c>
      <c r="I1974" s="2" t="n">
        <v>134</v>
      </c>
      <c r="J1974" s="2" t="n">
        <v>1</v>
      </c>
      <c r="K1974" s="2" t="n">
        <v>133237</v>
      </c>
      <c r="L1974" s="2" t="n">
        <v>95129</v>
      </c>
      <c r="M1974" s="2" t="n">
        <v>7045</v>
      </c>
      <c r="N1974" s="2" t="n">
        <v>211</v>
      </c>
      <c r="O1974" s="2" t="n">
        <v>967</v>
      </c>
      <c r="P1974" s="2" t="n">
        <v>892</v>
      </c>
      <c r="Q1974" s="2" t="n">
        <v>1383</v>
      </c>
      <c r="R1974" s="2" t="n">
        <v>317</v>
      </c>
      <c r="S1974" s="2" t="n">
        <v>12</v>
      </c>
      <c r="T1974" s="2" t="s">
        <v>79</v>
      </c>
      <c r="U1974" s="4" t="n">
        <f aca="false">(M1974+N1974+O1974+P1974)/L1974</f>
        <v>0.0958172586698063</v>
      </c>
      <c r="V1974" s="2" t="str">
        <f aca="false">IF(S1974&lt;=5,"Late night (0-5)",IF(S1974&lt;=11,"Morning (6-11)",IF(S1974&lt;=17,"Afternoon (12-17)","Evening (18-23)")))</f>
        <v>Afternoon (12-17)</v>
      </c>
    </row>
    <row r="1975" customFormat="false" ht="15" hidden="false" customHeight="false" outlineLevel="0" collapsed="false">
      <c r="A1975" s="2" t="s">
        <v>3147</v>
      </c>
      <c r="B1975" s="2" t="s">
        <v>310</v>
      </c>
      <c r="C1975" s="2" t="s">
        <v>91</v>
      </c>
      <c r="D1975" s="3" t="n">
        <v>45756</v>
      </c>
      <c r="E1975" s="2" t="s">
        <v>908</v>
      </c>
      <c r="F1975" s="2" t="s">
        <v>26</v>
      </c>
      <c r="G1975" s="2" t="n">
        <v>56571</v>
      </c>
      <c r="H1975" s="2" t="n">
        <v>10</v>
      </c>
      <c r="I1975" s="2" t="n">
        <v>443</v>
      </c>
      <c r="J1975" s="2" t="n">
        <v>1</v>
      </c>
      <c r="K1975" s="2" t="n">
        <v>13920</v>
      </c>
      <c r="L1975" s="2" t="n">
        <v>8436</v>
      </c>
      <c r="M1975" s="2" t="n">
        <v>736</v>
      </c>
      <c r="N1975" s="2" t="n">
        <v>21</v>
      </c>
      <c r="O1975" s="2" t="n">
        <v>133</v>
      </c>
      <c r="P1975" s="2" t="n">
        <v>248</v>
      </c>
      <c r="Q1975" s="2" t="n">
        <v>190</v>
      </c>
      <c r="R1975" s="2" t="n">
        <v>24</v>
      </c>
      <c r="S1975" s="2" t="n">
        <v>3</v>
      </c>
      <c r="T1975" s="2" t="s">
        <v>66</v>
      </c>
      <c r="U1975" s="4" t="n">
        <f aca="false">(M1975+N1975+O1975+P1975)/L1975</f>
        <v>0.134898055950688</v>
      </c>
      <c r="V1975" s="2" t="str">
        <f aca="false">IF(S1975&lt;=5,"Late night (0-5)",IF(S1975&lt;=11,"Morning (6-11)",IF(S1975&lt;=17,"Afternoon (12-17)","Evening (18-23)")))</f>
        <v>Late night (0-5)</v>
      </c>
    </row>
    <row r="1976" customFormat="false" ht="15" hidden="false" customHeight="false" outlineLevel="0" collapsed="false">
      <c r="A1976" s="2" t="s">
        <v>3148</v>
      </c>
      <c r="B1976" s="2" t="s">
        <v>310</v>
      </c>
      <c r="C1976" s="2" t="s">
        <v>91</v>
      </c>
      <c r="D1976" s="3" t="n">
        <v>45804</v>
      </c>
      <c r="E1976" s="2" t="s">
        <v>3149</v>
      </c>
      <c r="F1976" s="2" t="s">
        <v>32</v>
      </c>
      <c r="G1976" s="2" t="n">
        <v>56571</v>
      </c>
      <c r="H1976" s="2" t="n">
        <v>18</v>
      </c>
      <c r="I1976" s="2" t="n">
        <v>115</v>
      </c>
      <c r="J1976" s="2" t="n">
        <v>1</v>
      </c>
      <c r="K1976" s="2" t="n">
        <v>26552</v>
      </c>
      <c r="L1976" s="2" t="n">
        <v>16506</v>
      </c>
      <c r="M1976" s="2" t="n">
        <v>909</v>
      </c>
      <c r="N1976" s="2" t="n">
        <v>37</v>
      </c>
      <c r="O1976" s="2" t="n">
        <v>262</v>
      </c>
      <c r="P1976" s="2" t="n">
        <v>69</v>
      </c>
      <c r="Q1976" s="2" t="n">
        <v>158</v>
      </c>
      <c r="R1976" s="2" t="n">
        <v>24</v>
      </c>
      <c r="S1976" s="2" t="n">
        <v>6</v>
      </c>
      <c r="T1976" s="2" t="s">
        <v>51</v>
      </c>
      <c r="U1976" s="4" t="n">
        <f aca="false">(M1976+N1976+O1976+P1976)/L1976</f>
        <v>0.07736580637344</v>
      </c>
      <c r="V1976" s="2" t="str">
        <f aca="false">IF(S1976&lt;=5,"Late night (0-5)",IF(S1976&lt;=11,"Morning (6-11)",IF(S1976&lt;=17,"Afternoon (12-17)","Evening (18-23)")))</f>
        <v>Morning (6-11)</v>
      </c>
    </row>
    <row r="1977" customFormat="false" ht="15" hidden="false" customHeight="false" outlineLevel="0" collapsed="false">
      <c r="A1977" s="2" t="s">
        <v>3150</v>
      </c>
      <c r="B1977" s="2" t="s">
        <v>87</v>
      </c>
      <c r="C1977" s="2" t="s">
        <v>36</v>
      </c>
      <c r="D1977" s="3" t="n">
        <v>45849</v>
      </c>
      <c r="E1977" s="2" t="s">
        <v>3151</v>
      </c>
      <c r="F1977" s="2" t="s">
        <v>26</v>
      </c>
      <c r="G1977" s="2" t="n">
        <v>25592</v>
      </c>
      <c r="H1977" s="2" t="n">
        <v>12</v>
      </c>
      <c r="I1977" s="2" t="n">
        <v>138</v>
      </c>
      <c r="J1977" s="2" t="n">
        <v>1</v>
      </c>
      <c r="K1977" s="2" t="n">
        <v>10089</v>
      </c>
      <c r="L1977" s="2" t="n">
        <v>8572</v>
      </c>
      <c r="M1977" s="2" t="n">
        <v>271</v>
      </c>
      <c r="N1977" s="2" t="n">
        <v>7</v>
      </c>
      <c r="O1977" s="2" t="n">
        <v>22</v>
      </c>
      <c r="P1977" s="2" t="n">
        <v>90</v>
      </c>
      <c r="Q1977" s="2" t="n">
        <v>57</v>
      </c>
      <c r="R1977" s="2" t="n">
        <v>12</v>
      </c>
      <c r="S1977" s="2" t="n">
        <v>7</v>
      </c>
      <c r="T1977" s="2" t="s">
        <v>96</v>
      </c>
      <c r="U1977" s="4" t="n">
        <f aca="false">(M1977+N1977+O1977+P1977)/L1977</f>
        <v>0.0454969668688754</v>
      </c>
      <c r="V1977" s="2" t="str">
        <f aca="false">IF(S1977&lt;=5,"Late night (0-5)",IF(S1977&lt;=11,"Morning (6-11)",IF(S1977&lt;=17,"Afternoon (12-17)","Evening (18-23)")))</f>
        <v>Morning (6-11)</v>
      </c>
    </row>
    <row r="1978" customFormat="false" ht="15" hidden="false" customHeight="false" outlineLevel="0" collapsed="false">
      <c r="A1978" s="2" t="s">
        <v>3152</v>
      </c>
      <c r="B1978" s="2" t="s">
        <v>151</v>
      </c>
      <c r="C1978" s="2" t="s">
        <v>36</v>
      </c>
      <c r="D1978" s="3" t="n">
        <v>45775</v>
      </c>
      <c r="E1978" s="2" t="s">
        <v>697</v>
      </c>
      <c r="F1978" s="2" t="s">
        <v>38</v>
      </c>
      <c r="G1978" s="2" t="n">
        <v>19247</v>
      </c>
      <c r="H1978" s="2" t="n">
        <v>6</v>
      </c>
      <c r="I1978" s="2" t="n">
        <v>259</v>
      </c>
      <c r="J1978" s="2" t="n">
        <v>0</v>
      </c>
      <c r="K1978" s="2" t="n">
        <v>18073</v>
      </c>
      <c r="L1978" s="2" t="n">
        <v>11323</v>
      </c>
      <c r="M1978" s="2" t="n">
        <v>652</v>
      </c>
      <c r="N1978" s="2" t="n">
        <v>48</v>
      </c>
      <c r="O1978" s="2" t="n">
        <v>73</v>
      </c>
      <c r="P1978" s="2" t="n">
        <v>94</v>
      </c>
      <c r="Q1978" s="2" t="n">
        <v>139</v>
      </c>
      <c r="R1978" s="2" t="n">
        <v>38</v>
      </c>
      <c r="S1978" s="2" t="n">
        <v>17</v>
      </c>
      <c r="T1978" s="2" t="s">
        <v>33</v>
      </c>
      <c r="U1978" s="4" t="n">
        <f aca="false">(M1978+N1978+O1978+P1978)/L1978</f>
        <v>0.0765698136536254</v>
      </c>
      <c r="V1978" s="2" t="str">
        <f aca="false">IF(S1978&lt;=5,"Late night (0-5)",IF(S1978&lt;=11,"Morning (6-11)",IF(S1978&lt;=17,"Afternoon (12-17)","Evening (18-23)")))</f>
        <v>Afternoon (12-17)</v>
      </c>
    </row>
    <row r="1979" customFormat="false" ht="15" hidden="false" customHeight="false" outlineLevel="0" collapsed="false">
      <c r="A1979" s="2" t="s">
        <v>3153</v>
      </c>
      <c r="B1979" s="2" t="s">
        <v>64</v>
      </c>
      <c r="C1979" s="2" t="s">
        <v>36</v>
      </c>
      <c r="D1979" s="3" t="n">
        <v>45939</v>
      </c>
      <c r="E1979" s="2" t="s">
        <v>612</v>
      </c>
      <c r="F1979" s="2" t="s">
        <v>32</v>
      </c>
      <c r="G1979" s="2" t="n">
        <v>43781</v>
      </c>
      <c r="H1979" s="2" t="n">
        <v>16</v>
      </c>
      <c r="I1979" s="2" t="n">
        <v>221</v>
      </c>
      <c r="J1979" s="2" t="n">
        <v>0</v>
      </c>
      <c r="K1979" s="2" t="n">
        <v>86781</v>
      </c>
      <c r="L1979" s="2" t="n">
        <v>50269</v>
      </c>
      <c r="M1979" s="2" t="n">
        <v>2174</v>
      </c>
      <c r="N1979" s="2" t="n">
        <v>156</v>
      </c>
      <c r="O1979" s="2" t="n">
        <v>373</v>
      </c>
      <c r="P1979" s="2" t="n">
        <v>341</v>
      </c>
      <c r="Q1979" s="2" t="n">
        <v>880</v>
      </c>
      <c r="R1979" s="2" t="n">
        <v>88</v>
      </c>
      <c r="S1979" s="2" t="n">
        <v>19</v>
      </c>
      <c r="T1979" s="2" t="s">
        <v>79</v>
      </c>
      <c r="U1979" s="4" t="n">
        <f aca="false">(M1979+N1979+O1979+P1979)/L1979</f>
        <v>0.0605542183055163</v>
      </c>
      <c r="V1979" s="2" t="str">
        <f aca="false">IF(S1979&lt;=5,"Late night (0-5)",IF(S1979&lt;=11,"Morning (6-11)",IF(S1979&lt;=17,"Afternoon (12-17)","Evening (18-23)")))</f>
        <v>Evening (18-23)</v>
      </c>
    </row>
    <row r="1980" customFormat="false" ht="15" hidden="false" customHeight="false" outlineLevel="0" collapsed="false">
      <c r="A1980" s="2" t="s">
        <v>3154</v>
      </c>
      <c r="B1980" s="2" t="s">
        <v>426</v>
      </c>
      <c r="C1980" s="2" t="s">
        <v>30</v>
      </c>
      <c r="D1980" s="3" t="n">
        <v>45945</v>
      </c>
      <c r="E1980" s="2" t="s">
        <v>475</v>
      </c>
      <c r="F1980" s="2" t="s">
        <v>32</v>
      </c>
      <c r="G1980" s="2" t="n">
        <v>40649</v>
      </c>
      <c r="H1980" s="2" t="n">
        <v>10</v>
      </c>
      <c r="I1980" s="2" t="n">
        <v>89</v>
      </c>
      <c r="J1980" s="2" t="n">
        <v>0</v>
      </c>
      <c r="K1980" s="2" t="n">
        <v>113420</v>
      </c>
      <c r="L1980" s="2" t="n">
        <v>99211</v>
      </c>
      <c r="M1980" s="2" t="n">
        <v>10671</v>
      </c>
      <c r="N1980" s="2" t="n">
        <v>248</v>
      </c>
      <c r="O1980" s="2" t="n">
        <v>2727</v>
      </c>
      <c r="P1980" s="2" t="n">
        <v>2508</v>
      </c>
      <c r="Q1980" s="2" t="n">
        <v>1963</v>
      </c>
      <c r="R1980" s="2" t="n">
        <v>313</v>
      </c>
      <c r="S1980" s="2" t="n">
        <v>9</v>
      </c>
      <c r="T1980" s="2" t="s">
        <v>66</v>
      </c>
      <c r="U1980" s="4" t="n">
        <f aca="false">(M1980+N1980+O1980+P1980)/L1980</f>
        <v>0.162824686778684</v>
      </c>
      <c r="V1980" s="2" t="str">
        <f aca="false">IF(S1980&lt;=5,"Late night (0-5)",IF(S1980&lt;=11,"Morning (6-11)",IF(S1980&lt;=17,"Afternoon (12-17)","Evening (18-23)")))</f>
        <v>Morning (6-11)</v>
      </c>
    </row>
    <row r="1981" customFormat="false" ht="15" hidden="false" customHeight="false" outlineLevel="0" collapsed="false">
      <c r="A1981" s="2" t="s">
        <v>3155</v>
      </c>
      <c r="B1981" s="2" t="s">
        <v>60</v>
      </c>
      <c r="C1981" s="2" t="s">
        <v>41</v>
      </c>
      <c r="D1981" s="3" t="n">
        <v>46001</v>
      </c>
      <c r="E1981" s="2" t="s">
        <v>557</v>
      </c>
      <c r="F1981" s="2" t="s">
        <v>26</v>
      </c>
      <c r="G1981" s="2" t="n">
        <v>7512</v>
      </c>
      <c r="H1981" s="2" t="n">
        <v>14</v>
      </c>
      <c r="I1981" s="2" t="n">
        <v>108</v>
      </c>
      <c r="J1981" s="2" t="n">
        <v>1</v>
      </c>
      <c r="K1981" s="2" t="n">
        <v>11987</v>
      </c>
      <c r="L1981" s="2" t="n">
        <v>9698</v>
      </c>
      <c r="M1981" s="2" t="n">
        <v>816</v>
      </c>
      <c r="N1981" s="2" t="n">
        <v>49</v>
      </c>
      <c r="O1981" s="2" t="n">
        <v>45</v>
      </c>
      <c r="P1981" s="2" t="n">
        <v>268</v>
      </c>
      <c r="Q1981" s="2" t="n">
        <v>224</v>
      </c>
      <c r="R1981" s="2" t="n">
        <v>52</v>
      </c>
      <c r="S1981" s="2" t="n">
        <v>13</v>
      </c>
      <c r="T1981" s="2" t="s">
        <v>66</v>
      </c>
      <c r="U1981" s="4" t="n">
        <f aca="false">(M1981+N1981+O1981+P1981)/L1981</f>
        <v>0.121468343988451</v>
      </c>
      <c r="V1981" s="2" t="str">
        <f aca="false">IF(S1981&lt;=5,"Late night (0-5)",IF(S1981&lt;=11,"Morning (6-11)",IF(S1981&lt;=17,"Afternoon (12-17)","Evening (18-23)")))</f>
        <v>Afternoon (12-17)</v>
      </c>
    </row>
    <row r="1982" customFormat="false" ht="15" hidden="false" customHeight="false" outlineLevel="0" collapsed="false">
      <c r="A1982" s="2" t="s">
        <v>3156</v>
      </c>
      <c r="B1982" s="2" t="s">
        <v>307</v>
      </c>
      <c r="C1982" s="2" t="s">
        <v>48</v>
      </c>
      <c r="D1982" s="3" t="n">
        <v>45773</v>
      </c>
      <c r="E1982" s="2" t="s">
        <v>3157</v>
      </c>
      <c r="F1982" s="2" t="s">
        <v>38</v>
      </c>
      <c r="G1982" s="2" t="n">
        <v>91358</v>
      </c>
      <c r="H1982" s="2" t="n">
        <v>7</v>
      </c>
      <c r="I1982" s="2" t="n">
        <v>291</v>
      </c>
      <c r="J1982" s="2" t="n">
        <v>1</v>
      </c>
      <c r="K1982" s="2" t="n">
        <v>19890</v>
      </c>
      <c r="L1982" s="2" t="n">
        <v>16940</v>
      </c>
      <c r="M1982" s="2" t="n">
        <v>737</v>
      </c>
      <c r="N1982" s="2" t="n">
        <v>51</v>
      </c>
      <c r="O1982" s="2" t="n">
        <v>71</v>
      </c>
      <c r="P1982" s="2" t="n">
        <v>109</v>
      </c>
      <c r="Q1982" s="2" t="n">
        <v>188</v>
      </c>
      <c r="R1982" s="2" t="n">
        <v>32</v>
      </c>
      <c r="S1982" s="2" t="n">
        <v>5</v>
      </c>
      <c r="T1982" s="2" t="s">
        <v>62</v>
      </c>
      <c r="U1982" s="4" t="n">
        <f aca="false">(M1982+N1982+O1982+P1982)/L1982</f>
        <v>0.0571428571428571</v>
      </c>
      <c r="V1982" s="2" t="str">
        <f aca="false">IF(S1982&lt;=5,"Late night (0-5)",IF(S1982&lt;=11,"Morning (6-11)",IF(S1982&lt;=17,"Afternoon (12-17)","Evening (18-23)")))</f>
        <v>Late night (0-5)</v>
      </c>
    </row>
    <row r="1983" customFormat="false" ht="15" hidden="false" customHeight="false" outlineLevel="0" collapsed="false">
      <c r="A1983" s="2" t="s">
        <v>3158</v>
      </c>
      <c r="B1983" s="2" t="s">
        <v>243</v>
      </c>
      <c r="C1983" s="2" t="s">
        <v>91</v>
      </c>
      <c r="D1983" s="3" t="n">
        <v>45963</v>
      </c>
      <c r="E1983" s="2" t="s">
        <v>1154</v>
      </c>
      <c r="F1983" s="2" t="s">
        <v>32</v>
      </c>
      <c r="G1983" s="2" t="n">
        <v>42046</v>
      </c>
      <c r="H1983" s="2" t="n">
        <v>8</v>
      </c>
      <c r="I1983" s="2" t="n">
        <v>152</v>
      </c>
      <c r="J1983" s="2" t="n">
        <v>0</v>
      </c>
      <c r="K1983" s="2" t="n">
        <v>47186</v>
      </c>
      <c r="L1983" s="2" t="n">
        <v>29315</v>
      </c>
      <c r="M1983" s="2" t="n">
        <v>2573</v>
      </c>
      <c r="N1983" s="2" t="n">
        <v>91</v>
      </c>
      <c r="O1983" s="2" t="n">
        <v>524</v>
      </c>
      <c r="P1983" s="2" t="n">
        <v>521</v>
      </c>
      <c r="Q1983" s="2" t="n">
        <v>762</v>
      </c>
      <c r="R1983" s="2" t="n">
        <v>64</v>
      </c>
      <c r="S1983" s="2" t="n">
        <v>13</v>
      </c>
      <c r="T1983" s="2" t="s">
        <v>27</v>
      </c>
      <c r="U1983" s="4" t="n">
        <f aca="false">(M1983+N1983+O1983+P1983)/L1983</f>
        <v>0.126522258229575</v>
      </c>
      <c r="V1983" s="2" t="str">
        <f aca="false">IF(S1983&lt;=5,"Late night (0-5)",IF(S1983&lt;=11,"Morning (6-11)",IF(S1983&lt;=17,"Afternoon (12-17)","Evening (18-23)")))</f>
        <v>Afternoon (12-17)</v>
      </c>
    </row>
    <row r="1984" customFormat="false" ht="15" hidden="false" customHeight="false" outlineLevel="0" collapsed="false">
      <c r="A1984" s="2" t="s">
        <v>3159</v>
      </c>
      <c r="B1984" s="2" t="s">
        <v>345</v>
      </c>
      <c r="C1984" s="2" t="s">
        <v>30</v>
      </c>
      <c r="D1984" s="3" t="n">
        <v>45874</v>
      </c>
      <c r="E1984" s="2" t="s">
        <v>1468</v>
      </c>
      <c r="F1984" s="2" t="s">
        <v>50</v>
      </c>
      <c r="G1984" s="2" t="n">
        <v>8662</v>
      </c>
      <c r="H1984" s="2" t="n">
        <v>7</v>
      </c>
      <c r="I1984" s="2" t="n">
        <v>226</v>
      </c>
      <c r="J1984" s="2" t="n">
        <v>0</v>
      </c>
      <c r="K1984" s="2" t="n">
        <v>3004</v>
      </c>
      <c r="L1984" s="2" t="n">
        <v>2073</v>
      </c>
      <c r="M1984" s="2" t="n">
        <v>77</v>
      </c>
      <c r="N1984" s="2" t="n">
        <v>2</v>
      </c>
      <c r="O1984" s="2" t="n">
        <v>12</v>
      </c>
      <c r="P1984" s="2" t="n">
        <v>20</v>
      </c>
      <c r="Q1984" s="2" t="n">
        <v>28</v>
      </c>
      <c r="R1984" s="2" t="n">
        <v>1</v>
      </c>
      <c r="S1984" s="2" t="n">
        <v>1</v>
      </c>
      <c r="T1984" s="2" t="s">
        <v>51</v>
      </c>
      <c r="U1984" s="4" t="n">
        <f aca="false">(M1984+N1984+O1984+P1984)/L1984</f>
        <v>0.0535455861070912</v>
      </c>
      <c r="V1984" s="2" t="str">
        <f aca="false">IF(S1984&lt;=5,"Late night (0-5)",IF(S1984&lt;=11,"Morning (6-11)",IF(S1984&lt;=17,"Afternoon (12-17)","Evening (18-23)")))</f>
        <v>Late night (0-5)</v>
      </c>
    </row>
    <row r="1985" customFormat="false" ht="15" hidden="false" customHeight="false" outlineLevel="0" collapsed="false">
      <c r="A1985" s="2" t="s">
        <v>3160</v>
      </c>
      <c r="B1985" s="2" t="s">
        <v>35</v>
      </c>
      <c r="C1985" s="2" t="s">
        <v>36</v>
      </c>
      <c r="D1985" s="3" t="n">
        <v>45815</v>
      </c>
      <c r="E1985" s="2" t="s">
        <v>1687</v>
      </c>
      <c r="F1985" s="2" t="s">
        <v>32</v>
      </c>
      <c r="G1985" s="2" t="n">
        <v>33933</v>
      </c>
      <c r="H1985" s="2" t="n">
        <v>7</v>
      </c>
      <c r="I1985" s="2" t="n">
        <v>10</v>
      </c>
      <c r="J1985" s="2" t="n">
        <v>0</v>
      </c>
      <c r="K1985" s="2" t="n">
        <v>34549</v>
      </c>
      <c r="L1985" s="2" t="n">
        <v>23094</v>
      </c>
      <c r="M1985" s="2" t="n">
        <v>1076</v>
      </c>
      <c r="N1985" s="2" t="n">
        <v>67</v>
      </c>
      <c r="O1985" s="2" t="n">
        <v>181</v>
      </c>
      <c r="P1985" s="2" t="n">
        <v>83</v>
      </c>
      <c r="Q1985" s="2" t="n">
        <v>437</v>
      </c>
      <c r="R1985" s="2" t="n">
        <v>121</v>
      </c>
      <c r="S1985" s="2" t="n">
        <v>10</v>
      </c>
      <c r="T1985" s="2" t="s">
        <v>62</v>
      </c>
      <c r="U1985" s="4" t="n">
        <f aca="false">(M1985+N1985+O1985+P1985)/L1985</f>
        <v>0.0609249155624838</v>
      </c>
      <c r="V1985" s="2" t="str">
        <f aca="false">IF(S1985&lt;=5,"Late night (0-5)",IF(S1985&lt;=11,"Morning (6-11)",IF(S1985&lt;=17,"Afternoon (12-17)","Evening (18-23)")))</f>
        <v>Morning (6-11)</v>
      </c>
    </row>
    <row r="1986" customFormat="false" ht="15" hidden="false" customHeight="false" outlineLevel="0" collapsed="false">
      <c r="A1986" s="2" t="s">
        <v>3161</v>
      </c>
      <c r="B1986" s="2" t="s">
        <v>164</v>
      </c>
      <c r="C1986" s="2" t="s">
        <v>36</v>
      </c>
      <c r="D1986" s="3" t="n">
        <v>45963</v>
      </c>
      <c r="E1986" s="2" t="s">
        <v>104</v>
      </c>
      <c r="F1986" s="2" t="s">
        <v>26</v>
      </c>
      <c r="G1986" s="2" t="n">
        <v>44230</v>
      </c>
      <c r="H1986" s="2" t="n">
        <v>5</v>
      </c>
      <c r="I1986" s="2" t="n">
        <v>272</v>
      </c>
      <c r="J1986" s="2" t="n">
        <v>0</v>
      </c>
      <c r="K1986" s="2" t="n">
        <v>79401</v>
      </c>
      <c r="L1986" s="2" t="n">
        <v>44790</v>
      </c>
      <c r="M1986" s="2" t="n">
        <v>3277</v>
      </c>
      <c r="N1986" s="2" t="n">
        <v>182</v>
      </c>
      <c r="O1986" s="2" t="n">
        <v>571</v>
      </c>
      <c r="P1986" s="2" t="n">
        <v>853</v>
      </c>
      <c r="Q1986" s="2" t="n">
        <v>718</v>
      </c>
      <c r="R1986" s="2" t="n">
        <v>69</v>
      </c>
      <c r="S1986" s="2" t="n">
        <v>15</v>
      </c>
      <c r="T1986" s="2" t="s">
        <v>27</v>
      </c>
      <c r="U1986" s="4" t="n">
        <f aca="false">(M1986+N1986+O1986+P1986)/L1986</f>
        <v>0.10901987050681</v>
      </c>
      <c r="V1986" s="2" t="str">
        <f aca="false">IF(S1986&lt;=5,"Late night (0-5)",IF(S1986&lt;=11,"Morning (6-11)",IF(S1986&lt;=17,"Afternoon (12-17)","Evening (18-23)")))</f>
        <v>Afternoon (12-17)</v>
      </c>
    </row>
    <row r="1987" customFormat="false" ht="15" hidden="false" customHeight="false" outlineLevel="0" collapsed="false">
      <c r="A1987" s="2" t="s">
        <v>3162</v>
      </c>
      <c r="B1987" s="2" t="s">
        <v>103</v>
      </c>
      <c r="C1987" s="2" t="s">
        <v>36</v>
      </c>
      <c r="D1987" s="3" t="n">
        <v>45688</v>
      </c>
      <c r="E1987" s="2" t="s">
        <v>561</v>
      </c>
      <c r="F1987" s="2" t="s">
        <v>50</v>
      </c>
      <c r="G1987" s="2" t="n">
        <v>56979</v>
      </c>
      <c r="H1987" s="2" t="n">
        <v>2</v>
      </c>
      <c r="I1987" s="2" t="n">
        <v>258</v>
      </c>
      <c r="J1987" s="2" t="n">
        <v>1</v>
      </c>
      <c r="K1987" s="2" t="n">
        <v>65262</v>
      </c>
      <c r="L1987" s="2" t="n">
        <v>45340</v>
      </c>
      <c r="M1987" s="2" t="n">
        <v>1968</v>
      </c>
      <c r="N1987" s="2" t="n">
        <v>115</v>
      </c>
      <c r="O1987" s="2" t="n">
        <v>84</v>
      </c>
      <c r="P1987" s="2" t="n">
        <v>149</v>
      </c>
      <c r="Q1987" s="2" t="n">
        <v>540</v>
      </c>
      <c r="R1987" s="2" t="n">
        <v>131</v>
      </c>
      <c r="S1987" s="2" t="n">
        <v>23</v>
      </c>
      <c r="T1987" s="2" t="s">
        <v>96</v>
      </c>
      <c r="U1987" s="4" t="n">
        <f aca="false">(M1987+N1987+O1987+P1987)/L1987</f>
        <v>0.051080723423026</v>
      </c>
      <c r="V1987" s="2" t="str">
        <f aca="false">IF(S1987&lt;=5,"Late night (0-5)",IF(S1987&lt;=11,"Morning (6-11)",IF(S1987&lt;=17,"Afternoon (12-17)","Evening (18-23)")))</f>
        <v>Evening (18-23)</v>
      </c>
    </row>
    <row r="1988" customFormat="false" ht="15" hidden="false" customHeight="false" outlineLevel="0" collapsed="false">
      <c r="A1988" s="2" t="s">
        <v>3163</v>
      </c>
      <c r="B1988" s="2" t="s">
        <v>44</v>
      </c>
      <c r="C1988" s="2" t="s">
        <v>36</v>
      </c>
      <c r="D1988" s="3" t="n">
        <v>45691</v>
      </c>
      <c r="E1988" s="2" t="s">
        <v>1991</v>
      </c>
      <c r="F1988" s="2" t="s">
        <v>32</v>
      </c>
      <c r="G1988" s="2" t="n">
        <v>6265</v>
      </c>
      <c r="H1988" s="2" t="n">
        <v>17</v>
      </c>
      <c r="I1988" s="2" t="n">
        <v>251</v>
      </c>
      <c r="J1988" s="2" t="n">
        <v>0</v>
      </c>
      <c r="K1988" s="2" t="n">
        <v>12930</v>
      </c>
      <c r="L1988" s="2" t="n">
        <v>8106</v>
      </c>
      <c r="M1988" s="2" t="n">
        <v>723</v>
      </c>
      <c r="N1988" s="2" t="n">
        <v>45</v>
      </c>
      <c r="O1988" s="2" t="n">
        <v>168</v>
      </c>
      <c r="P1988" s="2" t="n">
        <v>49</v>
      </c>
      <c r="Q1988" s="2" t="n">
        <v>53</v>
      </c>
      <c r="R1988" s="2" t="n">
        <v>7</v>
      </c>
      <c r="S1988" s="2" t="n">
        <v>11</v>
      </c>
      <c r="T1988" s="2" t="s">
        <v>33</v>
      </c>
      <c r="U1988" s="4" t="n">
        <f aca="false">(M1988+N1988+O1988+P1988)/L1988</f>
        <v>0.121514927214409</v>
      </c>
      <c r="V1988" s="2" t="str">
        <f aca="false">IF(S1988&lt;=5,"Late night (0-5)",IF(S1988&lt;=11,"Morning (6-11)",IF(S1988&lt;=17,"Afternoon (12-17)","Evening (18-23)")))</f>
        <v>Morning (6-11)</v>
      </c>
    </row>
    <row r="1989" customFormat="false" ht="15" hidden="false" customHeight="false" outlineLevel="0" collapsed="false">
      <c r="A1989" s="2" t="s">
        <v>3164</v>
      </c>
      <c r="B1989" s="2" t="s">
        <v>29</v>
      </c>
      <c r="C1989" s="2" t="s">
        <v>30</v>
      </c>
      <c r="D1989" s="3" t="n">
        <v>46018</v>
      </c>
      <c r="E1989" s="2" t="s">
        <v>2106</v>
      </c>
      <c r="F1989" s="2" t="s">
        <v>38</v>
      </c>
      <c r="G1989" s="2" t="n">
        <v>11612</v>
      </c>
      <c r="H1989" s="2" t="n">
        <v>10</v>
      </c>
      <c r="I1989" s="2" t="n">
        <v>245</v>
      </c>
      <c r="J1989" s="2" t="n">
        <v>0</v>
      </c>
      <c r="K1989" s="2" t="n">
        <v>2422</v>
      </c>
      <c r="L1989" s="2" t="n">
        <v>1946</v>
      </c>
      <c r="M1989" s="2" t="n">
        <v>167</v>
      </c>
      <c r="N1989" s="2" t="n">
        <v>7</v>
      </c>
      <c r="O1989" s="2" t="n">
        <v>30</v>
      </c>
      <c r="P1989" s="2" t="n">
        <v>33</v>
      </c>
      <c r="Q1989" s="2" t="n">
        <v>35</v>
      </c>
      <c r="R1989" s="2" t="n">
        <v>3</v>
      </c>
      <c r="S1989" s="2" t="n">
        <v>2</v>
      </c>
      <c r="T1989" s="2" t="s">
        <v>62</v>
      </c>
      <c r="U1989" s="4" t="n">
        <f aca="false">(M1989+N1989+O1989+P1989)/L1989</f>
        <v>0.121788283658787</v>
      </c>
      <c r="V1989" s="2" t="str">
        <f aca="false">IF(S1989&lt;=5,"Late night (0-5)",IF(S1989&lt;=11,"Morning (6-11)",IF(S1989&lt;=17,"Afternoon (12-17)","Evening (18-23)")))</f>
        <v>Late night (0-5)</v>
      </c>
    </row>
    <row r="1990" customFormat="false" ht="15" hidden="false" customHeight="false" outlineLevel="0" collapsed="false">
      <c r="A1990" s="2" t="s">
        <v>3165</v>
      </c>
      <c r="B1990" s="2" t="s">
        <v>106</v>
      </c>
      <c r="C1990" s="2" t="s">
        <v>91</v>
      </c>
      <c r="D1990" s="3" t="n">
        <v>45823</v>
      </c>
      <c r="E1990" s="2" t="s">
        <v>1246</v>
      </c>
      <c r="F1990" s="2" t="s">
        <v>32</v>
      </c>
      <c r="G1990" s="2" t="n">
        <v>59477</v>
      </c>
      <c r="H1990" s="2" t="n">
        <v>15</v>
      </c>
      <c r="I1990" s="2" t="n">
        <v>245</v>
      </c>
      <c r="J1990" s="2" t="n">
        <v>0</v>
      </c>
      <c r="K1990" s="2" t="n">
        <v>101744</v>
      </c>
      <c r="L1990" s="2" t="n">
        <v>91997</v>
      </c>
      <c r="M1990" s="2" t="n">
        <v>7683</v>
      </c>
      <c r="N1990" s="2" t="n">
        <v>232</v>
      </c>
      <c r="O1990" s="2" t="n">
        <v>1765</v>
      </c>
      <c r="P1990" s="2" t="n">
        <v>1473</v>
      </c>
      <c r="Q1990" s="2" t="n">
        <v>1383</v>
      </c>
      <c r="R1990" s="2" t="n">
        <v>309</v>
      </c>
      <c r="S1990" s="2" t="n">
        <v>19</v>
      </c>
      <c r="T1990" s="2" t="s">
        <v>27</v>
      </c>
      <c r="U1990" s="4" t="n">
        <f aca="false">(M1990+N1990+O1990+P1990)/L1990</f>
        <v>0.121232214093938</v>
      </c>
      <c r="V1990" s="2" t="str">
        <f aca="false">IF(S1990&lt;=5,"Late night (0-5)",IF(S1990&lt;=11,"Morning (6-11)",IF(S1990&lt;=17,"Afternoon (12-17)","Evening (18-23)")))</f>
        <v>Evening (18-23)</v>
      </c>
    </row>
    <row r="1991" customFormat="false" ht="15" hidden="false" customHeight="false" outlineLevel="0" collapsed="false">
      <c r="A1991" s="2" t="s">
        <v>3166</v>
      </c>
      <c r="B1991" s="2" t="s">
        <v>243</v>
      </c>
      <c r="C1991" s="2" t="s">
        <v>91</v>
      </c>
      <c r="D1991" s="3" t="n">
        <v>45755</v>
      </c>
      <c r="E1991" s="2" t="s">
        <v>1178</v>
      </c>
      <c r="F1991" s="2" t="s">
        <v>32</v>
      </c>
      <c r="G1991" s="2" t="n">
        <v>42046</v>
      </c>
      <c r="H1991" s="2" t="n">
        <v>9</v>
      </c>
      <c r="I1991" s="2" t="n">
        <v>99</v>
      </c>
      <c r="J1991" s="2" t="n">
        <v>0</v>
      </c>
      <c r="K1991" s="2" t="n">
        <v>23431</v>
      </c>
      <c r="L1991" s="2" t="n">
        <v>18080</v>
      </c>
      <c r="M1991" s="2" t="n">
        <v>1774</v>
      </c>
      <c r="N1991" s="2" t="n">
        <v>61</v>
      </c>
      <c r="O1991" s="2" t="n">
        <v>459</v>
      </c>
      <c r="P1991" s="2" t="n">
        <v>123</v>
      </c>
      <c r="Q1991" s="2" t="n">
        <v>162</v>
      </c>
      <c r="R1991" s="2" t="n">
        <v>23</v>
      </c>
      <c r="S1991" s="2" t="n">
        <v>6</v>
      </c>
      <c r="T1991" s="2" t="s">
        <v>51</v>
      </c>
      <c r="U1991" s="4" t="n">
        <f aca="false">(M1991+N1991+O1991+P1991)/L1991</f>
        <v>0.133683628318584</v>
      </c>
      <c r="V1991" s="2" t="str">
        <f aca="false">IF(S1991&lt;=5,"Late night (0-5)",IF(S1991&lt;=11,"Morning (6-11)",IF(S1991&lt;=17,"Afternoon (12-17)","Evening (18-23)")))</f>
        <v>Morning (6-11)</v>
      </c>
    </row>
    <row r="1992" customFormat="false" ht="15" hidden="false" customHeight="false" outlineLevel="0" collapsed="false">
      <c r="A1992" s="2" t="s">
        <v>3167</v>
      </c>
      <c r="B1992" s="2" t="s">
        <v>374</v>
      </c>
      <c r="C1992" s="2" t="s">
        <v>24</v>
      </c>
      <c r="D1992" s="3" t="n">
        <v>45912</v>
      </c>
      <c r="E1992" s="2" t="s">
        <v>3168</v>
      </c>
      <c r="F1992" s="2" t="s">
        <v>32</v>
      </c>
      <c r="G1992" s="2" t="n">
        <v>9509</v>
      </c>
      <c r="H1992" s="2" t="n">
        <v>8</v>
      </c>
      <c r="I1992" s="2" t="n">
        <v>266</v>
      </c>
      <c r="J1992" s="2" t="n">
        <v>0</v>
      </c>
      <c r="K1992" s="2" t="n">
        <v>29245</v>
      </c>
      <c r="L1992" s="2" t="n">
        <v>21642</v>
      </c>
      <c r="M1992" s="2" t="n">
        <v>1603</v>
      </c>
      <c r="N1992" s="2" t="n">
        <v>92</v>
      </c>
      <c r="O1992" s="2" t="n">
        <v>151</v>
      </c>
      <c r="P1992" s="2" t="n">
        <v>478</v>
      </c>
      <c r="Q1992" s="2" t="n">
        <v>218</v>
      </c>
      <c r="R1992" s="2" t="n">
        <v>11</v>
      </c>
      <c r="S1992" s="2" t="n">
        <v>20</v>
      </c>
      <c r="T1992" s="2" t="s">
        <v>96</v>
      </c>
      <c r="U1992" s="4" t="n">
        <f aca="false">(M1992+N1992+O1992+P1992)/L1992</f>
        <v>0.107383790777193</v>
      </c>
      <c r="V1992" s="2" t="str">
        <f aca="false">IF(S1992&lt;=5,"Late night (0-5)",IF(S1992&lt;=11,"Morning (6-11)",IF(S1992&lt;=17,"Afternoon (12-17)","Evening (18-23)")))</f>
        <v>Evening (18-23)</v>
      </c>
    </row>
    <row r="1993" customFormat="false" ht="15" hidden="false" customHeight="false" outlineLevel="0" collapsed="false">
      <c r="A1993" s="2" t="s">
        <v>3169</v>
      </c>
      <c r="B1993" s="2" t="s">
        <v>98</v>
      </c>
      <c r="C1993" s="2" t="s">
        <v>54</v>
      </c>
      <c r="D1993" s="3" t="n">
        <v>45961</v>
      </c>
      <c r="E1993" s="2" t="s">
        <v>3170</v>
      </c>
      <c r="F1993" s="2" t="s">
        <v>38</v>
      </c>
      <c r="G1993" s="2" t="n">
        <v>18366</v>
      </c>
      <c r="H1993" s="2" t="n">
        <v>16</v>
      </c>
      <c r="I1993" s="2" t="n">
        <v>211</v>
      </c>
      <c r="J1993" s="2" t="n">
        <v>1</v>
      </c>
      <c r="K1993" s="2" t="n">
        <v>25831</v>
      </c>
      <c r="L1993" s="2" t="n">
        <v>18519</v>
      </c>
      <c r="M1993" s="2" t="n">
        <v>755</v>
      </c>
      <c r="N1993" s="2" t="n">
        <v>34</v>
      </c>
      <c r="O1993" s="2" t="n">
        <v>31</v>
      </c>
      <c r="P1993" s="2" t="n">
        <v>59</v>
      </c>
      <c r="Q1993" s="2" t="n">
        <v>402</v>
      </c>
      <c r="R1993" s="2" t="n">
        <v>46</v>
      </c>
      <c r="S1993" s="2" t="n">
        <v>7</v>
      </c>
      <c r="T1993" s="2" t="s">
        <v>96</v>
      </c>
      <c r="U1993" s="4" t="n">
        <f aca="false">(M1993+N1993+O1993+P1993)/L1993</f>
        <v>0.0474647659160862</v>
      </c>
      <c r="V1993" s="2" t="str">
        <f aca="false">IF(S1993&lt;=5,"Late night (0-5)",IF(S1993&lt;=11,"Morning (6-11)",IF(S1993&lt;=17,"Afternoon (12-17)","Evening (18-23)")))</f>
        <v>Morning (6-11)</v>
      </c>
    </row>
    <row r="1994" customFormat="false" ht="15" hidden="false" customHeight="false" outlineLevel="0" collapsed="false">
      <c r="A1994" s="2" t="s">
        <v>3171</v>
      </c>
      <c r="B1994" s="2" t="s">
        <v>431</v>
      </c>
      <c r="C1994" s="2" t="s">
        <v>36</v>
      </c>
      <c r="D1994" s="3" t="n">
        <v>45950</v>
      </c>
      <c r="E1994" s="2" t="s">
        <v>3172</v>
      </c>
      <c r="F1994" s="2" t="s">
        <v>26</v>
      </c>
      <c r="G1994" s="2" t="n">
        <v>64821</v>
      </c>
      <c r="H1994" s="2" t="n">
        <v>9</v>
      </c>
      <c r="I1994" s="2" t="n">
        <v>173</v>
      </c>
      <c r="J1994" s="2" t="n">
        <v>1</v>
      </c>
      <c r="K1994" s="2" t="n">
        <v>92643</v>
      </c>
      <c r="L1994" s="2" t="n">
        <v>58996</v>
      </c>
      <c r="M1994" s="2" t="n">
        <v>3433</v>
      </c>
      <c r="N1994" s="2" t="n">
        <v>235</v>
      </c>
      <c r="O1994" s="2" t="n">
        <v>370</v>
      </c>
      <c r="P1994" s="2" t="n">
        <v>738</v>
      </c>
      <c r="Q1994" s="2" t="n">
        <v>735</v>
      </c>
      <c r="R1994" s="2" t="n">
        <v>73</v>
      </c>
      <c r="S1994" s="2" t="n">
        <v>7</v>
      </c>
      <c r="T1994" s="2" t="s">
        <v>33</v>
      </c>
      <c r="U1994" s="4" t="n">
        <f aca="false">(M1994+N1994+O1994+P1994)/L1994</f>
        <v>0.0809546409926097</v>
      </c>
      <c r="V1994" s="2" t="str">
        <f aca="false">IF(S1994&lt;=5,"Late night (0-5)",IF(S1994&lt;=11,"Morning (6-11)",IF(S1994&lt;=17,"Afternoon (12-17)","Evening (18-23)")))</f>
        <v>Morning (6-11)</v>
      </c>
    </row>
    <row r="1995" customFormat="false" ht="15" hidden="false" customHeight="false" outlineLevel="0" collapsed="false">
      <c r="A1995" s="2" t="s">
        <v>3173</v>
      </c>
      <c r="B1995" s="2" t="s">
        <v>462</v>
      </c>
      <c r="C1995" s="2" t="s">
        <v>84</v>
      </c>
      <c r="D1995" s="3" t="n">
        <v>45836</v>
      </c>
      <c r="E1995" s="2" t="s">
        <v>1481</v>
      </c>
      <c r="F1995" s="2" t="s">
        <v>26</v>
      </c>
      <c r="G1995" s="2" t="n">
        <v>43510</v>
      </c>
      <c r="H1995" s="2" t="n">
        <v>8</v>
      </c>
      <c r="I1995" s="2" t="n">
        <v>49</v>
      </c>
      <c r="J1995" s="2" t="n">
        <v>1</v>
      </c>
      <c r="K1995" s="2" t="n">
        <v>97167</v>
      </c>
      <c r="L1995" s="2" t="n">
        <v>70555</v>
      </c>
      <c r="M1995" s="2" t="n">
        <v>2522</v>
      </c>
      <c r="N1995" s="2" t="n">
        <v>135</v>
      </c>
      <c r="O1995" s="2" t="n">
        <v>306</v>
      </c>
      <c r="P1995" s="2" t="n">
        <v>329</v>
      </c>
      <c r="Q1995" s="2" t="n">
        <v>1406</v>
      </c>
      <c r="R1995" s="2" t="n">
        <v>269</v>
      </c>
      <c r="S1995" s="2" t="n">
        <v>13</v>
      </c>
      <c r="T1995" s="2" t="s">
        <v>62</v>
      </c>
      <c r="U1995" s="4" t="n">
        <f aca="false">(M1995+N1995+O1995+P1995)/L1995</f>
        <v>0.0466586351073631</v>
      </c>
      <c r="V1995" s="2" t="str">
        <f aca="false">IF(S1995&lt;=5,"Late night (0-5)",IF(S1995&lt;=11,"Morning (6-11)",IF(S1995&lt;=17,"Afternoon (12-17)","Evening (18-23)")))</f>
        <v>Afternoon (12-17)</v>
      </c>
    </row>
    <row r="1996" customFormat="false" ht="15" hidden="false" customHeight="false" outlineLevel="0" collapsed="false">
      <c r="A1996" s="2" t="s">
        <v>3174</v>
      </c>
      <c r="B1996" s="2" t="s">
        <v>132</v>
      </c>
      <c r="C1996" s="2" t="s">
        <v>36</v>
      </c>
      <c r="D1996" s="3" t="n">
        <v>45948</v>
      </c>
      <c r="E1996" s="2" t="s">
        <v>3175</v>
      </c>
      <c r="F1996" s="2" t="s">
        <v>32</v>
      </c>
      <c r="G1996" s="2" t="n">
        <v>83053</v>
      </c>
      <c r="H1996" s="2" t="n">
        <v>11</v>
      </c>
      <c r="I1996" s="2" t="n">
        <v>172</v>
      </c>
      <c r="J1996" s="2" t="n">
        <v>1</v>
      </c>
      <c r="K1996" s="2" t="n">
        <v>226075</v>
      </c>
      <c r="L1996" s="2" t="n">
        <v>144591</v>
      </c>
      <c r="M1996" s="2" t="n">
        <v>6405</v>
      </c>
      <c r="N1996" s="2" t="n">
        <v>240</v>
      </c>
      <c r="O1996" s="2" t="n">
        <v>676</v>
      </c>
      <c r="P1996" s="2" t="n">
        <v>1028</v>
      </c>
      <c r="Q1996" s="2" t="n">
        <v>3019</v>
      </c>
      <c r="R1996" s="2" t="n">
        <v>478</v>
      </c>
      <c r="S1996" s="2" t="n">
        <v>20</v>
      </c>
      <c r="T1996" s="2" t="s">
        <v>62</v>
      </c>
      <c r="U1996" s="4" t="n">
        <f aca="false">(M1996+N1996+O1996+P1996)/L1996</f>
        <v>0.0577421831234309</v>
      </c>
      <c r="V1996" s="2" t="str">
        <f aca="false">IF(S1996&lt;=5,"Late night (0-5)",IF(S1996&lt;=11,"Morning (6-11)",IF(S1996&lt;=17,"Afternoon (12-17)","Evening (18-23)")))</f>
        <v>Evening (18-23)</v>
      </c>
    </row>
    <row r="1997" customFormat="false" ht="15" hidden="false" customHeight="false" outlineLevel="0" collapsed="false">
      <c r="A1997" s="2" t="s">
        <v>3176</v>
      </c>
      <c r="B1997" s="2" t="s">
        <v>71</v>
      </c>
      <c r="C1997" s="2" t="s">
        <v>48</v>
      </c>
      <c r="D1997" s="3" t="n">
        <v>45824</v>
      </c>
      <c r="E1997" s="2" t="s">
        <v>1194</v>
      </c>
      <c r="F1997" s="2" t="s">
        <v>32</v>
      </c>
      <c r="G1997" s="2" t="n">
        <v>7316</v>
      </c>
      <c r="H1997" s="2" t="n">
        <v>4</v>
      </c>
      <c r="I1997" s="2" t="n">
        <v>171</v>
      </c>
      <c r="J1997" s="2" t="n">
        <v>0</v>
      </c>
      <c r="K1997" s="2" t="n">
        <v>9252</v>
      </c>
      <c r="L1997" s="2" t="n">
        <v>7065</v>
      </c>
      <c r="M1997" s="2" t="n">
        <v>693</v>
      </c>
      <c r="N1997" s="2" t="n">
        <v>41</v>
      </c>
      <c r="O1997" s="2" t="n">
        <v>127</v>
      </c>
      <c r="P1997" s="2" t="n">
        <v>103</v>
      </c>
      <c r="Q1997" s="2" t="n">
        <v>107</v>
      </c>
      <c r="R1997" s="2" t="n">
        <v>30</v>
      </c>
      <c r="S1997" s="2" t="n">
        <v>8</v>
      </c>
      <c r="T1997" s="2" t="s">
        <v>33</v>
      </c>
      <c r="U1997" s="4" t="n">
        <f aca="false">(M1997+N1997+O1997+P1997)/L1997</f>
        <v>0.136447275300779</v>
      </c>
      <c r="V1997" s="2" t="str">
        <f aca="false">IF(S1997&lt;=5,"Late night (0-5)",IF(S1997&lt;=11,"Morning (6-11)",IF(S1997&lt;=17,"Afternoon (12-17)","Evening (18-23)")))</f>
        <v>Morning (6-11)</v>
      </c>
    </row>
    <row r="1998" customFormat="false" ht="15" hidden="false" customHeight="false" outlineLevel="0" collapsed="false">
      <c r="A1998" s="2" t="s">
        <v>3177</v>
      </c>
      <c r="B1998" s="2" t="s">
        <v>83</v>
      </c>
      <c r="C1998" s="2" t="s">
        <v>84</v>
      </c>
      <c r="D1998" s="3" t="n">
        <v>45783</v>
      </c>
      <c r="E1998" s="2" t="s">
        <v>3178</v>
      </c>
      <c r="F1998" s="2" t="s">
        <v>38</v>
      </c>
      <c r="G1998" s="2" t="n">
        <v>17918</v>
      </c>
      <c r="H1998" s="2" t="n">
        <v>20</v>
      </c>
      <c r="I1998" s="2" t="n">
        <v>22</v>
      </c>
      <c r="J1998" s="2" t="n">
        <v>0</v>
      </c>
      <c r="K1998" s="2" t="n">
        <v>13609</v>
      </c>
      <c r="L1998" s="2" t="n">
        <v>8268</v>
      </c>
      <c r="M1998" s="2" t="n">
        <v>460</v>
      </c>
      <c r="N1998" s="2" t="n">
        <v>27</v>
      </c>
      <c r="O1998" s="2" t="n">
        <v>28</v>
      </c>
      <c r="P1998" s="2" t="n">
        <v>71</v>
      </c>
      <c r="Q1998" s="2" t="n">
        <v>204</v>
      </c>
      <c r="R1998" s="2" t="n">
        <v>41</v>
      </c>
      <c r="S1998" s="2" t="n">
        <v>11</v>
      </c>
      <c r="T1998" s="2" t="s">
        <v>51</v>
      </c>
      <c r="U1998" s="4" t="n">
        <f aca="false">(M1998+N1998+O1998+P1998)/L1998</f>
        <v>0.0708756652152879</v>
      </c>
      <c r="V1998" s="2" t="str">
        <f aca="false">IF(S1998&lt;=5,"Late night (0-5)",IF(S1998&lt;=11,"Morning (6-11)",IF(S1998&lt;=17,"Afternoon (12-17)","Evening (18-23)")))</f>
        <v>Morning (6-11)</v>
      </c>
    </row>
    <row r="1999" customFormat="false" ht="15" hidden="false" customHeight="false" outlineLevel="0" collapsed="false">
      <c r="A1999" s="2" t="s">
        <v>3179</v>
      </c>
      <c r="B1999" s="2" t="s">
        <v>98</v>
      </c>
      <c r="C1999" s="2" t="s">
        <v>54</v>
      </c>
      <c r="D1999" s="3" t="n">
        <v>45688</v>
      </c>
      <c r="E1999" s="2" t="s">
        <v>1296</v>
      </c>
      <c r="F1999" s="2" t="s">
        <v>32</v>
      </c>
      <c r="G1999" s="2" t="n">
        <v>18366</v>
      </c>
      <c r="H1999" s="2" t="n">
        <v>15</v>
      </c>
      <c r="I1999" s="2" t="n">
        <v>194</v>
      </c>
      <c r="J1999" s="2" t="n">
        <v>0</v>
      </c>
      <c r="K1999" s="2" t="n">
        <v>67668</v>
      </c>
      <c r="L1999" s="2" t="n">
        <v>39449</v>
      </c>
      <c r="M1999" s="2" t="n">
        <v>2775</v>
      </c>
      <c r="N1999" s="2" t="n">
        <v>143</v>
      </c>
      <c r="O1999" s="2" t="n">
        <v>445</v>
      </c>
      <c r="P1999" s="2" t="n">
        <v>189</v>
      </c>
      <c r="Q1999" s="2" t="n">
        <v>973</v>
      </c>
      <c r="R1999" s="2" t="n">
        <v>79</v>
      </c>
      <c r="S1999" s="2" t="n">
        <v>20</v>
      </c>
      <c r="T1999" s="2" t="s">
        <v>96</v>
      </c>
      <c r="U1999" s="4" t="n">
        <f aca="false">(M1999+N1999+O1999+P1999)/L1999</f>
        <v>0.0900403052041877</v>
      </c>
      <c r="V1999" s="2" t="str">
        <f aca="false">IF(S1999&lt;=5,"Late night (0-5)",IF(S1999&lt;=11,"Morning (6-11)",IF(S1999&lt;=17,"Afternoon (12-17)","Evening (18-23)")))</f>
        <v>Evening (18-23)</v>
      </c>
    </row>
    <row r="2000" customFormat="false" ht="15" hidden="false" customHeight="false" outlineLevel="0" collapsed="false">
      <c r="A2000" s="2" t="s">
        <v>3180</v>
      </c>
      <c r="B2000" s="2" t="s">
        <v>220</v>
      </c>
      <c r="C2000" s="2" t="s">
        <v>48</v>
      </c>
      <c r="D2000" s="3" t="n">
        <v>45848</v>
      </c>
      <c r="E2000" s="2" t="s">
        <v>1923</v>
      </c>
      <c r="F2000" s="2" t="s">
        <v>32</v>
      </c>
      <c r="G2000" s="2" t="n">
        <v>18917</v>
      </c>
      <c r="H2000" s="2" t="n">
        <v>6</v>
      </c>
      <c r="I2000" s="2" t="n">
        <v>144</v>
      </c>
      <c r="J2000" s="2" t="n">
        <v>0</v>
      </c>
      <c r="K2000" s="2" t="n">
        <v>24341</v>
      </c>
      <c r="L2000" s="2" t="n">
        <v>18246</v>
      </c>
      <c r="M2000" s="2" t="n">
        <v>973</v>
      </c>
      <c r="N2000" s="2" t="n">
        <v>67</v>
      </c>
      <c r="O2000" s="2" t="n">
        <v>142</v>
      </c>
      <c r="P2000" s="2" t="n">
        <v>228</v>
      </c>
      <c r="Q2000" s="2" t="n">
        <v>292</v>
      </c>
      <c r="R2000" s="2" t="n">
        <v>21</v>
      </c>
      <c r="S2000" s="2" t="n">
        <v>18</v>
      </c>
      <c r="T2000" s="2" t="s">
        <v>79</v>
      </c>
      <c r="U2000" s="4" t="n">
        <f aca="false">(M2000+N2000+O2000+P2000)/L2000</f>
        <v>0.0772772114436041</v>
      </c>
      <c r="V2000" s="2" t="str">
        <f aca="false">IF(S2000&lt;=5,"Late night (0-5)",IF(S2000&lt;=11,"Morning (6-11)",IF(S2000&lt;=17,"Afternoon (12-17)","Evening (18-23)")))</f>
        <v>Evening (18-23)</v>
      </c>
    </row>
    <row r="2001" customFormat="false" ht="15" hidden="false" customHeight="false" outlineLevel="0" collapsed="false">
      <c r="A2001" s="2" t="s">
        <v>3181</v>
      </c>
      <c r="B2001" s="2" t="s">
        <v>98</v>
      </c>
      <c r="C2001" s="2" t="s">
        <v>54</v>
      </c>
      <c r="D2001" s="3" t="n">
        <v>46009</v>
      </c>
      <c r="E2001" s="2" t="s">
        <v>2982</v>
      </c>
      <c r="F2001" s="2" t="s">
        <v>32</v>
      </c>
      <c r="G2001" s="2" t="n">
        <v>18366</v>
      </c>
      <c r="H2001" s="2" t="n">
        <v>15</v>
      </c>
      <c r="I2001" s="2" t="n">
        <v>119</v>
      </c>
      <c r="J2001" s="2" t="n">
        <v>1</v>
      </c>
      <c r="K2001" s="2" t="n">
        <v>34094</v>
      </c>
      <c r="L2001" s="2" t="n">
        <v>24655</v>
      </c>
      <c r="M2001" s="2" t="n">
        <v>2613</v>
      </c>
      <c r="N2001" s="2" t="n">
        <v>161</v>
      </c>
      <c r="O2001" s="2" t="n">
        <v>433</v>
      </c>
      <c r="P2001" s="2" t="n">
        <v>331</v>
      </c>
      <c r="Q2001" s="2" t="n">
        <v>348</v>
      </c>
      <c r="R2001" s="2" t="n">
        <v>70</v>
      </c>
      <c r="S2001" s="2" t="n">
        <v>6</v>
      </c>
      <c r="T2001" s="2" t="s">
        <v>79</v>
      </c>
      <c r="U2001" s="4" t="n">
        <f aca="false">(M2001+N2001+O2001+P2001)/L2001</f>
        <v>0.143500304197931</v>
      </c>
      <c r="V2001" s="2" t="str">
        <f aca="false">IF(S2001&lt;=5,"Late night (0-5)",IF(S2001&lt;=11,"Morning (6-11)",IF(S2001&lt;=17,"Afternoon (12-17)","Evening (18-23)")))</f>
        <v>Morning (6-11)</v>
      </c>
    </row>
  </sheetData>
  <autoFilter ref="A1:V2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5" min="2" style="0" width="12"/>
  </cols>
  <sheetData>
    <row r="1" customFormat="false" ht="17.35" hidden="false" customHeight="false" outlineLevel="0" collapsed="false">
      <c r="A1" s="5" t="s">
        <v>3182</v>
      </c>
    </row>
    <row r="2" customFormat="false" ht="15" hidden="false" customHeight="false" outlineLevel="0" collapsed="false">
      <c r="A2" s="6" t="s">
        <v>3183</v>
      </c>
    </row>
    <row r="4" customFormat="false" ht="15" hidden="false" customHeight="false" outlineLevel="0" collapsed="false">
      <c r="A4" s="7" t="s">
        <v>3184</v>
      </c>
    </row>
    <row r="5" customFormat="false" ht="15" hidden="false" customHeight="false" outlineLevel="0" collapsed="false">
      <c r="A5" s="2" t="s">
        <v>3185</v>
      </c>
      <c r="B5" s="8" t="n">
        <f aca="false">COUNTA(Data!$A$2:$A$2001)</f>
        <v>2000</v>
      </c>
    </row>
    <row r="6" customFormat="false" ht="15" hidden="false" customHeight="false" outlineLevel="0" collapsed="false">
      <c r="A6" s="2" t="s">
        <v>3186</v>
      </c>
      <c r="B6" s="8" t="n">
        <f aca="false">SUM(Data!$L$2:$L$2001)</f>
        <v>59206598</v>
      </c>
    </row>
    <row r="7" customFormat="false" ht="15" hidden="false" customHeight="false" outlineLevel="0" collapsed="false">
      <c r="A7" s="2" t="s">
        <v>3187</v>
      </c>
      <c r="B7" s="8" t="n">
        <f aca="false">AVERAGE(Data!$L$2:$L$2001)</f>
        <v>29603.299</v>
      </c>
    </row>
    <row r="8" customFormat="false" ht="15" hidden="false" customHeight="false" outlineLevel="0" collapsed="false">
      <c r="A8" s="2" t="s">
        <v>3188</v>
      </c>
      <c r="B8" s="9" t="n">
        <f aca="false">AVERAGE(Data!$U$2:$U$2001)</f>
        <v>0.0888820951865241</v>
      </c>
    </row>
    <row r="10" customFormat="false" ht="15" hidden="false" customHeight="false" outlineLevel="0" collapsed="false">
      <c r="A10" s="7" t="s">
        <v>3189</v>
      </c>
    </row>
    <row r="11" customFormat="false" ht="35.05" hidden="false" customHeight="false" outlineLevel="0" collapsed="false">
      <c r="A11" s="10" t="s">
        <v>3190</v>
      </c>
      <c r="B11" s="10" t="s">
        <v>3191</v>
      </c>
      <c r="C11" s="10" t="s">
        <v>3192</v>
      </c>
      <c r="D11" s="10" t="s">
        <v>3193</v>
      </c>
    </row>
    <row r="12" customFormat="false" ht="15" hidden="false" customHeight="false" outlineLevel="0" collapsed="false">
      <c r="A12" s="2" t="s">
        <v>32</v>
      </c>
      <c r="B12" s="11" t="n">
        <f aca="false">COUNTIF(Data!$F$2:$F$2001,A12)</f>
        <v>704</v>
      </c>
      <c r="C12" s="11" t="n">
        <f aca="false">AVERAGEIF(Data!$F$2:$F$2001,A12,Data!$L$2:$L$2001)</f>
        <v>43576.1832386364</v>
      </c>
      <c r="D12" s="4" t="n">
        <f aca="false">AVERAGEIF(Data!$F$2:$F$2001,A12,Data!$U$2:$U$2001)</f>
        <v>0.101970663550935</v>
      </c>
    </row>
    <row r="13" customFormat="false" ht="15" hidden="false" customHeight="false" outlineLevel="0" collapsed="false">
      <c r="A13" s="2" t="s">
        <v>26</v>
      </c>
      <c r="B13" s="11" t="n">
        <f aca="false">COUNTIF(Data!$F$2:$F$2001,A13)</f>
        <v>458</v>
      </c>
      <c r="C13" s="11" t="n">
        <f aca="false">AVERAGEIF(Data!$F$2:$F$2001,A13,Data!$L$2:$L$2001)</f>
        <v>25340.2489082969</v>
      </c>
      <c r="D13" s="4" t="n">
        <f aca="false">AVERAGEIF(Data!$F$2:$F$2001,A13,Data!$U$2:$U$2001)</f>
        <v>0.0846702205969671</v>
      </c>
    </row>
    <row r="14" customFormat="false" ht="15" hidden="false" customHeight="false" outlineLevel="0" collapsed="false">
      <c r="A14" s="2" t="s">
        <v>50</v>
      </c>
      <c r="B14" s="11" t="n">
        <f aca="false">COUNTIF(Data!$F$2:$F$2001,A14)</f>
        <v>223</v>
      </c>
      <c r="C14" s="11" t="n">
        <f aca="false">AVERAGEIF(Data!$F$2:$F$2001,A14,Data!$L$2:$L$2001)</f>
        <v>24574.4035874439</v>
      </c>
      <c r="D14" s="4" t="n">
        <f aca="false">AVERAGEIF(Data!$F$2:$F$2001,A14,Data!$U$2:$U$2001)</f>
        <v>0.0810968370544735</v>
      </c>
    </row>
    <row r="15" customFormat="false" ht="15" hidden="false" customHeight="false" outlineLevel="0" collapsed="false">
      <c r="A15" s="2" t="s">
        <v>38</v>
      </c>
      <c r="B15" s="11" t="n">
        <f aca="false">COUNTIF(Data!$F$2:$F$2001,A15)</f>
        <v>615</v>
      </c>
      <c r="C15" s="11" t="n">
        <f aca="false">AVERAGEIF(Data!$F$2:$F$2001,A15,Data!$L$2:$L$2001)</f>
        <v>18606.5674796748</v>
      </c>
      <c r="D15" s="4" t="n">
        <f aca="false">AVERAGEIF(Data!$F$2:$F$2001,A15,Data!$U$2:$U$2001)</f>
        <v>0.0798590041246037</v>
      </c>
    </row>
    <row r="18" customFormat="false" ht="15" hidden="false" customHeight="false" outlineLevel="0" collapsed="false">
      <c r="A18" s="7" t="s">
        <v>3194</v>
      </c>
    </row>
    <row r="19" customFormat="false" ht="35.05" hidden="false" customHeight="false" outlineLevel="0" collapsed="false">
      <c r="A19" s="10" t="s">
        <v>3195</v>
      </c>
      <c r="B19" s="10" t="s">
        <v>3191</v>
      </c>
      <c r="C19" s="10" t="s">
        <v>3192</v>
      </c>
      <c r="D19" s="10" t="s">
        <v>3193</v>
      </c>
    </row>
    <row r="20" customFormat="false" ht="15" hidden="false" customHeight="false" outlineLevel="0" collapsed="false">
      <c r="A20" s="2" t="s">
        <v>3196</v>
      </c>
      <c r="B20" s="11" t="n">
        <f aca="false">COUNTIF(Data!$V$2:$V$2001,A20)</f>
        <v>491</v>
      </c>
      <c r="C20" s="11" t="n">
        <f aca="false">AVERAGEIF(Data!$V$2:$V$2001,A20,Data!$L$2:$L$2001)</f>
        <v>18179.4134419552</v>
      </c>
      <c r="D20" s="4" t="n">
        <f aca="false">AVERAGEIF(Data!$V$2:$V$2001,A20,Data!$U$2:$U$2001)</f>
        <v>0.0890198756140122</v>
      </c>
    </row>
    <row r="21" customFormat="false" ht="15" hidden="false" customHeight="false" outlineLevel="0" collapsed="false">
      <c r="A21" s="2" t="s">
        <v>3197</v>
      </c>
      <c r="B21" s="11" t="n">
        <f aca="false">COUNTIF(Data!$V$2:$V$2001,A21)</f>
        <v>497</v>
      </c>
      <c r="C21" s="11" t="n">
        <f aca="false">AVERAGEIF(Data!$V$2:$V$2001,A21,Data!$L$2:$L$2001)</f>
        <v>31143.4567404427</v>
      </c>
      <c r="D21" s="4" t="n">
        <f aca="false">AVERAGEIF(Data!$V$2:$V$2001,A21,Data!$U$2:$U$2001)</f>
        <v>0.0890643294385308</v>
      </c>
    </row>
    <row r="22" customFormat="false" ht="15" hidden="false" customHeight="false" outlineLevel="0" collapsed="false">
      <c r="A22" s="2" t="s">
        <v>3198</v>
      </c>
      <c r="B22" s="11" t="n">
        <f aca="false">COUNTIF(Data!$V$2:$V$2001,A22)</f>
        <v>501</v>
      </c>
      <c r="C22" s="11" t="n">
        <f aca="false">AVERAGEIF(Data!$V$2:$V$2001,A22,Data!$L$2:$L$2001)</f>
        <v>29143.1017964072</v>
      </c>
      <c r="D22" s="4" t="n">
        <f aca="false">AVERAGEIF(Data!$V$2:$V$2001,A22,Data!$U$2:$U$2001)</f>
        <v>0.0876351366517484</v>
      </c>
    </row>
    <row r="23" customFormat="false" ht="15" hidden="false" customHeight="false" outlineLevel="0" collapsed="false">
      <c r="A23" s="2" t="s">
        <v>3199</v>
      </c>
      <c r="B23" s="11" t="n">
        <f aca="false">COUNTIF(Data!$V$2:$V$2001,A23)</f>
        <v>511</v>
      </c>
      <c r="C23" s="11" t="n">
        <f aca="false">AVERAGEIF(Data!$V$2:$V$2001,A23,Data!$L$2:$L$2001)</f>
        <v>39533.2954990215</v>
      </c>
      <c r="D23" s="4" t="n">
        <f aca="false">AVERAGEIF(Data!$V$2:$V$2001,A23,Data!$U$2:$U$2001)</f>
        <v>0.0897950220217072</v>
      </c>
    </row>
    <row r="26" customFormat="false" ht="15" hidden="false" customHeight="false" outlineLevel="0" collapsed="false">
      <c r="A26" s="7" t="s">
        <v>3200</v>
      </c>
    </row>
    <row r="27" customFormat="false" ht="35.05" hidden="false" customHeight="false" outlineLevel="0" collapsed="false">
      <c r="A27" s="10" t="s">
        <v>3201</v>
      </c>
      <c r="B27" s="10" t="s">
        <v>3191</v>
      </c>
      <c r="C27" s="10" t="s">
        <v>3192</v>
      </c>
      <c r="D27" s="10" t="s">
        <v>3193</v>
      </c>
    </row>
    <row r="28" customFormat="false" ht="15" hidden="false" customHeight="false" outlineLevel="0" collapsed="false">
      <c r="A28" s="2" t="s">
        <v>84</v>
      </c>
      <c r="B28" s="11" t="n">
        <f aca="false">COUNTIF(Data!$C$2:$C$2001,A28)</f>
        <v>155</v>
      </c>
      <c r="C28" s="11" t="n">
        <f aca="false">AVERAGEIF(Data!$C$2:$C$2001,A28,Data!$L$2:$L$2001)</f>
        <v>51116.3870967742</v>
      </c>
      <c r="D28" s="4" t="n">
        <f aca="false">AVERAGEIF(Data!$C$2:$C$2001,A28,Data!$U$2:$U$2001)</f>
        <v>0.087601248251864</v>
      </c>
    </row>
    <row r="29" customFormat="false" ht="15" hidden="false" customHeight="false" outlineLevel="0" collapsed="false">
      <c r="A29" s="2" t="s">
        <v>24</v>
      </c>
      <c r="B29" s="11" t="n">
        <f aca="false">COUNTIF(Data!$C$2:$C$2001,A29)</f>
        <v>183</v>
      </c>
      <c r="C29" s="11" t="n">
        <f aca="false">AVERAGEIF(Data!$C$2:$C$2001,A29,Data!$L$2:$L$2001)</f>
        <v>37833.1366120219</v>
      </c>
      <c r="D29" s="4" t="n">
        <f aca="false">AVERAGEIF(Data!$C$2:$C$2001,A29,Data!$U$2:$U$2001)</f>
        <v>0.090956788795521</v>
      </c>
    </row>
    <row r="30" customFormat="false" ht="15" hidden="false" customHeight="false" outlineLevel="0" collapsed="false">
      <c r="A30" s="2" t="s">
        <v>41</v>
      </c>
      <c r="B30" s="11" t="n">
        <f aca="false">COUNTIF(Data!$C$2:$C$2001,A30)</f>
        <v>177</v>
      </c>
      <c r="C30" s="11" t="n">
        <f aca="false">AVERAGEIF(Data!$C$2:$C$2001,A30,Data!$L$2:$L$2001)</f>
        <v>30835.0508474576</v>
      </c>
      <c r="D30" s="4" t="n">
        <f aca="false">AVERAGEIF(Data!$C$2:$C$2001,A30,Data!$U$2:$U$2001)</f>
        <v>0.0854121574967946</v>
      </c>
    </row>
    <row r="31" customFormat="false" ht="15" hidden="false" customHeight="false" outlineLevel="0" collapsed="false">
      <c r="A31" s="2" t="s">
        <v>91</v>
      </c>
      <c r="B31" s="11" t="n">
        <f aca="false">COUNTIF(Data!$C$2:$C$2001,A31)</f>
        <v>226</v>
      </c>
      <c r="C31" s="11" t="n">
        <f aca="false">AVERAGEIF(Data!$C$2:$C$2001,A31,Data!$L$2:$L$2001)</f>
        <v>29337.1017699115</v>
      </c>
      <c r="D31" s="4" t="n">
        <f aca="false">AVERAGEIF(Data!$C$2:$C$2001,A31,Data!$U$2:$U$2001)</f>
        <v>0.0908966670936611</v>
      </c>
    </row>
    <row r="32" customFormat="false" ht="15" hidden="false" customHeight="false" outlineLevel="0" collapsed="false">
      <c r="A32" s="2" t="s">
        <v>36</v>
      </c>
      <c r="B32" s="11" t="n">
        <f aca="false">COUNTIF(Data!$C$2:$C$2001,A32)</f>
        <v>461</v>
      </c>
      <c r="C32" s="11" t="n">
        <f aca="false">AVERAGEIF(Data!$C$2:$C$2001,A32,Data!$L$2:$L$2001)</f>
        <v>29078.6203904555</v>
      </c>
      <c r="D32" s="4" t="n">
        <f aca="false">AVERAGEIF(Data!$C$2:$C$2001,A32,Data!$U$2:$U$2001)</f>
        <v>0.0864859043622743</v>
      </c>
    </row>
    <row r="33" customFormat="false" ht="15" hidden="false" customHeight="false" outlineLevel="0" collapsed="false">
      <c r="A33" s="2" t="s">
        <v>30</v>
      </c>
      <c r="B33" s="11" t="n">
        <f aca="false">COUNTIF(Data!$C$2:$C$2001,A33)</f>
        <v>259</v>
      </c>
      <c r="C33" s="11" t="n">
        <f aca="false">AVERAGEIF(Data!$C$2:$C$2001,A33,Data!$L$2:$L$2001)</f>
        <v>25781.9305019305</v>
      </c>
      <c r="D33" s="4" t="n">
        <f aca="false">AVERAGEIF(Data!$C$2:$C$2001,A33,Data!$U$2:$U$2001)</f>
        <v>0.0902329569453115</v>
      </c>
    </row>
    <row r="34" customFormat="false" ht="15" hidden="false" customHeight="false" outlineLevel="0" collapsed="false">
      <c r="A34" s="2" t="s">
        <v>48</v>
      </c>
      <c r="B34" s="11" t="n">
        <f aca="false">COUNTIF(Data!$C$2:$C$2001,A34)</f>
        <v>362</v>
      </c>
      <c r="C34" s="11" t="n">
        <f aca="false">AVERAGEIF(Data!$C$2:$C$2001,A34,Data!$L$2:$L$2001)</f>
        <v>24195.4889502762</v>
      </c>
      <c r="D34" s="4" t="n">
        <f aca="false">AVERAGEIF(Data!$C$2:$C$2001,A34,Data!$U$2:$U$2001)</f>
        <v>0.0894255949690975</v>
      </c>
    </row>
    <row r="35" customFormat="false" ht="15" hidden="false" customHeight="false" outlineLevel="0" collapsed="false">
      <c r="A35" s="2" t="s">
        <v>54</v>
      </c>
      <c r="B35" s="11" t="n">
        <f aca="false">COUNTIF(Data!$C$2:$C$2001,A35)</f>
        <v>177</v>
      </c>
      <c r="C35" s="11" t="n">
        <f aca="false">AVERAGEIF(Data!$C$2:$C$2001,A35,Data!$L$2:$L$2001)</f>
        <v>19381.7740112994</v>
      </c>
      <c r="D35" s="4" t="n">
        <f aca="false">AVERAGEIF(Data!$C$2:$C$2001,A35,Data!$U$2:$U$2001)</f>
        <v>0.091909055173285</v>
      </c>
    </row>
    <row r="38" customFormat="false" ht="15" hidden="false" customHeight="false" outlineLevel="0" collapsed="false">
      <c r="A38" s="7" t="s">
        <v>3202</v>
      </c>
    </row>
    <row r="39" customFormat="false" ht="35.05" hidden="false" customHeight="false" outlineLevel="0" collapsed="false">
      <c r="A39" s="10" t="s">
        <v>3203</v>
      </c>
      <c r="B39" s="10" t="s">
        <v>3191</v>
      </c>
      <c r="C39" s="10" t="s">
        <v>3192</v>
      </c>
      <c r="D39" s="10" t="s">
        <v>3193</v>
      </c>
    </row>
    <row r="40" customFormat="false" ht="15" hidden="false" customHeight="false" outlineLevel="0" collapsed="false">
      <c r="A40" s="2" t="n">
        <v>0</v>
      </c>
      <c r="B40" s="11" t="n">
        <f aca="false">COUNTIF(Data!$J$2:$J$2001,A40)</f>
        <v>1195</v>
      </c>
      <c r="C40" s="11" t="n">
        <f aca="false">AVERAGEIF(Data!$J$2:$J$2001,A40,Data!$L$2:$L$2001)</f>
        <v>29191.3464435146</v>
      </c>
      <c r="D40" s="4" t="n">
        <f aca="false">AVERAGEIF(Data!$J$2:$J$2001,A40,Data!$U$2:$U$2001)</f>
        <v>0.0895168295310305</v>
      </c>
    </row>
    <row r="41" customFormat="false" ht="15" hidden="false" customHeight="false" outlineLevel="0" collapsed="false">
      <c r="A41" s="2" t="n">
        <v>1</v>
      </c>
      <c r="B41" s="11" t="n">
        <f aca="false">COUNTIF(Data!$J$2:$J$2001,A41)</f>
        <v>805</v>
      </c>
      <c r="C41" s="11" t="n">
        <f aca="false">AVERAGEIF(Data!$J$2:$J$2001,A41,Data!$L$2:$L$2001)</f>
        <v>30214.8310559006</v>
      </c>
      <c r="D41" s="4" t="n">
        <f aca="false">AVERAGEIF(Data!$J$2:$J$2001,A41,Data!$U$2:$U$2001)</f>
        <v>0.0879398497931263</v>
      </c>
    </row>
    <row r="44" customFormat="false" ht="15" hidden="false" customHeight="false" outlineLevel="0" collapsed="false">
      <c r="A44" s="7" t="s">
        <v>3204</v>
      </c>
    </row>
    <row r="45" customFormat="false" ht="15" hidden="false" customHeight="false" outlineLevel="0" collapsed="false">
      <c r="A45" s="10" t="s">
        <v>3205</v>
      </c>
      <c r="B45" s="10" t="s">
        <v>3206</v>
      </c>
      <c r="C45" s="10" t="s">
        <v>3207</v>
      </c>
      <c r="D45" s="10" t="s">
        <v>3191</v>
      </c>
      <c r="E45" s="10" t="s">
        <v>3192</v>
      </c>
    </row>
    <row r="46" customFormat="false" ht="15" hidden="false" customHeight="false" outlineLevel="0" collapsed="false">
      <c r="A46" s="2" t="s">
        <v>3208</v>
      </c>
      <c r="B46" s="12" t="n">
        <v>0</v>
      </c>
      <c r="C46" s="12" t="n">
        <v>5</v>
      </c>
      <c r="D46" s="11" t="n">
        <f aca="false">COUNTIFS(Data!$H$2:$H$2001,"&gt;="&amp;B46,Data!$H$2:$H$2001,"&lt;="&amp;C46)</f>
        <v>290</v>
      </c>
      <c r="E46" s="11" t="n">
        <f aca="false">AVERAGEIFS(Data!$L$2:$L$2001,Data!$H$2:$H$2001,"&gt;="&amp;B46,Data!$H$2:$H$2001,"&lt;="&amp;C46)</f>
        <v>24402.6931034483</v>
      </c>
    </row>
    <row r="47" customFormat="false" ht="15" hidden="false" customHeight="false" outlineLevel="0" collapsed="false">
      <c r="A47" s="2" t="s">
        <v>3209</v>
      </c>
      <c r="B47" s="12" t="n">
        <v>6</v>
      </c>
      <c r="C47" s="12" t="n">
        <v>10</v>
      </c>
      <c r="D47" s="11" t="n">
        <f aca="false">COUNTIFS(Data!$H$2:$H$2001,"&gt;="&amp;B47,Data!$H$2:$H$2001,"&lt;="&amp;C47)</f>
        <v>545</v>
      </c>
      <c r="E47" s="11" t="n">
        <f aca="false">AVERAGEIFS(Data!$L$2:$L$2001,Data!$H$2:$H$2001,"&gt;="&amp;B47,Data!$H$2:$H$2001,"&lt;="&amp;C47)</f>
        <v>29120.2917431193</v>
      </c>
    </row>
    <row r="48" customFormat="false" ht="15" hidden="false" customHeight="false" outlineLevel="0" collapsed="false">
      <c r="A48" s="2" t="s">
        <v>3210</v>
      </c>
      <c r="B48" s="12" t="n">
        <v>11</v>
      </c>
      <c r="C48" s="12" t="n">
        <v>15</v>
      </c>
      <c r="D48" s="11" t="n">
        <f aca="false">COUNTIFS(Data!$H$2:$H$2001,"&gt;="&amp;B48,Data!$H$2:$H$2001,"&lt;="&amp;C48)</f>
        <v>667</v>
      </c>
      <c r="E48" s="11" t="n">
        <f aca="false">AVERAGEIFS(Data!$L$2:$L$2001,Data!$H$2:$H$2001,"&gt;="&amp;B48,Data!$H$2:$H$2001,"&lt;="&amp;C48)</f>
        <v>31170.4617691154</v>
      </c>
    </row>
    <row r="49" customFormat="false" ht="15" hidden="false" customHeight="false" outlineLevel="0" collapsed="false">
      <c r="A49" s="2" t="s">
        <v>3211</v>
      </c>
      <c r="B49" s="12" t="n">
        <v>16</v>
      </c>
      <c r="C49" s="12" t="n">
        <v>30</v>
      </c>
      <c r="D49" s="11" t="n">
        <f aca="false">COUNTIFS(Data!$H$2:$H$2001,"&gt;="&amp;B49,Data!$H$2:$H$2001,"&lt;="&amp;C49)</f>
        <v>498</v>
      </c>
      <c r="E49" s="11" t="n">
        <f aca="false">AVERAGEIFS(Data!$L$2:$L$2001,Data!$H$2:$H$2001,"&gt;="&amp;B49,Data!$H$2:$H$2001,"&lt;="&amp;C49)</f>
        <v>31061.3654618474</v>
      </c>
    </row>
    <row r="52" customFormat="false" ht="15" hidden="false" customHeight="false" outlineLevel="0" collapsed="false">
      <c r="A52" s="7" t="s">
        <v>3212</v>
      </c>
    </row>
    <row r="53" customFormat="false" ht="15" hidden="false" customHeight="false" outlineLevel="0" collapsed="false">
      <c r="A53" s="10" t="s">
        <v>3213</v>
      </c>
      <c r="B53" s="10" t="n">
        <v>0</v>
      </c>
      <c r="C53" s="10" t="n">
        <v>1</v>
      </c>
      <c r="D53" s="10" t="n">
        <v>2</v>
      </c>
      <c r="E53" s="10" t="n">
        <v>3</v>
      </c>
      <c r="F53" s="10" t="n">
        <v>4</v>
      </c>
      <c r="G53" s="10" t="n">
        <v>5</v>
      </c>
      <c r="H53" s="10" t="n">
        <v>6</v>
      </c>
      <c r="I53" s="10" t="n">
        <v>7</v>
      </c>
      <c r="J53" s="10" t="n">
        <v>8</v>
      </c>
      <c r="K53" s="10" t="n">
        <v>9</v>
      </c>
      <c r="L53" s="10" t="n">
        <v>10</v>
      </c>
      <c r="M53" s="10" t="n">
        <v>11</v>
      </c>
      <c r="N53" s="10" t="n">
        <v>12</v>
      </c>
      <c r="O53" s="10" t="n">
        <v>13</v>
      </c>
      <c r="P53" s="10" t="n">
        <v>14</v>
      </c>
      <c r="Q53" s="10" t="n">
        <v>15</v>
      </c>
      <c r="R53" s="10" t="n">
        <v>16</v>
      </c>
      <c r="S53" s="10" t="n">
        <v>17</v>
      </c>
      <c r="T53" s="10" t="n">
        <v>18</v>
      </c>
      <c r="U53" s="10" t="n">
        <v>19</v>
      </c>
      <c r="V53" s="10" t="n">
        <v>20</v>
      </c>
      <c r="W53" s="10" t="n">
        <v>21</v>
      </c>
      <c r="X53" s="10" t="n">
        <v>22</v>
      </c>
      <c r="Y53" s="10" t="n">
        <v>23</v>
      </c>
    </row>
    <row r="54" customFormat="false" ht="15" hidden="false" customHeight="false" outlineLevel="0" collapsed="false">
      <c r="A54" s="2" t="s">
        <v>33</v>
      </c>
      <c r="B54" s="11" t="n">
        <f aca="false">IFERROR(AVERAGEIFS(Data!$L$2:$L$2001,Data!$T$2:$T$2001,$A54,Data!$S$2:$S$2001,B$53),"")</f>
        <v>40238</v>
      </c>
      <c r="C54" s="11" t="n">
        <f aca="false">IFERROR(AVERAGEIFS(Data!$L$2:$L$2001,Data!$T$2:$T$2001,$A54,Data!$S$2:$S$2001,C$53),"")</f>
        <v>12114.7692307692</v>
      </c>
      <c r="D54" s="11" t="n">
        <f aca="false">IFERROR(AVERAGEIFS(Data!$L$2:$L$2001,Data!$T$2:$T$2001,$A54,Data!$S$2:$S$2001,D$53),"")</f>
        <v>12421.6923076923</v>
      </c>
      <c r="E54" s="11" t="n">
        <f aca="false">IFERROR(AVERAGEIFS(Data!$L$2:$L$2001,Data!$T$2:$T$2001,$A54,Data!$S$2:$S$2001,E$53),"")</f>
        <v>13877.8333333333</v>
      </c>
      <c r="F54" s="11" t="n">
        <f aca="false">IFERROR(AVERAGEIFS(Data!$L$2:$L$2001,Data!$T$2:$T$2001,$A54,Data!$S$2:$S$2001,F$53),"")</f>
        <v>7774.25</v>
      </c>
      <c r="G54" s="11" t="n">
        <f aca="false">IFERROR(AVERAGEIFS(Data!$L$2:$L$2001,Data!$T$2:$T$2001,$A54,Data!$S$2:$S$2001,G$53),"")</f>
        <v>14151.5</v>
      </c>
      <c r="H54" s="11" t="n">
        <f aca="false">IFERROR(AVERAGEIFS(Data!$L$2:$L$2001,Data!$T$2:$T$2001,$A54,Data!$S$2:$S$2001,H$53),"")</f>
        <v>19189.1666666667</v>
      </c>
      <c r="I54" s="11" t="n">
        <f aca="false">IFERROR(AVERAGEIFS(Data!$L$2:$L$2001,Data!$T$2:$T$2001,$A54,Data!$S$2:$S$2001,I$53),"")</f>
        <v>33413.7222222222</v>
      </c>
      <c r="J54" s="11" t="n">
        <f aca="false">IFERROR(AVERAGEIFS(Data!$L$2:$L$2001,Data!$T$2:$T$2001,$A54,Data!$S$2:$S$2001,J$53),"")</f>
        <v>27323.3571428571</v>
      </c>
      <c r="K54" s="11" t="n">
        <f aca="false">IFERROR(AVERAGEIFS(Data!$L$2:$L$2001,Data!$T$2:$T$2001,$A54,Data!$S$2:$S$2001,K$53),"")</f>
        <v>35315</v>
      </c>
      <c r="L54" s="11" t="n">
        <f aca="false">IFERROR(AVERAGEIFS(Data!$L$2:$L$2001,Data!$T$2:$T$2001,$A54,Data!$S$2:$S$2001,L$53),"")</f>
        <v>24173.6</v>
      </c>
      <c r="M54" s="11" t="n">
        <f aca="false">IFERROR(AVERAGEIFS(Data!$L$2:$L$2001,Data!$T$2:$T$2001,$A54,Data!$S$2:$S$2001,M$53),"")</f>
        <v>32537.7058823529</v>
      </c>
      <c r="N54" s="11" t="n">
        <f aca="false">IFERROR(AVERAGEIFS(Data!$L$2:$L$2001,Data!$T$2:$T$2001,$A54,Data!$S$2:$S$2001,N$53),"")</f>
        <v>31693.2142857143</v>
      </c>
      <c r="O54" s="11" t="n">
        <f aca="false">IFERROR(AVERAGEIFS(Data!$L$2:$L$2001,Data!$T$2:$T$2001,$A54,Data!$S$2:$S$2001,O$53),"")</f>
        <v>36490.5555555556</v>
      </c>
      <c r="P54" s="11" t="n">
        <f aca="false">IFERROR(AVERAGEIFS(Data!$L$2:$L$2001,Data!$T$2:$T$2001,$A54,Data!$S$2:$S$2001,P$53),"")</f>
        <v>31202.1666666667</v>
      </c>
      <c r="Q54" s="11" t="n">
        <f aca="false">IFERROR(AVERAGEIFS(Data!$L$2:$L$2001,Data!$T$2:$T$2001,$A54,Data!$S$2:$S$2001,Q$53),"")</f>
        <v>33333.2</v>
      </c>
      <c r="R54" s="11" t="n">
        <f aca="false">IFERROR(AVERAGEIFS(Data!$L$2:$L$2001,Data!$T$2:$T$2001,$A54,Data!$S$2:$S$2001,R$53),"")</f>
        <v>28028.6470588235</v>
      </c>
      <c r="S54" s="11" t="n">
        <f aca="false">IFERROR(AVERAGEIFS(Data!$L$2:$L$2001,Data!$T$2:$T$2001,$A54,Data!$S$2:$S$2001,S$53),"")</f>
        <v>23255.6153846154</v>
      </c>
      <c r="T54" s="11" t="n">
        <f aca="false">IFERROR(AVERAGEIFS(Data!$L$2:$L$2001,Data!$T$2:$T$2001,$A54,Data!$S$2:$S$2001,T$53),"")</f>
        <v>26746.7777777778</v>
      </c>
      <c r="U54" s="11" t="n">
        <f aca="false">IFERROR(AVERAGEIFS(Data!$L$2:$L$2001,Data!$T$2:$T$2001,$A54,Data!$S$2:$S$2001,U$53),"")</f>
        <v>38179.8571428571</v>
      </c>
      <c r="V54" s="11" t="n">
        <f aca="false">IFERROR(AVERAGEIFS(Data!$L$2:$L$2001,Data!$T$2:$T$2001,$A54,Data!$S$2:$S$2001,V$53),"")</f>
        <v>37015.6666666667</v>
      </c>
      <c r="W54" s="11" t="n">
        <f aca="false">IFERROR(AVERAGEIFS(Data!$L$2:$L$2001,Data!$T$2:$T$2001,$A54,Data!$S$2:$S$2001,W$53),"")</f>
        <v>44831.6666666667</v>
      </c>
      <c r="X54" s="11" t="n">
        <f aca="false">IFERROR(AVERAGEIFS(Data!$L$2:$L$2001,Data!$T$2:$T$2001,$A54,Data!$S$2:$S$2001,X$53),"")</f>
        <v>51650.4375</v>
      </c>
      <c r="Y54" s="11" t="n">
        <f aca="false">IFERROR(AVERAGEIFS(Data!$L$2:$L$2001,Data!$T$2:$T$2001,$A54,Data!$S$2:$S$2001,Y$53),"")</f>
        <v>27587.8571428571</v>
      </c>
    </row>
    <row r="55" customFormat="false" ht="15" hidden="false" customHeight="false" outlineLevel="0" collapsed="false">
      <c r="A55" s="2" t="s">
        <v>51</v>
      </c>
      <c r="B55" s="11" t="n">
        <f aca="false">IFERROR(AVERAGEIFS(Data!$L$2:$L$2001,Data!$T$2:$T$2001,$A55,Data!$S$2:$S$2001,B$53),"")</f>
        <v>23440.9166666667</v>
      </c>
      <c r="C55" s="11" t="n">
        <f aca="false">IFERROR(AVERAGEIFS(Data!$L$2:$L$2001,Data!$T$2:$T$2001,$A55,Data!$S$2:$S$2001,C$53),"")</f>
        <v>12130</v>
      </c>
      <c r="D55" s="11" t="n">
        <f aca="false">IFERROR(AVERAGEIFS(Data!$L$2:$L$2001,Data!$T$2:$T$2001,$A55,Data!$S$2:$S$2001,D$53),"")</f>
        <v>20160.3076923077</v>
      </c>
      <c r="E55" s="11" t="n">
        <f aca="false">IFERROR(AVERAGEIFS(Data!$L$2:$L$2001,Data!$T$2:$T$2001,$A55,Data!$S$2:$S$2001,E$53),"")</f>
        <v>11868</v>
      </c>
      <c r="F55" s="11" t="n">
        <f aca="false">IFERROR(AVERAGEIFS(Data!$L$2:$L$2001,Data!$T$2:$T$2001,$A55,Data!$S$2:$S$2001,F$53),"")</f>
        <v>11524.6666666667</v>
      </c>
      <c r="G55" s="11" t="n">
        <f aca="false">IFERROR(AVERAGEIFS(Data!$L$2:$L$2001,Data!$T$2:$T$2001,$A55,Data!$S$2:$S$2001,G$53),"")</f>
        <v>31595</v>
      </c>
      <c r="H55" s="11" t="n">
        <f aca="false">IFERROR(AVERAGEIFS(Data!$L$2:$L$2001,Data!$T$2:$T$2001,$A55,Data!$S$2:$S$2001,H$53),"")</f>
        <v>17312.7692307692</v>
      </c>
      <c r="I55" s="11" t="n">
        <f aca="false">IFERROR(AVERAGEIFS(Data!$L$2:$L$2001,Data!$T$2:$T$2001,$A55,Data!$S$2:$S$2001,I$53),"")</f>
        <v>42484.8333333333</v>
      </c>
      <c r="J55" s="11" t="n">
        <f aca="false">IFERROR(AVERAGEIFS(Data!$L$2:$L$2001,Data!$T$2:$T$2001,$A55,Data!$S$2:$S$2001,J$53),"")</f>
        <v>22949.1176470588</v>
      </c>
      <c r="K55" s="11" t="n">
        <f aca="false">IFERROR(AVERAGEIFS(Data!$L$2:$L$2001,Data!$T$2:$T$2001,$A55,Data!$S$2:$S$2001,K$53),"")</f>
        <v>25043.2857142857</v>
      </c>
      <c r="L55" s="11" t="n">
        <f aca="false">IFERROR(AVERAGEIFS(Data!$L$2:$L$2001,Data!$T$2:$T$2001,$A55,Data!$S$2:$S$2001,L$53),"")</f>
        <v>17915.9090909091</v>
      </c>
      <c r="M55" s="11" t="n">
        <f aca="false">IFERROR(AVERAGEIFS(Data!$L$2:$L$2001,Data!$T$2:$T$2001,$A55,Data!$S$2:$S$2001,M$53),"")</f>
        <v>21966.6</v>
      </c>
      <c r="N55" s="11" t="n">
        <f aca="false">IFERROR(AVERAGEIFS(Data!$L$2:$L$2001,Data!$T$2:$T$2001,$A55,Data!$S$2:$S$2001,N$53),"")</f>
        <v>30610.3</v>
      </c>
      <c r="O55" s="11" t="n">
        <f aca="false">IFERROR(AVERAGEIFS(Data!$L$2:$L$2001,Data!$T$2:$T$2001,$A55,Data!$S$2:$S$2001,O$53),"")</f>
        <v>30655.75</v>
      </c>
      <c r="P55" s="11" t="n">
        <f aca="false">IFERROR(AVERAGEIFS(Data!$L$2:$L$2001,Data!$T$2:$T$2001,$A55,Data!$S$2:$S$2001,P$53),"")</f>
        <v>20700.0909090909</v>
      </c>
      <c r="Q55" s="11" t="n">
        <f aca="false">IFERROR(AVERAGEIFS(Data!$L$2:$L$2001,Data!$T$2:$T$2001,$A55,Data!$S$2:$S$2001,Q$53),"")</f>
        <v>17072.7857142857</v>
      </c>
      <c r="R55" s="11" t="n">
        <f aca="false">IFERROR(AVERAGEIFS(Data!$L$2:$L$2001,Data!$T$2:$T$2001,$A55,Data!$S$2:$S$2001,R$53),"")</f>
        <v>19917.8333333333</v>
      </c>
      <c r="S55" s="11" t="n">
        <f aca="false">IFERROR(AVERAGEIFS(Data!$L$2:$L$2001,Data!$T$2:$T$2001,$A55,Data!$S$2:$S$2001,S$53),"")</f>
        <v>27724.9</v>
      </c>
      <c r="T55" s="11" t="n">
        <f aca="false">IFERROR(AVERAGEIFS(Data!$L$2:$L$2001,Data!$T$2:$T$2001,$A55,Data!$S$2:$S$2001,T$53),"")</f>
        <v>89709.75</v>
      </c>
      <c r="U55" s="11" t="n">
        <f aca="false">IFERROR(AVERAGEIFS(Data!$L$2:$L$2001,Data!$T$2:$T$2001,$A55,Data!$S$2:$S$2001,U$53),"")</f>
        <v>55889.2</v>
      </c>
      <c r="V55" s="11" t="n">
        <f aca="false">IFERROR(AVERAGEIFS(Data!$L$2:$L$2001,Data!$T$2:$T$2001,$A55,Data!$S$2:$S$2001,V$53),"")</f>
        <v>38466.4</v>
      </c>
      <c r="W55" s="11" t="n">
        <f aca="false">IFERROR(AVERAGEIFS(Data!$L$2:$L$2001,Data!$T$2:$T$2001,$A55,Data!$S$2:$S$2001,W$53),"")</f>
        <v>21519.6</v>
      </c>
      <c r="X55" s="11" t="n">
        <f aca="false">IFERROR(AVERAGEIFS(Data!$L$2:$L$2001,Data!$T$2:$T$2001,$A55,Data!$S$2:$S$2001,X$53),"")</f>
        <v>38642.8125</v>
      </c>
      <c r="Y55" s="11" t="n">
        <f aca="false">IFERROR(AVERAGEIFS(Data!$L$2:$L$2001,Data!$T$2:$T$2001,$A55,Data!$S$2:$S$2001,Y$53),"")</f>
        <v>22609.6</v>
      </c>
    </row>
    <row r="56" customFormat="false" ht="15" hidden="false" customHeight="false" outlineLevel="0" collapsed="false">
      <c r="A56" s="2" t="s">
        <v>66</v>
      </c>
      <c r="B56" s="11" t="n">
        <f aca="false">IFERROR(AVERAGEIFS(Data!$L$2:$L$2001,Data!$T$2:$T$2001,$A56,Data!$S$2:$S$2001,B$53),"")</f>
        <v>18588.1666666667</v>
      </c>
      <c r="C56" s="11" t="n">
        <f aca="false">IFERROR(AVERAGEIFS(Data!$L$2:$L$2001,Data!$T$2:$T$2001,$A56,Data!$S$2:$S$2001,C$53),"")</f>
        <v>16130.8333333333</v>
      </c>
      <c r="D56" s="11" t="n">
        <f aca="false">IFERROR(AVERAGEIFS(Data!$L$2:$L$2001,Data!$T$2:$T$2001,$A56,Data!$S$2:$S$2001,D$53),"")</f>
        <v>14303</v>
      </c>
      <c r="E56" s="11" t="n">
        <f aca="false">IFERROR(AVERAGEIFS(Data!$L$2:$L$2001,Data!$T$2:$T$2001,$A56,Data!$S$2:$S$2001,E$53),"")</f>
        <v>10641.75</v>
      </c>
      <c r="F56" s="11" t="n">
        <f aca="false">IFERROR(AVERAGEIFS(Data!$L$2:$L$2001,Data!$T$2:$T$2001,$A56,Data!$S$2:$S$2001,F$53),"")</f>
        <v>21129.5</v>
      </c>
      <c r="G56" s="11" t="n">
        <f aca="false">IFERROR(AVERAGEIFS(Data!$L$2:$L$2001,Data!$T$2:$T$2001,$A56,Data!$S$2:$S$2001,G$53),"")</f>
        <v>22292.8181818182</v>
      </c>
      <c r="H56" s="11" t="n">
        <f aca="false">IFERROR(AVERAGEIFS(Data!$L$2:$L$2001,Data!$T$2:$T$2001,$A56,Data!$S$2:$S$2001,H$53),"")</f>
        <v>34002.6666666667</v>
      </c>
      <c r="I56" s="11" t="n">
        <f aca="false">IFERROR(AVERAGEIFS(Data!$L$2:$L$2001,Data!$T$2:$T$2001,$A56,Data!$S$2:$S$2001,I$53),"")</f>
        <v>35739.4</v>
      </c>
      <c r="J56" s="11" t="n">
        <f aca="false">IFERROR(AVERAGEIFS(Data!$L$2:$L$2001,Data!$T$2:$T$2001,$A56,Data!$S$2:$S$2001,J$53),"")</f>
        <v>30166.5</v>
      </c>
      <c r="K56" s="11" t="n">
        <f aca="false">IFERROR(AVERAGEIFS(Data!$L$2:$L$2001,Data!$T$2:$T$2001,$A56,Data!$S$2:$S$2001,K$53),"")</f>
        <v>29672</v>
      </c>
      <c r="L56" s="11" t="n">
        <f aca="false">IFERROR(AVERAGEIFS(Data!$L$2:$L$2001,Data!$T$2:$T$2001,$A56,Data!$S$2:$S$2001,L$53),"")</f>
        <v>21816.7857142857</v>
      </c>
      <c r="M56" s="11" t="n">
        <f aca="false">IFERROR(AVERAGEIFS(Data!$L$2:$L$2001,Data!$T$2:$T$2001,$A56,Data!$S$2:$S$2001,M$53),"")</f>
        <v>17237.2142857143</v>
      </c>
      <c r="N56" s="11" t="n">
        <f aca="false">IFERROR(AVERAGEIFS(Data!$L$2:$L$2001,Data!$T$2:$T$2001,$A56,Data!$S$2:$S$2001,N$53),"")</f>
        <v>19840.1333333333</v>
      </c>
      <c r="O56" s="11" t="n">
        <f aca="false">IFERROR(AVERAGEIFS(Data!$L$2:$L$2001,Data!$T$2:$T$2001,$A56,Data!$S$2:$S$2001,O$53),"")</f>
        <v>37642.5454545455</v>
      </c>
      <c r="P56" s="11" t="n">
        <f aca="false">IFERROR(AVERAGEIFS(Data!$L$2:$L$2001,Data!$T$2:$T$2001,$A56,Data!$S$2:$S$2001,P$53),"")</f>
        <v>23398.3636363636</v>
      </c>
      <c r="Q56" s="11" t="n">
        <f aca="false">IFERROR(AVERAGEIFS(Data!$L$2:$L$2001,Data!$T$2:$T$2001,$A56,Data!$S$2:$S$2001,Q$53),"")</f>
        <v>21842.1</v>
      </c>
      <c r="R56" s="11" t="n">
        <f aca="false">IFERROR(AVERAGEIFS(Data!$L$2:$L$2001,Data!$T$2:$T$2001,$A56,Data!$S$2:$S$2001,R$53),"")</f>
        <v>31658.4</v>
      </c>
      <c r="S56" s="11" t="n">
        <f aca="false">IFERROR(AVERAGEIFS(Data!$L$2:$L$2001,Data!$T$2:$T$2001,$A56,Data!$S$2:$S$2001,S$53),"")</f>
        <v>34543.8636363636</v>
      </c>
      <c r="T56" s="11" t="n">
        <f aca="false">IFERROR(AVERAGEIFS(Data!$L$2:$L$2001,Data!$T$2:$T$2001,$A56,Data!$S$2:$S$2001,T$53),"")</f>
        <v>45502.5714285714</v>
      </c>
      <c r="U56" s="11" t="n">
        <f aca="false">IFERROR(AVERAGEIFS(Data!$L$2:$L$2001,Data!$T$2:$T$2001,$A56,Data!$S$2:$S$2001,U$53),"")</f>
        <v>37415.7142857143</v>
      </c>
      <c r="V56" s="11" t="n">
        <f aca="false">IFERROR(AVERAGEIFS(Data!$L$2:$L$2001,Data!$T$2:$T$2001,$A56,Data!$S$2:$S$2001,V$53),"")</f>
        <v>38637.1428571429</v>
      </c>
      <c r="W56" s="11" t="n">
        <f aca="false">IFERROR(AVERAGEIFS(Data!$L$2:$L$2001,Data!$T$2:$T$2001,$A56,Data!$S$2:$S$2001,W$53),"")</f>
        <v>36885.1538461538</v>
      </c>
      <c r="X56" s="11" t="n">
        <f aca="false">IFERROR(AVERAGEIFS(Data!$L$2:$L$2001,Data!$T$2:$T$2001,$A56,Data!$S$2:$S$2001,X$53),"")</f>
        <v>46511.0588235294</v>
      </c>
      <c r="Y56" s="11" t="n">
        <f aca="false">IFERROR(AVERAGEIFS(Data!$L$2:$L$2001,Data!$T$2:$T$2001,$A56,Data!$S$2:$S$2001,Y$53),"")</f>
        <v>30823.3571428571</v>
      </c>
    </row>
    <row r="57" customFormat="false" ht="15" hidden="false" customHeight="false" outlineLevel="0" collapsed="false">
      <c r="A57" s="2" t="s">
        <v>79</v>
      </c>
      <c r="B57" s="11" t="n">
        <f aca="false">IFERROR(AVERAGEIFS(Data!$L$2:$L$2001,Data!$T$2:$T$2001,$A57,Data!$S$2:$S$2001,B$53),"")</f>
        <v>28221.8571428571</v>
      </c>
      <c r="C57" s="11" t="n">
        <f aca="false">IFERROR(AVERAGEIFS(Data!$L$2:$L$2001,Data!$T$2:$T$2001,$A57,Data!$S$2:$S$2001,C$53),"")</f>
        <v>13680</v>
      </c>
      <c r="D57" s="11" t="n">
        <f aca="false">IFERROR(AVERAGEIFS(Data!$L$2:$L$2001,Data!$T$2:$T$2001,$A57,Data!$S$2:$S$2001,D$53),"")</f>
        <v>18022.8</v>
      </c>
      <c r="E57" s="11" t="n">
        <f aca="false">IFERROR(AVERAGEIFS(Data!$L$2:$L$2001,Data!$T$2:$T$2001,$A57,Data!$S$2:$S$2001,E$53),"")</f>
        <v>21753</v>
      </c>
      <c r="F57" s="11" t="n">
        <f aca="false">IFERROR(AVERAGEIFS(Data!$L$2:$L$2001,Data!$T$2:$T$2001,$A57,Data!$S$2:$S$2001,F$53),"")</f>
        <v>17059.4545454545</v>
      </c>
      <c r="G57" s="11" t="n">
        <f aca="false">IFERROR(AVERAGEIFS(Data!$L$2:$L$2001,Data!$T$2:$T$2001,$A57,Data!$S$2:$S$2001,G$53),"")</f>
        <v>37559.125</v>
      </c>
      <c r="H57" s="11" t="n">
        <f aca="false">IFERROR(AVERAGEIFS(Data!$L$2:$L$2001,Data!$T$2:$T$2001,$A57,Data!$S$2:$S$2001,H$53),"")</f>
        <v>41890.9090909091</v>
      </c>
      <c r="I57" s="11" t="n">
        <f aca="false">IFERROR(AVERAGEIFS(Data!$L$2:$L$2001,Data!$T$2:$T$2001,$A57,Data!$S$2:$S$2001,I$53),"")</f>
        <v>47869.5555555556</v>
      </c>
      <c r="J57" s="11" t="n">
        <f aca="false">IFERROR(AVERAGEIFS(Data!$L$2:$L$2001,Data!$T$2:$T$2001,$A57,Data!$S$2:$S$2001,J$53),"")</f>
        <v>82819.2222222222</v>
      </c>
      <c r="K57" s="11" t="n">
        <f aca="false">IFERROR(AVERAGEIFS(Data!$L$2:$L$2001,Data!$T$2:$T$2001,$A57,Data!$S$2:$S$2001,K$53),"")</f>
        <v>23297.2727272727</v>
      </c>
      <c r="L57" s="11" t="n">
        <f aca="false">IFERROR(AVERAGEIFS(Data!$L$2:$L$2001,Data!$T$2:$T$2001,$A57,Data!$S$2:$S$2001,L$53),"")</f>
        <v>31084.5833333333</v>
      </c>
      <c r="M57" s="11" t="n">
        <f aca="false">IFERROR(AVERAGEIFS(Data!$L$2:$L$2001,Data!$T$2:$T$2001,$A57,Data!$S$2:$S$2001,M$53),"")</f>
        <v>21115.9333333333</v>
      </c>
      <c r="N57" s="11" t="n">
        <f aca="false">IFERROR(AVERAGEIFS(Data!$L$2:$L$2001,Data!$T$2:$T$2001,$A57,Data!$S$2:$S$2001,N$53),"")</f>
        <v>31201.3571428571</v>
      </c>
      <c r="O57" s="11" t="n">
        <f aca="false">IFERROR(AVERAGEIFS(Data!$L$2:$L$2001,Data!$T$2:$T$2001,$A57,Data!$S$2:$S$2001,O$53),"")</f>
        <v>20837.9285714286</v>
      </c>
      <c r="P57" s="11" t="n">
        <f aca="false">IFERROR(AVERAGEIFS(Data!$L$2:$L$2001,Data!$T$2:$T$2001,$A57,Data!$S$2:$S$2001,P$53),"")</f>
        <v>11007.6</v>
      </c>
      <c r="Q57" s="11" t="n">
        <f aca="false">IFERROR(AVERAGEIFS(Data!$L$2:$L$2001,Data!$T$2:$T$2001,$A57,Data!$S$2:$S$2001,Q$53),"")</f>
        <v>24633.4285714286</v>
      </c>
      <c r="R57" s="11" t="n">
        <f aca="false">IFERROR(AVERAGEIFS(Data!$L$2:$L$2001,Data!$T$2:$T$2001,$A57,Data!$S$2:$S$2001,R$53),"")</f>
        <v>23364.1</v>
      </c>
      <c r="S57" s="11" t="n">
        <f aca="false">IFERROR(AVERAGEIFS(Data!$L$2:$L$2001,Data!$T$2:$T$2001,$A57,Data!$S$2:$S$2001,S$53),"")</f>
        <v>32036.2857142857</v>
      </c>
      <c r="T57" s="11" t="n">
        <f aca="false">IFERROR(AVERAGEIFS(Data!$L$2:$L$2001,Data!$T$2:$T$2001,$A57,Data!$S$2:$S$2001,T$53),"")</f>
        <v>60124.25</v>
      </c>
      <c r="U57" s="11" t="n">
        <f aca="false">IFERROR(AVERAGEIFS(Data!$L$2:$L$2001,Data!$T$2:$T$2001,$A57,Data!$S$2:$S$2001,U$53),"")</f>
        <v>51373.8888888889</v>
      </c>
      <c r="V57" s="11" t="n">
        <f aca="false">IFERROR(AVERAGEIFS(Data!$L$2:$L$2001,Data!$T$2:$T$2001,$A57,Data!$S$2:$S$2001,V$53),"")</f>
        <v>28187.2727272727</v>
      </c>
      <c r="W57" s="11" t="n">
        <f aca="false">IFERROR(AVERAGEIFS(Data!$L$2:$L$2001,Data!$T$2:$T$2001,$A57,Data!$S$2:$S$2001,W$53),"")</f>
        <v>24982.9090909091</v>
      </c>
      <c r="X57" s="11" t="n">
        <f aca="false">IFERROR(AVERAGEIFS(Data!$L$2:$L$2001,Data!$T$2:$T$2001,$A57,Data!$S$2:$S$2001,X$53),"")</f>
        <v>59664</v>
      </c>
      <c r="Y57" s="11" t="n">
        <f aca="false">IFERROR(AVERAGEIFS(Data!$L$2:$L$2001,Data!$T$2:$T$2001,$A57,Data!$S$2:$S$2001,Y$53),"")</f>
        <v>28087</v>
      </c>
    </row>
    <row r="58" customFormat="false" ht="15" hidden="false" customHeight="false" outlineLevel="0" collapsed="false">
      <c r="A58" s="2" t="s">
        <v>96</v>
      </c>
      <c r="B58" s="11" t="n">
        <f aca="false">IFERROR(AVERAGEIFS(Data!$L$2:$L$2001,Data!$T$2:$T$2001,$A58,Data!$S$2:$S$2001,B$53),"")</f>
        <v>18851.7272727273</v>
      </c>
      <c r="C58" s="11" t="n">
        <f aca="false">IFERROR(AVERAGEIFS(Data!$L$2:$L$2001,Data!$T$2:$T$2001,$A58,Data!$S$2:$S$2001,C$53),"")</f>
        <v>11703.3</v>
      </c>
      <c r="D58" s="11" t="n">
        <f aca="false">IFERROR(AVERAGEIFS(Data!$L$2:$L$2001,Data!$T$2:$T$2001,$A58,Data!$S$2:$S$2001,D$53),"")</f>
        <v>12153.6</v>
      </c>
      <c r="E58" s="11" t="n">
        <f aca="false">IFERROR(AVERAGEIFS(Data!$L$2:$L$2001,Data!$T$2:$T$2001,$A58,Data!$S$2:$S$2001,E$53),"")</f>
        <v>14836.3333333333</v>
      </c>
      <c r="F58" s="11" t="n">
        <f aca="false">IFERROR(AVERAGEIFS(Data!$L$2:$L$2001,Data!$T$2:$T$2001,$A58,Data!$S$2:$S$2001,F$53),"")</f>
        <v>18377.6470588235</v>
      </c>
      <c r="G58" s="11" t="n">
        <f aca="false">IFERROR(AVERAGEIFS(Data!$L$2:$L$2001,Data!$T$2:$T$2001,$A58,Data!$S$2:$S$2001,G$53),"")</f>
        <v>34122.3333333333</v>
      </c>
      <c r="H58" s="11" t="n">
        <f aca="false">IFERROR(AVERAGEIFS(Data!$L$2:$L$2001,Data!$T$2:$T$2001,$A58,Data!$S$2:$S$2001,H$53),"")</f>
        <v>46236.8333333333</v>
      </c>
      <c r="I58" s="11" t="n">
        <f aca="false">IFERROR(AVERAGEIFS(Data!$L$2:$L$2001,Data!$T$2:$T$2001,$A58,Data!$S$2:$S$2001,I$53),"")</f>
        <v>28567.25</v>
      </c>
      <c r="J58" s="11" t="n">
        <f aca="false">IFERROR(AVERAGEIFS(Data!$L$2:$L$2001,Data!$T$2:$T$2001,$A58,Data!$S$2:$S$2001,J$53),"")</f>
        <v>43366.5625</v>
      </c>
      <c r="K58" s="11" t="n">
        <f aca="false">IFERROR(AVERAGEIFS(Data!$L$2:$L$2001,Data!$T$2:$T$2001,$A58,Data!$S$2:$S$2001,K$53),"")</f>
        <v>26214.7</v>
      </c>
      <c r="L58" s="11" t="n">
        <f aca="false">IFERROR(AVERAGEIFS(Data!$L$2:$L$2001,Data!$T$2:$T$2001,$A58,Data!$S$2:$S$2001,L$53),"")</f>
        <v>20875.75</v>
      </c>
      <c r="M58" s="11" t="n">
        <f aca="false">IFERROR(AVERAGEIFS(Data!$L$2:$L$2001,Data!$T$2:$T$2001,$A58,Data!$S$2:$S$2001,M$53),"")</f>
        <v>41837.25</v>
      </c>
      <c r="N58" s="11" t="n">
        <f aca="false">IFERROR(AVERAGEIFS(Data!$L$2:$L$2001,Data!$T$2:$T$2001,$A58,Data!$S$2:$S$2001,N$53),"")</f>
        <v>58643.8333333333</v>
      </c>
      <c r="O58" s="11" t="n">
        <f aca="false">IFERROR(AVERAGEIFS(Data!$L$2:$L$2001,Data!$T$2:$T$2001,$A58,Data!$S$2:$S$2001,O$53),"")</f>
        <v>41658.25</v>
      </c>
      <c r="P58" s="11" t="n">
        <f aca="false">IFERROR(AVERAGEIFS(Data!$L$2:$L$2001,Data!$T$2:$T$2001,$A58,Data!$S$2:$S$2001,P$53),"")</f>
        <v>36148.6363636364</v>
      </c>
      <c r="Q58" s="11" t="n">
        <f aca="false">IFERROR(AVERAGEIFS(Data!$L$2:$L$2001,Data!$T$2:$T$2001,$A58,Data!$S$2:$S$2001,Q$53),"")</f>
        <v>31041.1</v>
      </c>
      <c r="R58" s="11" t="n">
        <f aca="false">IFERROR(AVERAGEIFS(Data!$L$2:$L$2001,Data!$T$2:$T$2001,$A58,Data!$S$2:$S$2001,R$53),"")</f>
        <v>21785.7333333333</v>
      </c>
      <c r="S58" s="11" t="n">
        <f aca="false">IFERROR(AVERAGEIFS(Data!$L$2:$L$2001,Data!$T$2:$T$2001,$A58,Data!$S$2:$S$2001,S$53),"")</f>
        <v>38917.7272727273</v>
      </c>
      <c r="T58" s="11" t="n">
        <f aca="false">IFERROR(AVERAGEIFS(Data!$L$2:$L$2001,Data!$T$2:$T$2001,$A58,Data!$S$2:$S$2001,T$53),"")</f>
        <v>65688.5714285714</v>
      </c>
      <c r="U58" s="11" t="n">
        <f aca="false">IFERROR(AVERAGEIFS(Data!$L$2:$L$2001,Data!$T$2:$T$2001,$A58,Data!$S$2:$S$2001,U$53),"")</f>
        <v>49005.3333333333</v>
      </c>
      <c r="V58" s="11" t="n">
        <f aca="false">IFERROR(AVERAGEIFS(Data!$L$2:$L$2001,Data!$T$2:$T$2001,$A58,Data!$S$2:$S$2001,V$53),"")</f>
        <v>33408.8888888889</v>
      </c>
      <c r="W58" s="11" t="n">
        <f aca="false">IFERROR(AVERAGEIFS(Data!$L$2:$L$2001,Data!$T$2:$T$2001,$A58,Data!$S$2:$S$2001,W$53),"")</f>
        <v>46014.8333333333</v>
      </c>
      <c r="X58" s="11" t="n">
        <f aca="false">IFERROR(AVERAGEIFS(Data!$L$2:$L$2001,Data!$T$2:$T$2001,$A58,Data!$S$2:$S$2001,X$53),"")</f>
        <v>37009.7619047619</v>
      </c>
      <c r="Y58" s="11" t="n">
        <f aca="false">IFERROR(AVERAGEIFS(Data!$L$2:$L$2001,Data!$T$2:$T$2001,$A58,Data!$S$2:$S$2001,Y$53),"")</f>
        <v>23406.2083333333</v>
      </c>
    </row>
    <row r="59" customFormat="false" ht="15" hidden="false" customHeight="false" outlineLevel="0" collapsed="false">
      <c r="A59" s="2" t="s">
        <v>62</v>
      </c>
      <c r="B59" s="11" t="n">
        <f aca="false">IFERROR(AVERAGEIFS(Data!$L$2:$L$2001,Data!$T$2:$T$2001,$A59,Data!$S$2:$S$2001,B$53),"")</f>
        <v>30918.5</v>
      </c>
      <c r="C59" s="11" t="n">
        <f aca="false">IFERROR(AVERAGEIFS(Data!$L$2:$L$2001,Data!$T$2:$T$2001,$A59,Data!$S$2:$S$2001,C$53),"")</f>
        <v>17256.2</v>
      </c>
      <c r="D59" s="11" t="n">
        <f aca="false">IFERROR(AVERAGEIFS(Data!$L$2:$L$2001,Data!$T$2:$T$2001,$A59,Data!$S$2:$S$2001,D$53),"")</f>
        <v>16614.5454545455</v>
      </c>
      <c r="E59" s="11" t="n">
        <f aca="false">IFERROR(AVERAGEIFS(Data!$L$2:$L$2001,Data!$T$2:$T$2001,$A59,Data!$S$2:$S$2001,E$53),"")</f>
        <v>18463.75</v>
      </c>
      <c r="F59" s="11" t="n">
        <f aca="false">IFERROR(AVERAGEIFS(Data!$L$2:$L$2001,Data!$T$2:$T$2001,$A59,Data!$S$2:$S$2001,F$53),"")</f>
        <v>20365.0769230769</v>
      </c>
      <c r="G59" s="11" t="n">
        <f aca="false">IFERROR(AVERAGEIFS(Data!$L$2:$L$2001,Data!$T$2:$T$2001,$A59,Data!$S$2:$S$2001,G$53),"")</f>
        <v>14230.2142857143</v>
      </c>
      <c r="H59" s="11" t="n">
        <f aca="false">IFERROR(AVERAGEIFS(Data!$L$2:$L$2001,Data!$T$2:$T$2001,$A59,Data!$S$2:$S$2001,H$53),"")</f>
        <v>25043.4</v>
      </c>
      <c r="I59" s="11" t="n">
        <f aca="false">IFERROR(AVERAGEIFS(Data!$L$2:$L$2001,Data!$T$2:$T$2001,$A59,Data!$S$2:$S$2001,I$53),"")</f>
        <v>33508.5</v>
      </c>
      <c r="J59" s="11" t="n">
        <f aca="false">IFERROR(AVERAGEIFS(Data!$L$2:$L$2001,Data!$T$2:$T$2001,$A59,Data!$S$2:$S$2001,J$53),"")</f>
        <v>36567.2857142857</v>
      </c>
      <c r="K59" s="11" t="n">
        <f aca="false">IFERROR(AVERAGEIFS(Data!$L$2:$L$2001,Data!$T$2:$T$2001,$A59,Data!$S$2:$S$2001,K$53),"")</f>
        <v>19925.1875</v>
      </c>
      <c r="L59" s="11" t="n">
        <f aca="false">IFERROR(AVERAGEIFS(Data!$L$2:$L$2001,Data!$T$2:$T$2001,$A59,Data!$S$2:$S$2001,L$53),"")</f>
        <v>22924</v>
      </c>
      <c r="M59" s="11" t="n">
        <f aca="false">IFERROR(AVERAGEIFS(Data!$L$2:$L$2001,Data!$T$2:$T$2001,$A59,Data!$S$2:$S$2001,M$53),"")</f>
        <v>35413.9333333333</v>
      </c>
      <c r="N59" s="11" t="n">
        <f aca="false">IFERROR(AVERAGEIFS(Data!$L$2:$L$2001,Data!$T$2:$T$2001,$A59,Data!$S$2:$S$2001,N$53),"")</f>
        <v>32468.6666666667</v>
      </c>
      <c r="O59" s="11" t="n">
        <f aca="false">IFERROR(AVERAGEIFS(Data!$L$2:$L$2001,Data!$T$2:$T$2001,$A59,Data!$S$2:$S$2001,O$53),"")</f>
        <v>25302.5714285714</v>
      </c>
      <c r="P59" s="11" t="n">
        <f aca="false">IFERROR(AVERAGEIFS(Data!$L$2:$L$2001,Data!$T$2:$T$2001,$A59,Data!$S$2:$S$2001,P$53),"")</f>
        <v>37762.9090909091</v>
      </c>
      <c r="Q59" s="11" t="n">
        <f aca="false">IFERROR(AVERAGEIFS(Data!$L$2:$L$2001,Data!$T$2:$T$2001,$A59,Data!$S$2:$S$2001,Q$53),"")</f>
        <v>31446.5</v>
      </c>
      <c r="R59" s="11" t="n">
        <f aca="false">IFERROR(AVERAGEIFS(Data!$L$2:$L$2001,Data!$T$2:$T$2001,$A59,Data!$S$2:$S$2001,R$53),"")</f>
        <v>19713.6363636364</v>
      </c>
      <c r="S59" s="11" t="n">
        <f aca="false">IFERROR(AVERAGEIFS(Data!$L$2:$L$2001,Data!$T$2:$T$2001,$A59,Data!$S$2:$S$2001,S$53),"")</f>
        <v>26120.0714285714</v>
      </c>
      <c r="T59" s="11" t="n">
        <f aca="false">IFERROR(AVERAGEIFS(Data!$L$2:$L$2001,Data!$T$2:$T$2001,$A59,Data!$S$2:$S$2001,T$53),"")</f>
        <v>26365</v>
      </c>
      <c r="U59" s="11" t="n">
        <f aca="false">IFERROR(AVERAGEIFS(Data!$L$2:$L$2001,Data!$T$2:$T$2001,$A59,Data!$S$2:$S$2001,U$53),"")</f>
        <v>47449.2222222222</v>
      </c>
      <c r="V59" s="11" t="n">
        <f aca="false">IFERROR(AVERAGEIFS(Data!$L$2:$L$2001,Data!$T$2:$T$2001,$A59,Data!$S$2:$S$2001,V$53),"")</f>
        <v>50717.3846153846</v>
      </c>
      <c r="W59" s="11" t="n">
        <f aca="false">IFERROR(AVERAGEIFS(Data!$L$2:$L$2001,Data!$T$2:$T$2001,$A59,Data!$S$2:$S$2001,W$53),"")</f>
        <v>53672</v>
      </c>
      <c r="X59" s="11" t="n">
        <f aca="false">IFERROR(AVERAGEIFS(Data!$L$2:$L$2001,Data!$T$2:$T$2001,$A59,Data!$S$2:$S$2001,X$53),"")</f>
        <v>39345.5333333333</v>
      </c>
      <c r="Y59" s="11" t="n">
        <f aca="false">IFERROR(AVERAGEIFS(Data!$L$2:$L$2001,Data!$T$2:$T$2001,$A59,Data!$S$2:$S$2001,Y$53),"")</f>
        <v>31800</v>
      </c>
    </row>
    <row r="60" customFormat="false" ht="15" hidden="false" customHeight="false" outlineLevel="0" collapsed="false">
      <c r="A60" s="2" t="s">
        <v>27</v>
      </c>
      <c r="B60" s="11" t="n">
        <f aca="false">IFERROR(AVERAGEIFS(Data!$L$2:$L$2001,Data!$T$2:$T$2001,$A60,Data!$S$2:$S$2001,B$53),"")</f>
        <v>28164.8</v>
      </c>
      <c r="C60" s="11" t="n">
        <f aca="false">IFERROR(AVERAGEIFS(Data!$L$2:$L$2001,Data!$T$2:$T$2001,$A60,Data!$S$2:$S$2001,C$53),"")</f>
        <v>20761.9090909091</v>
      </c>
      <c r="D60" s="11" t="n">
        <f aca="false">IFERROR(AVERAGEIFS(Data!$L$2:$L$2001,Data!$T$2:$T$2001,$A60,Data!$S$2:$S$2001,D$53),"")</f>
        <v>14457.3636363636</v>
      </c>
      <c r="E60" s="11" t="n">
        <f aca="false">IFERROR(AVERAGEIFS(Data!$L$2:$L$2001,Data!$T$2:$T$2001,$A60,Data!$S$2:$S$2001,E$53),"")</f>
        <v>13435.5714285714</v>
      </c>
      <c r="F60" s="11" t="n">
        <f aca="false">IFERROR(AVERAGEIFS(Data!$L$2:$L$2001,Data!$T$2:$T$2001,$A60,Data!$S$2:$S$2001,F$53),"")</f>
        <v>13230.8571428571</v>
      </c>
      <c r="G60" s="11" t="n">
        <f aca="false">IFERROR(AVERAGEIFS(Data!$L$2:$L$2001,Data!$T$2:$T$2001,$A60,Data!$S$2:$S$2001,G$53),"")</f>
        <v>16126</v>
      </c>
      <c r="H60" s="11" t="n">
        <f aca="false">IFERROR(AVERAGEIFS(Data!$L$2:$L$2001,Data!$T$2:$T$2001,$A60,Data!$S$2:$S$2001,H$53),"")</f>
        <v>42209.9</v>
      </c>
      <c r="I60" s="11" t="n">
        <f aca="false">IFERROR(AVERAGEIFS(Data!$L$2:$L$2001,Data!$T$2:$T$2001,$A60,Data!$S$2:$S$2001,I$53),"")</f>
        <v>44113.4</v>
      </c>
      <c r="J60" s="11" t="n">
        <f aca="false">IFERROR(AVERAGEIFS(Data!$L$2:$L$2001,Data!$T$2:$T$2001,$A60,Data!$S$2:$S$2001,J$53),"")</f>
        <v>42364.7272727273</v>
      </c>
      <c r="K60" s="11" t="n">
        <f aca="false">IFERROR(AVERAGEIFS(Data!$L$2:$L$2001,Data!$T$2:$T$2001,$A60,Data!$S$2:$S$2001,K$53),"")</f>
        <v>21616.6842105263</v>
      </c>
      <c r="L60" s="11" t="n">
        <f aca="false">IFERROR(AVERAGEIFS(Data!$L$2:$L$2001,Data!$T$2:$T$2001,$A60,Data!$S$2:$S$2001,L$53),"")</f>
        <v>43297.8571428571</v>
      </c>
      <c r="M60" s="11" t="n">
        <f aca="false">IFERROR(AVERAGEIFS(Data!$L$2:$L$2001,Data!$T$2:$T$2001,$A60,Data!$S$2:$S$2001,M$53),"")</f>
        <v>27929.0909090909</v>
      </c>
      <c r="N60" s="11" t="n">
        <f aca="false">IFERROR(AVERAGEIFS(Data!$L$2:$L$2001,Data!$T$2:$T$2001,$A60,Data!$S$2:$S$2001,N$53),"")</f>
        <v>17512.1428571429</v>
      </c>
      <c r="O60" s="11" t="n">
        <f aca="false">IFERROR(AVERAGEIFS(Data!$L$2:$L$2001,Data!$T$2:$T$2001,$A60,Data!$S$2:$S$2001,O$53),"")</f>
        <v>52477</v>
      </c>
      <c r="P60" s="11" t="n">
        <f aca="false">IFERROR(AVERAGEIFS(Data!$L$2:$L$2001,Data!$T$2:$T$2001,$A60,Data!$S$2:$S$2001,P$53),"")</f>
        <v>30733.9285714286</v>
      </c>
      <c r="Q60" s="11" t="n">
        <f aca="false">IFERROR(AVERAGEIFS(Data!$L$2:$L$2001,Data!$T$2:$T$2001,$A60,Data!$S$2:$S$2001,Q$53),"")</f>
        <v>27435.5</v>
      </c>
      <c r="R60" s="11" t="n">
        <f aca="false">IFERROR(AVERAGEIFS(Data!$L$2:$L$2001,Data!$T$2:$T$2001,$A60,Data!$S$2:$S$2001,R$53),"")</f>
        <v>16119.8</v>
      </c>
      <c r="S60" s="11" t="n">
        <f aca="false">IFERROR(AVERAGEIFS(Data!$L$2:$L$2001,Data!$T$2:$T$2001,$A60,Data!$S$2:$S$2001,S$53),"")</f>
        <v>31101.25</v>
      </c>
      <c r="T60" s="11" t="n">
        <f aca="false">IFERROR(AVERAGEIFS(Data!$L$2:$L$2001,Data!$T$2:$T$2001,$A60,Data!$S$2:$S$2001,T$53),"")</f>
        <v>39444.4</v>
      </c>
      <c r="U60" s="11" t="n">
        <f aca="false">IFERROR(AVERAGEIFS(Data!$L$2:$L$2001,Data!$T$2:$T$2001,$A60,Data!$S$2:$S$2001,U$53),"")</f>
        <v>39439.5333333333</v>
      </c>
      <c r="V60" s="11" t="n">
        <f aca="false">IFERROR(AVERAGEIFS(Data!$L$2:$L$2001,Data!$T$2:$T$2001,$A60,Data!$S$2:$S$2001,V$53),"")</f>
        <v>41259.0909090909</v>
      </c>
      <c r="W60" s="11" t="n">
        <f aca="false">IFERROR(AVERAGEIFS(Data!$L$2:$L$2001,Data!$T$2:$T$2001,$A60,Data!$S$2:$S$2001,W$53),"")</f>
        <v>47611.4</v>
      </c>
      <c r="X60" s="11" t="n">
        <f aca="false">IFERROR(AVERAGEIFS(Data!$L$2:$L$2001,Data!$T$2:$T$2001,$A60,Data!$S$2:$S$2001,X$53),"")</f>
        <v>29505.2</v>
      </c>
      <c r="Y60" s="11" t="n">
        <f aca="false">IFERROR(AVERAGEIFS(Data!$L$2:$L$2001,Data!$T$2:$T$2001,$A60,Data!$S$2:$S$2001,Y$53),"")</f>
        <v>37841.1</v>
      </c>
    </row>
  </sheetData>
  <conditionalFormatting sqref="B54:Y60">
    <cfRule type="colorScale" priority="2">
      <colorScale>
        <cfvo type="min" val="0"/>
        <cfvo type="percentile" val="50"/>
        <cfvo type="max" val="0"/>
        <color rgb="FFFFF2CC"/>
        <color rgb="FFF4B183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5" t="s">
        <v>3214</v>
      </c>
    </row>
    <row r="2" customFormat="false" ht="15" hidden="false" customHeight="false" outlineLevel="0" collapsed="false">
      <c r="A2" s="2" t="s">
        <v>3215</v>
      </c>
    </row>
    <row r="3" customFormat="false" ht="15" hidden="false" customHeight="false" outlineLevel="0" collapsed="false">
      <c r="A3" s="2" t="s">
        <v>3216</v>
      </c>
    </row>
    <row r="4" customFormat="false" ht="15" hidden="false" customHeight="false" outlineLevel="0" collapsed="false">
      <c r="A4" s="2" t="s">
        <v>3217</v>
      </c>
    </row>
    <row r="5" customFormat="false" ht="15" hidden="false" customHeight="false" outlineLevel="0" collapsed="false">
      <c r="A5" s="2" t="s">
        <v>3218</v>
      </c>
    </row>
    <row r="6" customFormat="false" ht="15" hidden="false" customHeight="false" outlineLevel="0" collapsed="false">
      <c r="A6" s="2" t="s">
        <v>3219</v>
      </c>
    </row>
    <row r="7" customFormat="false" ht="15" hidden="false" customHeight="false" outlineLevel="0" collapsed="false">
      <c r="A7" s="2" t="s">
        <v>3220</v>
      </c>
    </row>
    <row r="8" customFormat="false" ht="15" hidden="false" customHeight="false" outlineLevel="0" collapsed="false">
      <c r="A8" s="2" t="s">
        <v>3221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2026-10-27T19:44:26Z</dcterms:created>
  <dc:creator>openpyxl</dc:creator>
  <dc:description/>
  <dc:language>en-US</dc:language>
  <cp:lastModifiedBy/>
  <dcterms:modified xsi:type="dcterms:W3CDTF">2026-10-27T19:44:30Z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